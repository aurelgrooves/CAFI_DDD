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EO 2015-2023" sheetId="2" r:id="rId5"/>
    <sheet state="visible" name="TNT 2015-2022" sheetId="3" r:id="rId6"/>
    <sheet state="visible" name="TNT 2023" sheetId="4" r:id="rId7"/>
    <sheet state="visible" name="National Summary 2015-2023" sheetId="5" r:id="rId8"/>
    <sheet state="visible" name="Prefectures TNT 2015-2022" sheetId="6" r:id="rId9"/>
    <sheet state="visible" name="Prefectures TNT 2023" sheetId="7" r:id="rId10"/>
    <sheet state="visible" name="Prefecture Summary 2015-2023" sheetId="8" r:id="rId11"/>
    <sheet state="visible" name="Forest Types TNT 2015-2022" sheetId="9" r:id="rId12"/>
    <sheet state="visible" name="Forest Types TNT 2023" sheetId="10" r:id="rId13"/>
    <sheet state="visible" name="Forest Types Summary 2015-2023" sheetId="11" r:id="rId14"/>
    <sheet state="visible" name="Lobaye TNT 2015-2022" sheetId="12" r:id="rId15"/>
    <sheet state="hidden" name="Ouham Pendé TNT 2015-2022" sheetId="13" r:id="rId16"/>
    <sheet state="hidden" name="Nana-Gribizi TNT 2015-2022" sheetId="14" r:id="rId17"/>
    <sheet state="hidden" name="Kémo TNT 2015-2022" sheetId="15" r:id="rId18"/>
    <sheet state="hidden" name="Ouham TNT 2015-2022" sheetId="16" r:id="rId19"/>
    <sheet state="hidden" name="Sangha-Mbaéré TNT 2015-2022" sheetId="17" r:id="rId20"/>
    <sheet state="hidden" name="Mambéré-Kadéï TNT 2015-2022" sheetId="18" r:id="rId21"/>
    <sheet state="hidden" name="Nana-Mambéré TNT 2015-2022" sheetId="19" r:id="rId22"/>
    <sheet state="hidden" name="Haute-Kotto TNT 2015-2022" sheetId="20" r:id="rId23"/>
    <sheet state="hidden" name="Haut-Mbomou TNT 2015-2022" sheetId="21" r:id="rId24"/>
    <sheet state="hidden" name="Mbomou TNT 2015-2022" sheetId="22" r:id="rId25"/>
    <sheet state="hidden" name="Ouaka TNT 2015-2022" sheetId="23" r:id="rId26"/>
    <sheet state="hidden" name="Vakaga TNT 2015-2022" sheetId="24" r:id="rId27"/>
    <sheet state="hidden" name="Bamingui-Bangoran TNT 2015-2022" sheetId="25" r:id="rId28"/>
    <sheet state="hidden" name="Ombella MPoko TNT 2015-2022" sheetId="26" r:id="rId29"/>
    <sheet state="hidden" name="Basse-Kotto TNT 2015-2022" sheetId="27" r:id="rId30"/>
    <sheet state="hidden" name="Bangui TNT 2015-2022" sheetId="28" r:id="rId31"/>
    <sheet state="visible" name="Mbomou TNT 2023" sheetId="29" r:id="rId32"/>
    <sheet state="hidden" name="Haut-Mbomou TNT 2023" sheetId="30" r:id="rId33"/>
    <sheet state="hidden" name="Ombella MPoko TNT 2023" sheetId="31" r:id="rId34"/>
    <sheet state="hidden" name="Nana-Mambéré TNT 2023" sheetId="32" r:id="rId35"/>
    <sheet state="hidden" name="Ouham TNT 2023" sheetId="33" r:id="rId36"/>
    <sheet state="hidden" name="Kémo TNT 2023" sheetId="34" r:id="rId37"/>
    <sheet state="hidden" name="Nana-Gribizi TNT 2023" sheetId="35" r:id="rId38"/>
    <sheet state="hidden" name="Lobaye TNT 2023" sheetId="36" r:id="rId39"/>
    <sheet state="hidden" name="Vakaga TNT 2023" sheetId="37" r:id="rId40"/>
    <sheet state="hidden" name="Ouham Pendé TNT 2023" sheetId="38" r:id="rId41"/>
    <sheet state="hidden" name="Ouaka TNT 2023" sheetId="39" r:id="rId42"/>
    <sheet state="hidden" name="Basse-Kotto TNT 2023" sheetId="40" r:id="rId43"/>
    <sheet state="hidden" name="Bangui TNT 2023" sheetId="41" r:id="rId44"/>
    <sheet state="hidden" name="Bamingui-Bangoran TNT 2023" sheetId="42" r:id="rId45"/>
    <sheet state="hidden" name="Sangha-Mbaéré TNT 2023" sheetId="43" r:id="rId46"/>
    <sheet state="hidden" name="Mambéré-Kadéï TNT 2023" sheetId="44" r:id="rId47"/>
    <sheet state="hidden" name="Haute-Kotto TNT 2023" sheetId="45" r:id="rId48"/>
  </sheets>
  <definedNames/>
  <calcPr/>
</workbook>
</file>

<file path=xl/sharedStrings.xml><?xml version="1.0" encoding="utf-8"?>
<sst xmlns="http://schemas.openxmlformats.org/spreadsheetml/2006/main" count="2694" uniqueCount="583">
  <si>
    <t>This Google Sheet integrates visually interpreted data from Collect Earth Online (CEO), combined with a stratification to calculate estimates of deforestation and degradation with confidence intervals</t>
  </si>
  <si>
    <t>The sheet automatically collects column names and summarizes points, and uses strata areas from Google Earth Engine to make calculations at national, sub-national levels and by identified forest type</t>
  </si>
  <si>
    <t xml:space="preserve">The complete methodology, including all scripts is described here (in French) here: https://docs.google.com/document/d/1oGOAG-H-6nFh565Dp0bW2z1715TN7OL4ReVbOHmaknk/edit?usp=sharing </t>
  </si>
  <si>
    <t>For more information contact aurelie.shapiro@fao.org or remi.dannunzio@fao.org</t>
  </si>
  <si>
    <t>To initiate the calculations you only need to import the CEO file into the CEO-2015-2023 sheet using File -&gt; Import.</t>
  </si>
  <si>
    <t>and then enter the strata areas from GEE for 2015-2022 and 2022-2023</t>
  </si>
  <si>
    <t>The column addresses are all automatically generated</t>
  </si>
  <si>
    <t>Classification Scheme</t>
  </si>
  <si>
    <t>Sheet Name</t>
  </si>
  <si>
    <t>Description</t>
  </si>
  <si>
    <t>Code DDD</t>
  </si>
  <si>
    <t>Groupe DDD</t>
  </si>
  <si>
    <t>Code SEPAL</t>
  </si>
  <si>
    <t>Code CollectEarth</t>
  </si>
  <si>
    <t>Code GEE</t>
  </si>
  <si>
    <t>Nom</t>
  </si>
  <si>
    <t>Nom Espanol</t>
  </si>
  <si>
    <t>Name English</t>
  </si>
  <si>
    <t>Description English</t>
  </si>
  <si>
    <t>Color Name</t>
  </si>
  <si>
    <t>Color Code</t>
  </si>
  <si>
    <t>CAR</t>
  </si>
  <si>
    <t>CMR</t>
  </si>
  <si>
    <t>COD</t>
  </si>
  <si>
    <t>COG</t>
  </si>
  <si>
    <t>EQG</t>
  </si>
  <si>
    <t>GAB</t>
  </si>
  <si>
    <t>CEO 2015-2023</t>
  </si>
  <si>
    <t>Cleaned data from SEPAL using the scripts: https://github.com/aurelgrooves/CAFI_DDD</t>
  </si>
  <si>
    <t>Forêt</t>
  </si>
  <si>
    <t>Forêt Dense</t>
  </si>
  <si>
    <t>Bosque denso</t>
  </si>
  <si>
    <t>Dense Forest</t>
  </si>
  <si>
    <t>Forêt dense humide primaire sur terre ferme, &gt;60% arborée</t>
  </si>
  <si>
    <t>Dense humid primary forest on terra firme, &gt;60% tree cover</t>
  </si>
  <si>
    <t>darkgreen</t>
  </si>
  <si>
    <t>#006400</t>
  </si>
  <si>
    <t>X</t>
  </si>
  <si>
    <t>TNT 2015-2022</t>
  </si>
  <si>
    <t>Sample based area estimation for 2015-2022 stratification</t>
  </si>
  <si>
    <t>Forêt Dense Sèche</t>
  </si>
  <si>
    <t>Bosque denso seco</t>
  </si>
  <si>
    <t>Dense Dry Forest</t>
  </si>
  <si>
    <t>Forêt dense, &gt;60% couverture arborée avec des saisons sèches</t>
  </si>
  <si>
    <t>Dense forest, &gt;60% tree cover with dry seasons</t>
  </si>
  <si>
    <t>green</t>
  </si>
  <si>
    <t>#32cd32</t>
  </si>
  <si>
    <t>TNT 2023</t>
  </si>
  <si>
    <t>Sample based area estimation for 2023 stratification</t>
  </si>
  <si>
    <t>Forêt Secondaire</t>
  </si>
  <si>
    <t>Bosque secundario</t>
  </si>
  <si>
    <t>Secondary Forest</t>
  </si>
  <si>
    <t>Forêt ouvert 30-60% couverture arborée, dégradée ou secondaire</t>
  </si>
  <si>
    <t>Open forest 30-60% tree cover, degraded or secondary</t>
  </si>
  <si>
    <t>lime green</t>
  </si>
  <si>
    <t>#00ff00</t>
  </si>
  <si>
    <t>National Summary 2015-2023</t>
  </si>
  <si>
    <t>National data compiled for all years with forest area, deforestation rate</t>
  </si>
  <si>
    <t>Forêt Claire Sèche</t>
  </si>
  <si>
    <t>Bosque claro Seco</t>
  </si>
  <si>
    <t>Dry Open Forest</t>
  </si>
  <si>
    <t>Forêt claire sèche 30-60% couverture arborée, avec des saisons sèches</t>
  </si>
  <si>
    <t>Dry open forest 30-60% tree cover, with dry seasons</t>
  </si>
  <si>
    <t>sea green</t>
  </si>
  <si>
    <t>#2e8b57</t>
  </si>
  <si>
    <t>Prefectures TNT 2015-2022</t>
  </si>
  <si>
    <t>Sample based area estimation for 2015-2022 by sub-national area (drop down with names in cell A1)</t>
  </si>
  <si>
    <t>Forêt Sub-Montagnarde</t>
  </si>
  <si>
    <t>Bosque sub-montañoso</t>
  </si>
  <si>
    <t>Sub-Montane Forest</t>
  </si>
  <si>
    <t>Forêt &gt;30% de couverture arborée, 1100-1750m en altitude</t>
  </si>
  <si>
    <t>Forest &gt;30% tree cover, 1100-1750m altitude</t>
  </si>
  <si>
    <t>cadet blue</t>
  </si>
  <si>
    <t>#5f9ea0</t>
  </si>
  <si>
    <t>Prefectures TNT 2023</t>
  </si>
  <si>
    <t>Sample based area estimation for 2023 by sub-national area (drop down with names in cell A1)</t>
  </si>
  <si>
    <t>Forêt Montagnarde</t>
  </si>
  <si>
    <t>Bosque montañoso</t>
  </si>
  <si>
    <t>Montane Forest</t>
  </si>
  <si>
    <t>Forêt &gt;30% de couverture arborée, &gt;1750m en altitude</t>
  </si>
  <si>
    <t>Forest &gt;30% tree cover, &gt;1750m altitude</t>
  </si>
  <si>
    <t>turquoise</t>
  </si>
  <si>
    <t>#30d5c8</t>
  </si>
  <si>
    <t>Prefecture Summary 2015-2023</t>
  </si>
  <si>
    <t>Sub-national data compiled for all years</t>
  </si>
  <si>
    <t>Mangrove</t>
  </si>
  <si>
    <t>Manglar</t>
  </si>
  <si>
    <t>Forêt &gt;30% de couverture arborée, sol hydromorphe</t>
  </si>
  <si>
    <t>Forest &gt;30% tree cover, hydromorphic soil</t>
  </si>
  <si>
    <t>purple</t>
  </si>
  <si>
    <t>#8b008b</t>
  </si>
  <si>
    <t>Forest Types TNT 2015-2022</t>
  </si>
  <si>
    <t>Sample based area estimation for 2015-2022 by forest type</t>
  </si>
  <si>
    <t>Forêt Marécageuse</t>
  </si>
  <si>
    <t>Bosque pantanoso</t>
  </si>
  <si>
    <t>Swamp Forest</t>
  </si>
  <si>
    <t>Forêt marécageuse mixte &gt;30% couverture arborée, sol inondée &gt;9 mois</t>
  </si>
  <si>
    <t>Mixed swamp forest &gt;30% tree cover, soil flooded &gt;9 months</t>
  </si>
  <si>
    <t>magenta</t>
  </si>
  <si>
    <t>#008081</t>
  </si>
  <si>
    <t xml:space="preserve">Forest Types TNT 2023 </t>
  </si>
  <si>
    <t>Sample based area estimation for 2023 by forest type</t>
  </si>
  <si>
    <t>Forêt Galérie</t>
  </si>
  <si>
    <t>Bosque en galería</t>
  </si>
  <si>
    <t>Gallery Forest</t>
  </si>
  <si>
    <t>Foret ripicole en fond de vallée ou en bordure de rivière</t>
  </si>
  <si>
    <t>Riparian forest on valley floor or river bank</t>
  </si>
  <si>
    <t>dark sea green</t>
  </si>
  <si>
    <t>#0C343D</t>
  </si>
  <si>
    <t>Forest Types Summary 2015-2023</t>
  </si>
  <si>
    <t>Sample based area estimation for forest types compiled for all years</t>
  </si>
  <si>
    <t>Plantation Forestière Mature</t>
  </si>
  <si>
    <t>Plantación forestal madura</t>
  </si>
  <si>
    <t>Mature Forest Plantation</t>
  </si>
  <si>
    <t>Couverture arborée &gt;15% végétation cultivée/gérée</t>
  </si>
  <si>
    <t>Tree cover &gt;15% cultivated/managed vegetation</t>
  </si>
  <si>
    <t>saddle brown</t>
  </si>
  <si>
    <t>#8b4513</t>
  </si>
  <si>
    <t>&lt;Prefecture name&gt; TNT 2015-2022</t>
  </si>
  <si>
    <t>Sub-national sample based area estimation for 2015-2022 stratification (1 sheet for each area)</t>
  </si>
  <si>
    <t>Savane Arborée</t>
  </si>
  <si>
    <t>Sabana arbórea</t>
  </si>
  <si>
    <t>Woodland Savanna</t>
  </si>
  <si>
    <t>Savane boisée 15-30% arboré et arbustive &gt; définition nationale</t>
  </si>
  <si>
    <t>Wooded savannah 15-30% trees and shrubs &gt; national definition</t>
  </si>
  <si>
    <t>olive drab</t>
  </si>
  <si>
    <t>#6b8e23</t>
  </si>
  <si>
    <t>&lt;Prefecture name&gt; TNT 2023</t>
  </si>
  <si>
    <t>Sub-national sample based area estimation for 2023 stratification (1 sheet for each area)</t>
  </si>
  <si>
    <t>Non-Forêt</t>
  </si>
  <si>
    <t>Savane Arbustive</t>
  </si>
  <si>
    <t>Sabana arbustiva</t>
  </si>
  <si>
    <t>Shrubland Savanna</t>
  </si>
  <si>
    <t>Savane &gt;15% arbustive</t>
  </si>
  <si>
    <t>Savannah &gt;15% shrubby</t>
  </si>
  <si>
    <t>pale golden rod</t>
  </si>
  <si>
    <t>#eee8aa</t>
  </si>
  <si>
    <t>Savane Herbacée</t>
  </si>
  <si>
    <t>Sabana herbácea</t>
  </si>
  <si>
    <t>Grassland Savanna</t>
  </si>
  <si>
    <t>Savanne herbacée &lt;15% arbustive ou arborée</t>
  </si>
  <si>
    <t>Herbaceous savannah &lt;15% shrub or tree cover</t>
  </si>
  <si>
    <t>khaki</t>
  </si>
  <si>
    <t>#c3b091</t>
  </si>
  <si>
    <t>CEO 2015-2023 Column names</t>
  </si>
  <si>
    <t>Values</t>
  </si>
  <si>
    <t>Prairie Aquatique</t>
  </si>
  <si>
    <t>Pradera acuática</t>
  </si>
  <si>
    <t>Aquatic Grassland</t>
  </si>
  <si>
    <t>Couverture herbacée aquatique ou régulièrement inondée</t>
  </si>
  <si>
    <t>Aquatic or regularly flooded herbaceous cover</t>
  </si>
  <si>
    <t>steel blue</t>
  </si>
  <si>
    <t>#4682b4</t>
  </si>
  <si>
    <t>UID</t>
  </si>
  <si>
    <t>unique identifier</t>
  </si>
  <si>
    <t>integer</t>
  </si>
  <si>
    <t>Sols Nus - Végétation Éparse</t>
  </si>
  <si>
    <t>Suelo desnudo-Vegetación escasa</t>
  </si>
  <si>
    <t>Bare Land and Sparse Vegetation</t>
  </si>
  <si>
    <t>&lt;15% végétation</t>
  </si>
  <si>
    <t>&lt;15% vegetation</t>
  </si>
  <si>
    <t>grey</t>
  </si>
  <si>
    <t>#808080</t>
  </si>
  <si>
    <t>TNT_stratum_1522</t>
  </si>
  <si>
    <t>Stratum number for 2015-2022</t>
  </si>
  <si>
    <t>integer (1-5)</t>
  </si>
  <si>
    <t>Terres Cultivées</t>
  </si>
  <si>
    <t>Tierras cultivadas</t>
  </si>
  <si>
    <t>Cultivated Areas</t>
  </si>
  <si>
    <t>Couverture arbustive cultivée &gt;15% arbustif/herbacée/arborée</t>
  </si>
  <si>
    <t>Cultivated shrub cover &gt;15% shrub/herbaceous/arboreal</t>
  </si>
  <si>
    <t xml:space="preserve">tan </t>
  </si>
  <si>
    <t>#d2b48c</t>
  </si>
  <si>
    <t>TNT_stratum_2223</t>
  </si>
  <si>
    <t>Straum number of 2022-2023</t>
  </si>
  <si>
    <t>Zones Bâties</t>
  </si>
  <si>
    <t>Zonas edifiadas</t>
  </si>
  <si>
    <t>Built-up Areas</t>
  </si>
  <si>
    <t>Présence humaine</t>
  </si>
  <si>
    <t>Human presence</t>
  </si>
  <si>
    <t>maroon</t>
  </si>
  <si>
    <t>#800000</t>
  </si>
  <si>
    <t>ID</t>
  </si>
  <si>
    <t>identifier from the CEO project</t>
  </si>
  <si>
    <t>Eau</t>
  </si>
  <si>
    <t>Agua</t>
  </si>
  <si>
    <t>Water</t>
  </si>
  <si>
    <t>Eau &gt; 50%</t>
  </si>
  <si>
    <t xml:space="preserve">Water &gt;50% </t>
  </si>
  <si>
    <t>blue</t>
  </si>
  <si>
    <t>#0000ff</t>
  </si>
  <si>
    <t>plotid</t>
  </si>
  <si>
    <t>CEO plot id</t>
  </si>
  <si>
    <t>point_id</t>
  </si>
  <si>
    <t>eSBAE systematic grid point identifier</t>
  </si>
  <si>
    <t>sampleid</t>
  </si>
  <si>
    <t>identifier for 2023 points</t>
  </si>
  <si>
    <t>lon</t>
  </si>
  <si>
    <t>longitude coordinate</t>
  </si>
  <si>
    <t>decimal numeral</t>
  </si>
  <si>
    <t>lat</t>
  </si>
  <si>
    <t>latitude coordinate</t>
  </si>
  <si>
    <t>geometry</t>
  </si>
  <si>
    <t>geopandas geometry</t>
  </si>
  <si>
    <t>POINT (Lat,Lon)</t>
  </si>
  <si>
    <t>Ref_FNF_2015</t>
  </si>
  <si>
    <t>Forest or non-forest in 2015</t>
  </si>
  <si>
    <t>0 (non-forest), 1 (forest)</t>
  </si>
  <si>
    <t>Ref_Regeneration</t>
  </si>
  <si>
    <t>Observed regeneration</t>
  </si>
  <si>
    <t>0= no regeneration, 1 = regeneration</t>
  </si>
  <si>
    <t>Ref_Change_1522</t>
  </si>
  <si>
    <t>Change observed 2015-2022</t>
  </si>
  <si>
    <t>o=no change, 1= change</t>
  </si>
  <si>
    <t>Ref_Change_Type_1522</t>
  </si>
  <si>
    <t>Type of change observed 2015-2022</t>
  </si>
  <si>
    <t>Stable, NF (non-forest); Def (deforestation), Deg (degradation)</t>
  </si>
  <si>
    <t>ArtFor</t>
  </si>
  <si>
    <t>Artisanal forestry driver presence</t>
  </si>
  <si>
    <t>1=present, 0=absent</t>
  </si>
  <si>
    <t>ArtMine</t>
  </si>
  <si>
    <t>Artisanal minitng driver presence</t>
  </si>
  <si>
    <t>InfraR</t>
  </si>
  <si>
    <t>Infrastructure and road driver presence</t>
  </si>
  <si>
    <t>Urb</t>
  </si>
  <si>
    <t>Urban/settlement driver presence</t>
  </si>
  <si>
    <t>IndFor</t>
  </si>
  <si>
    <t>Industrial forestry driver presence</t>
  </si>
  <si>
    <t>Other</t>
  </si>
  <si>
    <t>Other driver presence</t>
  </si>
  <si>
    <t>Other_Desc</t>
  </si>
  <si>
    <t>Other driver description</t>
  </si>
  <si>
    <t>IndMine</t>
  </si>
  <si>
    <t>Industrial mining driver presence</t>
  </si>
  <si>
    <t>IndAg</t>
  </si>
  <si>
    <t>Industrial agriculture driver presence</t>
  </si>
  <si>
    <t>ArtAg</t>
  </si>
  <si>
    <t>Artisanal agriculture driver presence</t>
  </si>
  <si>
    <t>Ref_Year_1522</t>
  </si>
  <si>
    <t>Year of change observed between 2015 and 2022</t>
  </si>
  <si>
    <t>2016, 2017, 2018, 2019, 2020, 2021,2022</t>
  </si>
  <si>
    <t>Ref_NFtype_2015</t>
  </si>
  <si>
    <t>Reference non-forest observed in 2015</t>
  </si>
  <si>
    <t>codes from 13-18 from classification scheme</t>
  </si>
  <si>
    <t>Ref_Ftype_2015</t>
  </si>
  <si>
    <t>Reference forest type observed in 2015</t>
  </si>
  <si>
    <t>codes from 1-12 from classification scheme</t>
  </si>
  <si>
    <t>collection</t>
  </si>
  <si>
    <t>CEO source project</t>
  </si>
  <si>
    <t>name of the CEO project for 2015-2022 or 2023</t>
  </si>
  <si>
    <t>interpreted</t>
  </si>
  <si>
    <t>point was interpreted</t>
  </si>
  <si>
    <t>1=interpreted</t>
  </si>
  <si>
    <t>Ref_LCover_2015</t>
  </si>
  <si>
    <t>Reference land cover for 2015</t>
  </si>
  <si>
    <t>1-18 codes from classification scheme</t>
  </si>
  <si>
    <t>Ref_Change_Year_1522</t>
  </si>
  <si>
    <t>Type and year of change for 2015-2022</t>
  </si>
  <si>
    <t>Stable, NF (non-forest); Def#### (deforestation year), Deg#### (degradation year)</t>
  </si>
  <si>
    <t>Ref_Change_LCover_1522</t>
  </si>
  <si>
    <t>land cover and change type 2015-2022</t>
  </si>
  <si>
    <t>Stable## (stable land cover type), NF## (non-forest land cover code</t>
  </si>
  <si>
    <t>Def2016</t>
  </si>
  <si>
    <t>deforestation in 2016</t>
  </si>
  <si>
    <t>1=deforestation, 0=no deforestation</t>
  </si>
  <si>
    <t>Def2017</t>
  </si>
  <si>
    <t>deforestation in 2017</t>
  </si>
  <si>
    <t>Def2018</t>
  </si>
  <si>
    <t>deforestation in 2018</t>
  </si>
  <si>
    <t>Def2019</t>
  </si>
  <si>
    <t>deforestation in 2019</t>
  </si>
  <si>
    <t>Def2020</t>
  </si>
  <si>
    <t>deforestation in 2020</t>
  </si>
  <si>
    <t>Def2021</t>
  </si>
  <si>
    <t>deforestation in 2021</t>
  </si>
  <si>
    <t>Def2022</t>
  </si>
  <si>
    <t>deforestation in 2022</t>
  </si>
  <si>
    <t>Deg2016</t>
  </si>
  <si>
    <t>degradation in 2016</t>
  </si>
  <si>
    <t>1=degradation, 0=no degradation</t>
  </si>
  <si>
    <t>Deg2017</t>
  </si>
  <si>
    <t>degradation in 2017</t>
  </si>
  <si>
    <t>Deg2018</t>
  </si>
  <si>
    <t>degradation in 2018</t>
  </si>
  <si>
    <t>Deg2019</t>
  </si>
  <si>
    <t>degradation in 2019</t>
  </si>
  <si>
    <t>Deg2020</t>
  </si>
  <si>
    <t>degradation in 2020</t>
  </si>
  <si>
    <t>Deg2021</t>
  </si>
  <si>
    <t>degradation in 2021</t>
  </si>
  <si>
    <t>Deg2022</t>
  </si>
  <si>
    <t>degradation in 2022</t>
  </si>
  <si>
    <t>Defall</t>
  </si>
  <si>
    <t>deforestation all years (2015-2023)</t>
  </si>
  <si>
    <t>Degall</t>
  </si>
  <si>
    <t>degradation all years (2015-2023)</t>
  </si>
  <si>
    <t>Stable</t>
  </si>
  <si>
    <t>Stable forest all years (2015-2023)</t>
  </si>
  <si>
    <t>1=stable forest, 0=everything else</t>
  </si>
  <si>
    <t>NF</t>
  </si>
  <si>
    <t>non-forest all years (2015-2023)</t>
  </si>
  <si>
    <t>1=non-forest, 0=everything else</t>
  </si>
  <si>
    <t>DensFor</t>
  </si>
  <si>
    <t>dense forest in initial year</t>
  </si>
  <si>
    <t>1=dense forest, 0=everything else</t>
  </si>
  <si>
    <t>DensDryFor</t>
  </si>
  <si>
    <t>dense dry forest in initial year</t>
  </si>
  <si>
    <t>1=dense dry forest, 0=everything else</t>
  </si>
  <si>
    <t>SecFor</t>
  </si>
  <si>
    <t>secondary forest initial year</t>
  </si>
  <si>
    <t>1=secondary forest, 0= everything else</t>
  </si>
  <si>
    <t>DryOpenFor</t>
  </si>
  <si>
    <t>dry open forest initial year</t>
  </si>
  <si>
    <t>1=dry open forest, 0=everything else</t>
  </si>
  <si>
    <t>mangrove initial year</t>
  </si>
  <si>
    <t>1=mangrove, 0=everything else</t>
  </si>
  <si>
    <t>Swamp</t>
  </si>
  <si>
    <t>swamp forest initial year</t>
  </si>
  <si>
    <t>1=swamp forest, 0=everything else</t>
  </si>
  <si>
    <t>Gallery</t>
  </si>
  <si>
    <t>gallery forest initial year</t>
  </si>
  <si>
    <t>1=gallery forest, 0=everything else</t>
  </si>
  <si>
    <t>Plantation</t>
  </si>
  <si>
    <t>plantation forest initial year</t>
  </si>
  <si>
    <t>1=plantation forest, 0=everything else</t>
  </si>
  <si>
    <t>Woodland</t>
  </si>
  <si>
    <t>woodland forest initial year</t>
  </si>
  <si>
    <t>1=woodland forest, 0=everything else</t>
  </si>
  <si>
    <t>Shrubland</t>
  </si>
  <si>
    <t>shrubland initial year</t>
  </si>
  <si>
    <t>1=shrubland, 0=everything else</t>
  </si>
  <si>
    <t>Grassland</t>
  </si>
  <si>
    <t>grassland initial year</t>
  </si>
  <si>
    <t>1=grassland, 0=everything else</t>
  </si>
  <si>
    <t>Aquatic</t>
  </si>
  <si>
    <t>aquatic grassland initial year</t>
  </si>
  <si>
    <t>1=aquatic grassland, 0=everything else</t>
  </si>
  <si>
    <t>Bare</t>
  </si>
  <si>
    <t>bare land initial year</t>
  </si>
  <si>
    <t>1=bare, 0=everything else</t>
  </si>
  <si>
    <t>Cultivated</t>
  </si>
  <si>
    <t>cultivated land initial year</t>
  </si>
  <si>
    <t>1=cultivated, 0=everything else</t>
  </si>
  <si>
    <t>Builtup</t>
  </si>
  <si>
    <t>builtup initial year</t>
  </si>
  <si>
    <t>1=builtup, 0=everything else</t>
  </si>
  <si>
    <t>water initial year</t>
  </si>
  <si>
    <t>1=water, 0=everything else</t>
  </si>
  <si>
    <t>DensFor_Def</t>
  </si>
  <si>
    <t>dense forest deforestation (2015-2023)</t>
  </si>
  <si>
    <t>1=dense forest deforestation, 0= everything else</t>
  </si>
  <si>
    <t>DensDryFor_Def</t>
  </si>
  <si>
    <t>dense dry forest deforestation (2015-2023)</t>
  </si>
  <si>
    <t>1=dense dry deforestation, 0= everything else</t>
  </si>
  <si>
    <t>SecFor_Def</t>
  </si>
  <si>
    <t>secondary forest deforestation (2015-2023)</t>
  </si>
  <si>
    <t>1=secondary forest deforestation, 0= everything else</t>
  </si>
  <si>
    <t>DryOpenFor_Def</t>
  </si>
  <si>
    <t>dry open forest deforestation (2015-2023)</t>
  </si>
  <si>
    <t>1=dry open forest deforestation, 0= everything else</t>
  </si>
  <si>
    <t>Mangrove_Def</t>
  </si>
  <si>
    <t>mangrove deforestation (2015-2023)</t>
  </si>
  <si>
    <t>1=mangrove deforestation, 0= everything else</t>
  </si>
  <si>
    <t>Swamp_Def</t>
  </si>
  <si>
    <t>swamp forest deforestation (2015-2023)</t>
  </si>
  <si>
    <t>1=swamp forest deforestation, 0= everything else</t>
  </si>
  <si>
    <t>Gallery_Def</t>
  </si>
  <si>
    <t>gallery forest deforestation (2015-2023)</t>
  </si>
  <si>
    <t>1=gallery forest deforestation, 0= everything else</t>
  </si>
  <si>
    <t>Plantation_Def</t>
  </si>
  <si>
    <t>plantation deforestation (2015-2023)</t>
  </si>
  <si>
    <t>1=plantation deforestation, 0= everything else</t>
  </si>
  <si>
    <t>Woodland_Def</t>
  </si>
  <si>
    <t>woodland deforestation (2015-2023)</t>
  </si>
  <si>
    <t>1=woodland deforestation, 0= everything else</t>
  </si>
  <si>
    <t>DensFor_Deg</t>
  </si>
  <si>
    <t>dense forest degradation (2015-2023)</t>
  </si>
  <si>
    <t>1=dense forest degradation, 0= everything else</t>
  </si>
  <si>
    <t>DensDryFor_Deg</t>
  </si>
  <si>
    <t>dense dry forest degradation (2015-2023)</t>
  </si>
  <si>
    <t>1=dense dry forest degradation, 0= everything else</t>
  </si>
  <si>
    <t>SecFor_Deg</t>
  </si>
  <si>
    <t>secondary forest degradation (2015-2023)</t>
  </si>
  <si>
    <t>1=secondary forest degradation, 0= everything else</t>
  </si>
  <si>
    <t>DryOpenFor_Deg</t>
  </si>
  <si>
    <t>dry open forest degradation (2015-2023)</t>
  </si>
  <si>
    <t>1=dry open forest degradation, 0= everything else</t>
  </si>
  <si>
    <t>Mangrove_Deg</t>
  </si>
  <si>
    <t>mangrove degradation (2015-2023)</t>
  </si>
  <si>
    <t>1=mangrove degradation, 0= everything else</t>
  </si>
  <si>
    <t>Swamp_Deg</t>
  </si>
  <si>
    <t>swamp forest degradation (2015-2023)</t>
  </si>
  <si>
    <t>1=swamp forest degradation, 0= everything else</t>
  </si>
  <si>
    <t>Gallery_Deg</t>
  </si>
  <si>
    <t>degraded gallery forest (2015-2023)</t>
  </si>
  <si>
    <t>1=gallery forest degradation, 0= everything else</t>
  </si>
  <si>
    <t>Plantation_Deg</t>
  </si>
  <si>
    <t>degraded plantation (2015-2023)</t>
  </si>
  <si>
    <t>1=plantation degradation, 0= everything else</t>
  </si>
  <si>
    <t>Woodland_Deg</t>
  </si>
  <si>
    <t>degraded woodland (2015-2023)</t>
  </si>
  <si>
    <t>1=woodland degradation, 0= everything else</t>
  </si>
  <si>
    <t>DensFor_Stable</t>
  </si>
  <si>
    <t>stable dense forest</t>
  </si>
  <si>
    <t>1=stable dense forest, 0= everything else</t>
  </si>
  <si>
    <t>DensDryFor_Stable</t>
  </si>
  <si>
    <t>stable dense dry forest</t>
  </si>
  <si>
    <t>1=stable dense dry forest, 0= everything else</t>
  </si>
  <si>
    <t>SecFor_Stable</t>
  </si>
  <si>
    <t>stable secondary forest</t>
  </si>
  <si>
    <t>1=stable secondary forest, 0= everything else</t>
  </si>
  <si>
    <t>DryOpenFor_Stable</t>
  </si>
  <si>
    <t>stable dry open forest</t>
  </si>
  <si>
    <t>1=stable dry open forest, 0= everything else</t>
  </si>
  <si>
    <t>Mangrove_Stable</t>
  </si>
  <si>
    <t>stable mangrove forest</t>
  </si>
  <si>
    <t>1=stable mangrove forest, 0= everything else</t>
  </si>
  <si>
    <t>Swamp_Stable</t>
  </si>
  <si>
    <t>stable swamp forest</t>
  </si>
  <si>
    <t>1=stable swamp forest, 0= everything else</t>
  </si>
  <si>
    <t>Gallery_Stable</t>
  </si>
  <si>
    <t>stable gallery forest</t>
  </si>
  <si>
    <t>1=stable gallery forest, 0= everything else</t>
  </si>
  <si>
    <t>Plantation_Stable</t>
  </si>
  <si>
    <t>stable plantation</t>
  </si>
  <si>
    <t>1=stable plantation, 0= everything else</t>
  </si>
  <si>
    <t>Woodland_Stable</t>
  </si>
  <si>
    <t>Stable woodland forest</t>
  </si>
  <si>
    <t>1=stable woodland forest, 0= everything else</t>
  </si>
  <si>
    <t>ISO</t>
  </si>
  <si>
    <t>3 digit country code</t>
  </si>
  <si>
    <t>CAF,CMR,COD,COG,GAB,EQG</t>
  </si>
  <si>
    <t>sampling</t>
  </si>
  <si>
    <t>points sampling type, systematic (2015-2022) or random (2023)</t>
  </si>
  <si>
    <t>random or systematic</t>
  </si>
  <si>
    <t>Ref_FNF_2022</t>
  </si>
  <si>
    <t>Forest in 2022</t>
  </si>
  <si>
    <t>1=forest, 0=non-forest</t>
  </si>
  <si>
    <t>Ref_Change_2023</t>
  </si>
  <si>
    <t>Change observed in 2023</t>
  </si>
  <si>
    <t>1=change in 2023, 0=no change in 2023</t>
  </si>
  <si>
    <t>Ref_Change_Type_2023</t>
  </si>
  <si>
    <t>Ref_NFtype_2022</t>
  </si>
  <si>
    <t>Reference non-forest observed in 2022</t>
  </si>
  <si>
    <t>Ref_Ftype_2022</t>
  </si>
  <si>
    <t>Reference forest type observed in 2022</t>
  </si>
  <si>
    <t>Ref_LCover_2022</t>
  </si>
  <si>
    <t>Reference land cover for 2022</t>
  </si>
  <si>
    <t>Ref_Change_Year_2023</t>
  </si>
  <si>
    <t>Type and year of change for 2023</t>
  </si>
  <si>
    <t>Stable, NF (non-forest); Def2023, Deg2023</t>
  </si>
  <si>
    <t>Ref_Change_LCover_2023</t>
  </si>
  <si>
    <t>land cover and change type 2023</t>
  </si>
  <si>
    <t>Def2023</t>
  </si>
  <si>
    <t>deforestation in 2023</t>
  </si>
  <si>
    <t>1=deforestation 2023, 0=everything else</t>
  </si>
  <si>
    <t>Deg2023</t>
  </si>
  <si>
    <t>degradation in 2023</t>
  </si>
  <si>
    <t>1=degradation 2023, 0=everything else</t>
  </si>
  <si>
    <t>interpreted_qc</t>
  </si>
  <si>
    <t>interpreted second time in quality assessment</t>
  </si>
  <si>
    <t>1=interpreted 2nd time, 0=everything else</t>
  </si>
  <si>
    <t>Ref_Change_Type_1523</t>
  </si>
  <si>
    <t>Type of change observed 2015-2023</t>
  </si>
  <si>
    <t>Ref_Change_Year_1523</t>
  </si>
  <si>
    <t>Type and year of change for 2015-2023</t>
  </si>
  <si>
    <t>Prefecture (or Province)</t>
  </si>
  <si>
    <t>sub-national administration name</t>
  </si>
  <si>
    <t>Stable, NF (non-forest); Def####(deforestation year), Deg#### (degradation year)</t>
  </si>
  <si>
    <t>Prefecture</t>
  </si>
  <si>
    <t>POINT (15.352268 7.276064)</t>
  </si>
  <si>
    <t>Def</t>
  </si>
  <si>
    <t>coll_1522_1</t>
  </si>
  <si>
    <t>Def_3</t>
  </si>
  <si>
    <t>CAF</t>
  </si>
  <si>
    <t>ceo_1522</t>
  </si>
  <si>
    <t>Ouham Pendé</t>
  </si>
  <si>
    <t>POINT (22.98635 8.020981)</t>
  </si>
  <si>
    <t>oui</t>
  </si>
  <si>
    <t>NF_12</t>
  </si>
  <si>
    <t>Haute-Kotto</t>
  </si>
  <si>
    <t>POINT (22.707893 7.550748)</t>
  </si>
  <si>
    <t>CENTRAL AFRICAN REPUBLIC NATIONAL FOREST COVER CHANGE ESTIMATES FROM TNT</t>
  </si>
  <si>
    <t>Total Study Area (ha)</t>
  </si>
  <si>
    <t>Summary</t>
  </si>
  <si>
    <t>Year</t>
  </si>
  <si>
    <t>Deforestation</t>
  </si>
  <si>
    <t>Degradation</t>
  </si>
  <si>
    <t>Time Period</t>
  </si>
  <si>
    <t>Stratum</t>
  </si>
  <si>
    <t xml:space="preserve">Area (ha) </t>
  </si>
  <si>
    <t>Weight</t>
  </si>
  <si>
    <t># CEO points interpreted</t>
  </si>
  <si>
    <t>Z value</t>
  </si>
  <si>
    <t># of CEO points in Strata</t>
  </si>
  <si>
    <t>Variance</t>
  </si>
  <si>
    <t>Average</t>
  </si>
  <si>
    <t>Error per class per strata</t>
  </si>
  <si>
    <t>Area per class per strata</t>
  </si>
  <si>
    <t>Weighted Average</t>
  </si>
  <si>
    <t>Total</t>
  </si>
  <si>
    <t>Total Error (ha)</t>
  </si>
  <si>
    <t>MOE (90% c.i.)</t>
  </si>
  <si>
    <t>Total Area (ha)</t>
  </si>
  <si>
    <t>Total error in %</t>
  </si>
  <si>
    <t>Total of Area (%)</t>
  </si>
  <si>
    <t>TOTAL</t>
  </si>
  <si>
    <t>TNT_Stratum_2223</t>
  </si>
  <si>
    <t>Change</t>
  </si>
  <si>
    <t>Area (ha)</t>
  </si>
  <si>
    <t>MOE</t>
  </si>
  <si>
    <t>MOE (lower)</t>
  </si>
  <si>
    <t>MOE (upper)</t>
  </si>
  <si>
    <t>Total Error (%)</t>
  </si>
  <si>
    <t>% of Forest</t>
  </si>
  <si>
    <t>% of Area</t>
  </si>
  <si>
    <t>Annual Rate</t>
  </si>
  <si>
    <t>Total Deforestation</t>
  </si>
  <si>
    <t>SQRT(total area * total error)2 + (total area * total error)2 / total area</t>
  </si>
  <si>
    <t xml:space="preserve"> </t>
  </si>
  <si>
    <t>Total Degradation</t>
  </si>
  <si>
    <t>Forest</t>
  </si>
  <si>
    <t>Non-Forest</t>
  </si>
  <si>
    <t>Lobaye</t>
  </si>
  <si>
    <t>Forest Cover Change Estimates Sub-National Level</t>
  </si>
  <si>
    <t>Collection</t>
  </si>
  <si>
    <t>Strata Column</t>
  </si>
  <si>
    <t>Ref Change Year Column</t>
  </si>
  <si>
    <t>Ouham</t>
  </si>
  <si>
    <t>GIS Area Ha</t>
  </si>
  <si>
    <t>1522 stratum 1</t>
  </si>
  <si>
    <t>1522 stratum 2</t>
  </si>
  <si>
    <t>1522 stratum 3</t>
  </si>
  <si>
    <t>1522 stratum 4</t>
  </si>
  <si>
    <t>1522 stratum 5</t>
  </si>
  <si>
    <t>2023 stratum 1</t>
  </si>
  <si>
    <t>2023 stratum 2</t>
  </si>
  <si>
    <t>2023 stratum 3</t>
  </si>
  <si>
    <t>2023 stratum 4</t>
  </si>
  <si>
    <t>2023 stratum 5</t>
  </si>
  <si>
    <t>Total Def 2015-2022</t>
  </si>
  <si>
    <t>Total Deg 2015-2022</t>
  </si>
  <si>
    <t>Total Def 2023</t>
  </si>
  <si>
    <t>Total Deg 2023</t>
  </si>
  <si>
    <t>Sum Def</t>
  </si>
  <si>
    <t>Sum Def MOE</t>
  </si>
  <si>
    <t>Sum Def Error (%)</t>
  </si>
  <si>
    <t>Sum Deg</t>
  </si>
  <si>
    <t>Sum Deg MOE</t>
  </si>
  <si>
    <t>Sum Deg Error (%)</t>
  </si>
  <si>
    <t>Sangha-Mbaéré</t>
  </si>
  <si>
    <t>Mambéré-Kadéï</t>
  </si>
  <si>
    <t>Nana-Mambéré</t>
  </si>
  <si>
    <t>Kémo</t>
  </si>
  <si>
    <t>Nana-Gribizi</t>
  </si>
  <si>
    <t>Vakaga</t>
  </si>
  <si>
    <t>Bamingui-Bangoran</t>
  </si>
  <si>
    <t>Haut-Mbomou</t>
  </si>
  <si>
    <t>Mbomou</t>
  </si>
  <si>
    <t>Ombella M'Poko</t>
  </si>
  <si>
    <t>Ouaka</t>
  </si>
  <si>
    <t>Basse-Kotto</t>
  </si>
  <si>
    <t>Bangui</t>
  </si>
  <si>
    <t>CENTRAL AFRICAN REPUBLIC CHANGES BY FOREST TYPE (2015-2022)</t>
  </si>
  <si>
    <t>Forest Type</t>
  </si>
  <si>
    <t>% error Def</t>
  </si>
  <si>
    <t>% error Deg</t>
  </si>
  <si>
    <t>Code</t>
  </si>
  <si>
    <t>Deg</t>
  </si>
  <si>
    <t>Dense forest</t>
  </si>
  <si>
    <t>Dense dry forest</t>
  </si>
  <si>
    <t>Secondary forest</t>
  </si>
  <si>
    <t>Dry open forest</t>
  </si>
  <si>
    <t>Gallery forest</t>
  </si>
  <si>
    <t>Collection Column</t>
  </si>
  <si>
    <t>TNT_Stratum_1522</t>
  </si>
  <si>
    <t>Deforestation Area (ha)</t>
  </si>
  <si>
    <t>Degradation Area (ha)</t>
  </si>
  <si>
    <t>Prefecture Column</t>
  </si>
  <si>
    <t>Proportion</t>
  </si>
  <si>
    <t>Area per class and strata [ha]</t>
  </si>
  <si>
    <t>Standard deviation</t>
  </si>
  <si>
    <t>Standard error in 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</si>
</sst>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"/>
    <numFmt numFmtId="165" formatCode="0.000000"/>
    <numFmt numFmtId="166" formatCode="#,##0.00000"/>
    <numFmt numFmtId="167" formatCode="#,##0.000000"/>
    <numFmt numFmtId="168" formatCode="0.00000"/>
    <numFmt numFmtId="169" formatCode="mm/dd/yyyy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rgb="FFFFFFFF"/>
      <name val="Calibri"/>
    </font>
    <font>
      <color theme="1"/>
      <name val="Roboto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sz val="12.0"/>
      <color rgb="FF3F3844"/>
      <name val="Calibri"/>
    </font>
    <font>
      <b/>
      <sz val="11.0"/>
      <color theme="1"/>
      <name val="Arial"/>
    </font>
    <font/>
    <font>
      <sz val="10.0"/>
      <color rgb="FF000000"/>
      <name val="Arial"/>
    </font>
    <font>
      <sz val="11.0"/>
      <color rgb="FF000000"/>
      <name val="Arial"/>
    </font>
    <font>
      <b/>
      <color rgb="FF1F1F1F"/>
      <name val="Arial"/>
    </font>
    <font>
      <sz val="11.0"/>
      <color rgb="FF1F1F1F"/>
      <name val="Arial"/>
    </font>
    <font>
      <b/>
      <sz val="10.0"/>
      <color theme="1"/>
      <name val="Arial"/>
    </font>
    <font>
      <sz val="10.0"/>
      <color rgb="FF000000"/>
      <name val="Monospace"/>
    </font>
  </fonts>
  <fills count="3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6400"/>
        <bgColor rgb="FF006400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32CD32"/>
        <bgColor rgb="FF32CD32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2E8B57"/>
        <bgColor rgb="FF2E8B57"/>
      </patternFill>
    </fill>
    <fill>
      <patternFill patternType="solid">
        <fgColor rgb="FF5F9EA0"/>
        <bgColor rgb="FF5F9EA0"/>
      </patternFill>
    </fill>
    <fill>
      <patternFill patternType="solid">
        <fgColor rgb="FF30D5C8"/>
        <bgColor rgb="FF30D5C8"/>
      </patternFill>
    </fill>
    <fill>
      <patternFill patternType="solid">
        <fgColor rgb="FF8B008B"/>
        <bgColor rgb="FF8B008B"/>
      </patternFill>
    </fill>
    <fill>
      <patternFill patternType="solid">
        <fgColor rgb="FF008081"/>
        <bgColor rgb="FF008081"/>
      </patternFill>
    </fill>
    <fill>
      <patternFill patternType="solid">
        <fgColor rgb="FF0C343D"/>
        <bgColor rgb="FF0C343D"/>
      </patternFill>
    </fill>
    <fill>
      <patternFill patternType="solid">
        <fgColor rgb="FFCFE2F3"/>
        <bgColor rgb="FFCFE2F3"/>
      </patternFill>
    </fill>
    <fill>
      <patternFill patternType="solid">
        <fgColor rgb="FF6B8E23"/>
        <bgColor rgb="FF6B8E23"/>
      </patternFill>
    </fill>
    <fill>
      <patternFill patternType="solid">
        <fgColor rgb="FFEEE8AA"/>
        <bgColor rgb="FFEEE8AA"/>
      </patternFill>
    </fill>
    <fill>
      <patternFill patternType="solid">
        <fgColor rgb="FFC3B091"/>
        <bgColor rgb="FFC3B091"/>
      </patternFill>
    </fill>
    <fill>
      <patternFill patternType="solid">
        <fgColor rgb="FF4682B4"/>
        <bgColor rgb="FF4682B4"/>
      </patternFill>
    </fill>
    <fill>
      <patternFill patternType="solid">
        <fgColor rgb="FF808080"/>
        <bgColor rgb="FF808080"/>
      </patternFill>
    </fill>
    <fill>
      <patternFill patternType="solid">
        <fgColor rgb="FFD2B48C"/>
        <bgColor rgb="FFD2B48C"/>
      </patternFill>
    </fill>
    <fill>
      <patternFill patternType="solid">
        <fgColor rgb="FF800000"/>
        <bgColor rgb="FF800000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F9DFDE"/>
        <bgColor rgb="FFF9DFDE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shrinkToFit="0" vertical="bottom" wrapText="1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7" numFmtId="0" xfId="0" applyAlignment="1" applyBorder="1" applyFill="1" applyFont="1">
      <alignment horizontal="center" shrinkToFit="0" vertical="bottom" wrapText="1"/>
    </xf>
    <xf borderId="1" fillId="5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vertical="top"/>
    </xf>
    <xf borderId="1" fillId="0" fontId="8" numFmtId="0" xfId="0" applyAlignment="1" applyBorder="1" applyFont="1">
      <alignment vertical="bottom"/>
    </xf>
    <xf borderId="1" fillId="6" fontId="7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7" fontId="7" numFmtId="0" xfId="0" applyAlignment="1" applyBorder="1" applyFill="1" applyFont="1">
      <alignment horizontal="center" shrinkToFit="0" vertical="bottom" wrapText="1"/>
    </xf>
    <xf borderId="0" fillId="8" fontId="6" numFmtId="0" xfId="0" applyAlignment="1" applyFill="1" applyFont="1">
      <alignment vertical="bottom"/>
    </xf>
    <xf borderId="1" fillId="9" fontId="7" numFmtId="0" xfId="0" applyAlignment="1" applyBorder="1" applyFill="1" applyFont="1">
      <alignment horizontal="center" shrinkToFit="0" vertical="bottom" wrapText="1"/>
    </xf>
    <xf borderId="1" fillId="10" fontId="7" numFmtId="0" xfId="0" applyAlignment="1" applyBorder="1" applyFill="1" applyFont="1">
      <alignment horizontal="center" shrinkToFit="0" vertical="bottom" wrapText="1"/>
    </xf>
    <xf borderId="1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vertical="bottom"/>
    </xf>
    <xf borderId="1" fillId="11" fontId="7" numFmtId="0" xfId="0" applyAlignment="1" applyBorder="1" applyFill="1" applyFont="1">
      <alignment horizontal="center" shrinkToFit="0" vertical="bottom" wrapText="1"/>
    </xf>
    <xf borderId="1" fillId="12" fontId="5" numFmtId="0" xfId="0" applyAlignment="1" applyBorder="1" applyFill="1" applyFont="1">
      <alignment horizontal="center" shrinkToFit="0" vertical="bottom" wrapText="1"/>
    </xf>
    <xf borderId="1" fillId="13" fontId="7" numFmtId="0" xfId="0" applyAlignment="1" applyBorder="1" applyFill="1" applyFont="1">
      <alignment horizontal="center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vertical="bottom"/>
    </xf>
    <xf borderId="1" fillId="14" fontId="5" numFmtId="0" xfId="0" applyAlignment="1" applyBorder="1" applyFill="1" applyFont="1">
      <alignment horizontal="center" shrinkToFit="0" vertical="bottom" wrapText="1"/>
    </xf>
    <xf borderId="1" fillId="15" fontId="7" numFmtId="0" xfId="0" applyAlignment="1" applyBorder="1" applyFill="1" applyFont="1">
      <alignment horizontal="center" shrinkToFit="0" vertical="bottom" wrapText="1"/>
    </xf>
    <xf borderId="1" fillId="16" fontId="7" numFmtId="0" xfId="0" applyAlignment="1" applyBorder="1" applyFill="1" applyFont="1">
      <alignment horizontal="center" shrinkToFit="0" vertical="bottom" wrapText="1"/>
    </xf>
    <xf borderId="1" fillId="17" fontId="7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1" fillId="18" fontId="7" numFmtId="0" xfId="0" applyAlignment="1" applyBorder="1" applyFill="1" applyFont="1">
      <alignment horizontal="center" shrinkToFit="0" vertical="bottom" wrapText="1"/>
    </xf>
    <xf borderId="1" fillId="19" fontId="7" numFmtId="0" xfId="0" applyAlignment="1" applyBorder="1" applyFill="1" applyFont="1">
      <alignment horizontal="center" shrinkToFit="0" vertical="bottom" wrapText="1"/>
    </xf>
    <xf borderId="1" fillId="20" fontId="7" numFmtId="0" xfId="0" applyAlignment="1" applyBorder="1" applyFill="1" applyFont="1">
      <alignment horizontal="center" shrinkToFit="0" vertical="bottom" wrapText="1"/>
    </xf>
    <xf borderId="1" fillId="21" fontId="7" numFmtId="0" xfId="0" applyAlignment="1" applyBorder="1" applyFill="1" applyFont="1">
      <alignment horizontal="center" shrinkToFit="0" vertical="bottom" wrapText="1"/>
    </xf>
    <xf borderId="1" fillId="22" fontId="5" numFmtId="0" xfId="0" applyAlignment="1" applyBorder="1" applyFill="1" applyFont="1">
      <alignment horizontal="center" shrinkToFit="0" vertical="bottom" wrapText="1"/>
    </xf>
    <xf borderId="1" fillId="23" fontId="5" numFmtId="0" xfId="0" applyAlignment="1" applyBorder="1" applyFill="1" applyFont="1">
      <alignment horizontal="center" shrinkToFit="0" vertical="bottom" wrapText="1"/>
    </xf>
    <xf borderId="2" fillId="0" fontId="8" numFmtId="0" xfId="0" applyAlignment="1" applyBorder="1" applyFont="1">
      <alignment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8" numFmtId="0" xfId="0" applyFont="1"/>
    <xf borderId="0" fillId="0" fontId="11" numFmtId="0" xfId="0" applyFont="1"/>
    <xf borderId="0" fillId="0" fontId="8" numFmtId="3" xfId="0" applyAlignment="1" applyFont="1" applyNumberFormat="1">
      <alignment shrinkToFit="0" wrapText="1"/>
    </xf>
    <xf borderId="0" fillId="0" fontId="4" numFmtId="3" xfId="0" applyFont="1" applyNumberFormat="1"/>
    <xf borderId="0" fillId="0" fontId="8" numFmtId="3" xfId="0" applyFont="1" applyNumberFormat="1"/>
    <xf borderId="3" fillId="5" fontId="4" numFmtId="0" xfId="0" applyBorder="1" applyFont="1"/>
    <xf borderId="0" fillId="24" fontId="4" numFmtId="3" xfId="0" applyFill="1" applyFont="1" applyNumberFormat="1"/>
    <xf borderId="0" fillId="0" fontId="4" numFmtId="0" xfId="0" applyFont="1"/>
    <xf borderId="3" fillId="0" fontId="4" numFmtId="0" xfId="0" applyBorder="1" applyFont="1"/>
    <xf borderId="0" fillId="0" fontId="4" numFmtId="0" xfId="0" applyAlignment="1" applyFont="1">
      <alignment shrinkToFit="0" wrapText="1"/>
    </xf>
    <xf borderId="0" fillId="0" fontId="4" numFmtId="2" xfId="0" applyAlignment="1" applyFont="1" applyNumberFormat="1">
      <alignment shrinkToFit="0" wrapText="1"/>
    </xf>
    <xf borderId="1" fillId="0" fontId="4" numFmtId="0" xfId="0" applyBorder="1" applyFont="1"/>
    <xf borderId="4" fillId="0" fontId="4" numFmtId="0" xfId="0" applyAlignment="1" applyBorder="1" applyFont="1">
      <alignment horizontal="left" shrinkToFit="0" wrapText="1"/>
    </xf>
    <xf borderId="5" fillId="0" fontId="12" numFmtId="0" xfId="0" applyBorder="1" applyFont="1"/>
    <xf borderId="6" fillId="0" fontId="12" numFmtId="0" xfId="0" applyBorder="1" applyFont="1"/>
    <xf borderId="0" fillId="0" fontId="4" numFmtId="0" xfId="0" applyAlignment="1" applyFont="1">
      <alignment horizontal="left"/>
    </xf>
    <xf borderId="1" fillId="0" fontId="8" numFmtId="3" xfId="0" applyBorder="1" applyFont="1" applyNumberFormat="1"/>
    <xf borderId="7" fillId="0" fontId="4" numFmtId="0" xfId="0" applyBorder="1" applyFont="1"/>
    <xf borderId="8" fillId="0" fontId="4" numFmtId="0" xfId="0" applyAlignment="1" applyBorder="1" applyFont="1">
      <alignment shrinkToFit="0" wrapText="1"/>
    </xf>
    <xf borderId="3" fillId="5" fontId="8" numFmtId="0" xfId="0" applyBorder="1" applyFont="1"/>
    <xf borderId="1" fillId="24" fontId="13" numFmtId="3" xfId="0" applyAlignment="1" applyBorder="1" applyFont="1" applyNumberFormat="1">
      <alignment horizontal="center" readingOrder="0"/>
    </xf>
    <xf borderId="1" fillId="5" fontId="8" numFmtId="164" xfId="0" applyAlignment="1" applyBorder="1" applyFont="1" applyNumberFormat="1">
      <alignment horizontal="center"/>
    </xf>
    <xf borderId="1" fillId="5" fontId="8" numFmtId="3" xfId="0" applyAlignment="1" applyBorder="1" applyFont="1" applyNumberFormat="1">
      <alignment horizontal="center"/>
    </xf>
    <xf borderId="0" fillId="0" fontId="14" numFmtId="3" xfId="0" applyFont="1" applyNumberFormat="1"/>
    <xf borderId="0" fillId="0" fontId="8" numFmtId="164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1" fillId="24" fontId="4" numFmtId="3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/>
    </xf>
    <xf borderId="1" fillId="0" fontId="8" numFmtId="0" xfId="0" applyBorder="1" applyFont="1"/>
    <xf borderId="0" fillId="0" fontId="4" numFmtId="0" xfId="0" applyAlignment="1" applyFont="1">
      <alignment vertical="bottom"/>
    </xf>
    <xf borderId="1" fillId="24" fontId="8" numFmtId="0" xfId="0" applyAlignment="1" applyBorder="1" applyFont="1">
      <alignment shrinkToFit="0" vertical="bottom" wrapText="1"/>
    </xf>
    <xf borderId="0" fillId="0" fontId="8" numFmtId="2" xfId="0" applyFont="1" applyNumberFormat="1"/>
    <xf borderId="0" fillId="0" fontId="8" numFmtId="0" xfId="0" applyAlignment="1" applyFont="1">
      <alignment vertical="bottom"/>
    </xf>
    <xf borderId="0" fillId="0" fontId="4" numFmtId="1" xfId="0" applyFont="1" applyNumberFormat="1"/>
    <xf borderId="0" fillId="0" fontId="4" numFmtId="0" xfId="0" applyAlignment="1" applyFont="1">
      <alignment shrinkToFit="0" vertical="bottom" wrapText="1"/>
    </xf>
    <xf borderId="1" fillId="24" fontId="8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24" fontId="8" numFmtId="0" xfId="0" applyAlignment="1" applyBorder="1" applyFont="1">
      <alignment vertical="bottom"/>
    </xf>
    <xf borderId="0" fillId="8" fontId="15" numFmtId="0" xfId="0" applyAlignment="1" applyFont="1">
      <alignment vertical="bottom"/>
    </xf>
    <xf borderId="1" fillId="24" fontId="8" numFmtId="0" xfId="0" applyAlignment="1" applyBorder="1" applyFont="1">
      <alignment vertical="bottom"/>
    </xf>
    <xf borderId="4" fillId="0" fontId="4" numFmtId="0" xfId="0" applyAlignment="1" applyBorder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3" xfId="0" applyAlignment="1" applyBorder="1" applyFont="1" applyNumberFormat="1">
      <alignment readingOrder="0"/>
    </xf>
    <xf borderId="1" fillId="0" fontId="4" numFmtId="3" xfId="0" applyBorder="1" applyFont="1" applyNumberFormat="1"/>
    <xf borderId="1" fillId="0" fontId="4" numFmtId="3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25" fontId="8" numFmtId="0" xfId="0" applyAlignment="1" applyBorder="1" applyFill="1" applyFont="1">
      <alignment vertical="bottom"/>
    </xf>
    <xf borderId="1" fillId="25" fontId="8" numFmtId="0" xfId="0" applyBorder="1" applyFont="1"/>
    <xf borderId="1" fillId="25" fontId="8" numFmtId="165" xfId="0" applyBorder="1" applyFont="1" applyNumberFormat="1"/>
    <xf borderId="1" fillId="25" fontId="8" numFmtId="166" xfId="0" applyBorder="1" applyFont="1" applyNumberFormat="1"/>
    <xf borderId="1" fillId="25" fontId="8" numFmtId="3" xfId="0" applyBorder="1" applyFont="1" applyNumberFormat="1"/>
    <xf borderId="1" fillId="25" fontId="8" numFmtId="167" xfId="0" applyBorder="1" applyFont="1" applyNumberFormat="1"/>
    <xf borderId="1" fillId="25" fontId="4" numFmtId="3" xfId="0" applyBorder="1" applyFont="1" applyNumberFormat="1"/>
    <xf borderId="1" fillId="25" fontId="4" numFmtId="10" xfId="0" applyAlignment="1" applyBorder="1" applyFont="1" applyNumberFormat="1">
      <alignment horizontal="right" vertical="bottom"/>
    </xf>
    <xf borderId="1" fillId="25" fontId="8" numFmtId="10" xfId="0" applyAlignment="1" applyBorder="1" applyFont="1" applyNumberFormat="1">
      <alignment horizontal="right" vertical="bottom"/>
    </xf>
    <xf borderId="0" fillId="26" fontId="4" numFmtId="0" xfId="0" applyAlignment="1" applyFill="1" applyFont="1">
      <alignment horizontal="right" vertical="bottom"/>
    </xf>
    <xf borderId="0" fillId="0" fontId="8" numFmtId="3" xfId="0" applyAlignment="1" applyFont="1" applyNumberFormat="1">
      <alignment vertical="bottom"/>
    </xf>
    <xf borderId="0" fillId="26" fontId="4" numFmtId="3" xfId="0" applyAlignment="1" applyFont="1" applyNumberFormat="1">
      <alignment horizontal="right" vertical="bottom"/>
    </xf>
    <xf borderId="0" fillId="0" fontId="8" numFmtId="10" xfId="0" applyAlignment="1" applyFont="1" applyNumberFormat="1">
      <alignment vertical="bottom"/>
    </xf>
    <xf borderId="1" fillId="27" fontId="8" numFmtId="0" xfId="0" applyAlignment="1" applyBorder="1" applyFill="1" applyFont="1">
      <alignment vertical="bottom"/>
    </xf>
    <xf borderId="1" fillId="27" fontId="8" numFmtId="0" xfId="0" applyBorder="1" applyFont="1"/>
    <xf borderId="1" fillId="27" fontId="8" numFmtId="167" xfId="0" applyBorder="1" applyFont="1" applyNumberFormat="1"/>
    <xf borderId="1" fillId="27" fontId="8" numFmtId="166" xfId="0" applyBorder="1" applyFont="1" applyNumberFormat="1"/>
    <xf borderId="1" fillId="27" fontId="8" numFmtId="3" xfId="0" applyBorder="1" applyFont="1" applyNumberFormat="1"/>
    <xf borderId="1" fillId="27" fontId="4" numFmtId="3" xfId="0" applyBorder="1" applyFont="1" applyNumberFormat="1"/>
    <xf borderId="1" fillId="27" fontId="4" numFmtId="10" xfId="0" applyAlignment="1" applyBorder="1" applyFont="1" applyNumberFormat="1">
      <alignment horizontal="right" vertical="bottom"/>
    </xf>
    <xf borderId="1" fillId="27" fontId="8" numFmtId="10" xfId="0" applyAlignment="1" applyBorder="1" applyFont="1" applyNumberFormat="1">
      <alignment horizontal="right" vertical="bottom"/>
    </xf>
    <xf borderId="0" fillId="0" fontId="4" numFmtId="2" xfId="0" applyFont="1" applyNumberFormat="1"/>
    <xf borderId="1" fillId="28" fontId="8" numFmtId="0" xfId="0" applyAlignment="1" applyBorder="1" applyFill="1" applyFont="1">
      <alignment vertical="bottom"/>
    </xf>
    <xf borderId="1" fillId="28" fontId="8" numFmtId="0" xfId="0" applyBorder="1" applyFont="1"/>
    <xf borderId="1" fillId="28" fontId="8" numFmtId="167" xfId="0" applyBorder="1" applyFont="1" applyNumberFormat="1"/>
    <xf borderId="1" fillId="28" fontId="8" numFmtId="166" xfId="0" applyBorder="1" applyFont="1" applyNumberFormat="1"/>
    <xf borderId="1" fillId="28" fontId="8" numFmtId="3" xfId="0" applyBorder="1" applyFont="1" applyNumberFormat="1"/>
    <xf borderId="1" fillId="28" fontId="4" numFmtId="3" xfId="0" applyBorder="1" applyFont="1" applyNumberFormat="1"/>
    <xf borderId="1" fillId="28" fontId="4" numFmtId="10" xfId="0" applyAlignment="1" applyBorder="1" applyFont="1" applyNumberFormat="1">
      <alignment horizontal="right" vertical="bottom"/>
    </xf>
    <xf borderId="1" fillId="28" fontId="8" numFmtId="10" xfId="0" applyAlignment="1" applyBorder="1" applyFont="1" applyNumberFormat="1">
      <alignment horizontal="right" vertical="bottom"/>
    </xf>
    <xf borderId="1" fillId="29" fontId="8" numFmtId="0" xfId="0" applyAlignment="1" applyBorder="1" applyFill="1" applyFont="1">
      <alignment vertical="bottom"/>
    </xf>
    <xf borderId="1" fillId="29" fontId="8" numFmtId="0" xfId="0" applyBorder="1" applyFont="1"/>
    <xf borderId="1" fillId="29" fontId="8" numFmtId="167" xfId="0" applyBorder="1" applyFont="1" applyNumberFormat="1"/>
    <xf borderId="1" fillId="29" fontId="8" numFmtId="166" xfId="0" applyBorder="1" applyFont="1" applyNumberFormat="1"/>
    <xf borderId="1" fillId="29" fontId="8" numFmtId="3" xfId="0" applyBorder="1" applyFont="1" applyNumberFormat="1"/>
    <xf borderId="1" fillId="29" fontId="4" numFmtId="3" xfId="0" applyBorder="1" applyFont="1" applyNumberFormat="1"/>
    <xf borderId="1" fillId="29" fontId="4" numFmtId="10" xfId="0" applyAlignment="1" applyBorder="1" applyFont="1" applyNumberFormat="1">
      <alignment horizontal="right" vertical="bottom"/>
    </xf>
    <xf borderId="1" fillId="29" fontId="8" numFmtId="10" xfId="0" applyAlignment="1" applyBorder="1" applyFont="1" applyNumberFormat="1">
      <alignment horizontal="right" vertical="bottom"/>
    </xf>
    <xf borderId="0" fillId="0" fontId="8" numFmtId="167" xfId="0" applyFont="1" applyNumberFormat="1"/>
    <xf borderId="1" fillId="30" fontId="8" numFmtId="0" xfId="0" applyAlignment="1" applyBorder="1" applyFill="1" applyFont="1">
      <alignment vertical="bottom"/>
    </xf>
    <xf borderId="1" fillId="30" fontId="8" numFmtId="3" xfId="0" applyBorder="1" applyFont="1" applyNumberFormat="1"/>
    <xf borderId="1" fillId="30" fontId="8" numFmtId="167" xfId="0" applyBorder="1" applyFont="1" applyNumberFormat="1"/>
    <xf borderId="1" fillId="30" fontId="8" numFmtId="166" xfId="0" applyBorder="1" applyFont="1" applyNumberFormat="1"/>
    <xf borderId="1" fillId="30" fontId="4" numFmtId="3" xfId="0" applyBorder="1" applyFont="1" applyNumberFormat="1"/>
    <xf borderId="1" fillId="30" fontId="4" numFmtId="10" xfId="0" applyAlignment="1" applyBorder="1" applyFont="1" applyNumberFormat="1">
      <alignment horizontal="right" vertical="bottom"/>
    </xf>
    <xf borderId="1" fillId="30" fontId="8" numFmtId="10" xfId="0" applyAlignment="1" applyBorder="1" applyFont="1" applyNumberFormat="1">
      <alignment horizontal="right" vertical="bottom"/>
    </xf>
    <xf borderId="1" fillId="31" fontId="8" numFmtId="0" xfId="0" applyAlignment="1" applyBorder="1" applyFill="1" applyFont="1">
      <alignment vertical="bottom"/>
    </xf>
    <xf borderId="1" fillId="31" fontId="8" numFmtId="3" xfId="0" applyBorder="1" applyFont="1" applyNumberFormat="1"/>
    <xf borderId="1" fillId="31" fontId="8" numFmtId="167" xfId="0" applyBorder="1" applyFont="1" applyNumberFormat="1"/>
    <xf borderId="1" fillId="31" fontId="8" numFmtId="166" xfId="0" applyBorder="1" applyFont="1" applyNumberFormat="1"/>
    <xf borderId="1" fillId="31" fontId="4" numFmtId="3" xfId="0" applyBorder="1" applyFont="1" applyNumberFormat="1"/>
    <xf borderId="1" fillId="31" fontId="4" numFmtId="10" xfId="0" applyAlignment="1" applyBorder="1" applyFont="1" applyNumberFormat="1">
      <alignment horizontal="right" vertical="bottom"/>
    </xf>
    <xf borderId="1" fillId="31" fontId="8" numFmtId="10" xfId="0" applyAlignment="1" applyBorder="1" applyFont="1" applyNumberFormat="1">
      <alignment horizontal="right" vertical="bottom"/>
    </xf>
    <xf borderId="0" fillId="0" fontId="8" numFmtId="0" xfId="0" applyAlignment="1" applyFont="1">
      <alignment shrinkToFit="0" wrapText="1"/>
    </xf>
    <xf borderId="0" fillId="0" fontId="1" numFmtId="0" xfId="0" applyFont="1"/>
    <xf borderId="9" fillId="0" fontId="4" numFmtId="0" xfId="0" applyAlignment="1" applyBorder="1" applyFont="1">
      <alignment shrinkToFit="0" wrapText="1"/>
    </xf>
    <xf borderId="0" fillId="24" fontId="13" numFmtId="3" xfId="0" applyAlignment="1" applyFont="1" applyNumberFormat="1">
      <alignment horizontal="center" readingOrder="0"/>
    </xf>
    <xf borderId="0" fillId="5" fontId="8" numFmtId="164" xfId="0" applyAlignment="1" applyFont="1" applyNumberFormat="1">
      <alignment horizontal="center"/>
    </xf>
    <xf borderId="10" fillId="5" fontId="8" numFmtId="3" xfId="0" applyAlignment="1" applyBorder="1" applyFont="1" applyNumberFormat="1">
      <alignment horizontal="center"/>
    </xf>
    <xf borderId="11" fillId="0" fontId="4" numFmtId="0" xfId="0" applyBorder="1" applyFont="1"/>
    <xf borderId="12" fillId="24" fontId="4" numFmtId="3" xfId="0" applyAlignment="1" applyBorder="1" applyFont="1" applyNumberFormat="1">
      <alignment horizontal="center"/>
    </xf>
    <xf borderId="12" fillId="0" fontId="4" numFmtId="3" xfId="0" applyAlignment="1" applyBorder="1" applyFont="1" applyNumberFormat="1">
      <alignment horizontal="center"/>
    </xf>
    <xf borderId="1" fillId="24" fontId="8" numFmtId="0" xfId="0" applyAlignment="1" applyBorder="1" applyFont="1">
      <alignment shrinkToFit="0" vertical="bottom" wrapText="1"/>
    </xf>
    <xf borderId="0" fillId="0" fontId="8" numFmtId="0" xfId="0" applyAlignment="1" applyFont="1">
      <alignment horizontal="right" vertical="bottom"/>
    </xf>
    <xf borderId="1" fillId="25" fontId="8" numFmtId="1" xfId="0" applyBorder="1" applyFont="1" applyNumberFormat="1"/>
    <xf borderId="0" fillId="0" fontId="8" numFmtId="165" xfId="0" applyFont="1" applyNumberFormat="1"/>
    <xf borderId="0" fillId="0" fontId="2" numFmtId="10" xfId="0" applyFont="1" applyNumberFormat="1"/>
    <xf borderId="1" fillId="29" fontId="8" numFmtId="168" xfId="0" applyBorder="1" applyFont="1" applyNumberFormat="1"/>
    <xf borderId="1" fillId="29" fontId="4" numFmtId="10" xfId="0" applyBorder="1" applyFont="1" applyNumberFormat="1"/>
    <xf borderId="1" fillId="29" fontId="8" numFmtId="10" xfId="0" applyBorder="1" applyFont="1" applyNumberFormat="1"/>
    <xf borderId="0" fillId="0" fontId="8" numFmtId="166" xfId="0" applyFont="1" applyNumberFormat="1"/>
    <xf borderId="0" fillId="0" fontId="2" numFmtId="166" xfId="0" applyFont="1" applyNumberFormat="1"/>
    <xf borderId="1" fillId="32" fontId="8" numFmtId="0" xfId="0" applyAlignment="1" applyBorder="1" applyFill="1" applyFont="1">
      <alignment vertical="bottom"/>
    </xf>
    <xf borderId="1" fillId="32" fontId="8" numFmtId="3" xfId="0" applyBorder="1" applyFont="1" applyNumberFormat="1"/>
    <xf borderId="1" fillId="32" fontId="8" numFmtId="168" xfId="0" applyBorder="1" applyFont="1" applyNumberFormat="1"/>
    <xf borderId="1" fillId="32" fontId="8" numFmtId="166" xfId="0" applyBorder="1" applyFont="1" applyNumberFormat="1"/>
    <xf borderId="1" fillId="32" fontId="4" numFmtId="3" xfId="0" applyBorder="1" applyFont="1" applyNumberFormat="1"/>
    <xf borderId="1" fillId="32" fontId="4" numFmtId="10" xfId="0" applyBorder="1" applyFont="1" applyNumberFormat="1"/>
    <xf borderId="1" fillId="32" fontId="8" numFmtId="10" xfId="0" applyBorder="1" applyFont="1" applyNumberFormat="1"/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8" numFmtId="10" xfId="0" applyAlignment="1" applyFont="1" applyNumberFormat="1">
      <alignment shrinkToFit="0" vertical="center" wrapText="0"/>
    </xf>
    <xf borderId="13" fillId="8" fontId="8" numFmtId="10" xfId="0" applyAlignment="1" applyBorder="1" applyFont="1" applyNumberFormat="1">
      <alignment horizontal="right" shrinkToFit="0" vertical="center" wrapText="0"/>
    </xf>
    <xf borderId="14" fillId="8" fontId="8" numFmtId="10" xfId="0" applyAlignment="1" applyBorder="1" applyFont="1" applyNumberFormat="1">
      <alignment horizontal="right" shrinkToFit="0" vertical="center" wrapText="0"/>
    </xf>
    <xf borderId="15" fillId="33" fontId="8" numFmtId="10" xfId="0" applyAlignment="1" applyBorder="1" applyFill="1" applyFont="1" applyNumberFormat="1">
      <alignment horizontal="right" shrinkToFit="0" vertical="center" wrapText="0"/>
    </xf>
    <xf borderId="16" fillId="33" fontId="8" numFmtId="10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13" fillId="8" fontId="4" numFmtId="10" xfId="0" applyAlignment="1" applyBorder="1" applyFont="1" applyNumberFormat="1">
      <alignment horizontal="right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8" fontId="16" numFmtId="0" xfId="0" applyFont="1"/>
    <xf borderId="16" fillId="33" fontId="8" numFmtId="10" xfId="0" applyAlignment="1" applyBorder="1" applyFont="1" applyNumberFormat="1">
      <alignment horizontal="right" readingOrder="0" shrinkToFit="0" vertical="center" wrapText="0"/>
    </xf>
    <xf borderId="15" fillId="33" fontId="4" numFmtId="10" xfId="0" applyAlignment="1" applyBorder="1" applyFont="1" applyNumberFormat="1">
      <alignment horizontal="right" shrinkToFit="0" vertical="center" wrapText="0"/>
    </xf>
    <xf borderId="13" fillId="8" fontId="8" numFmtId="10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shrinkToFit="0" vertical="center" wrapText="0"/>
    </xf>
    <xf borderId="15" fillId="33" fontId="8" numFmtId="10" xfId="0" applyAlignment="1" applyBorder="1" applyFont="1" applyNumberFormat="1">
      <alignment shrinkToFit="0" vertical="center" wrapText="0"/>
    </xf>
    <xf borderId="17" fillId="33" fontId="8" numFmtId="10" xfId="0" applyAlignment="1" applyBorder="1" applyFont="1" applyNumberFormat="1">
      <alignment shrinkToFit="0" vertical="center" wrapText="0"/>
    </xf>
    <xf borderId="17" fillId="33" fontId="8" numFmtId="10" xfId="0" applyAlignment="1" applyBorder="1" applyFont="1" applyNumberFormat="1">
      <alignment horizontal="right" shrinkToFit="0" vertical="center" wrapText="0"/>
    </xf>
    <xf borderId="0" fillId="0" fontId="2" numFmtId="1" xfId="0" applyFont="1" applyNumberFormat="1"/>
    <xf borderId="0" fillId="24" fontId="11" numFmtId="0" xfId="0" applyAlignment="1" applyFont="1">
      <alignment readingOrder="0"/>
    </xf>
    <xf borderId="0" fillId="0" fontId="4" numFmtId="3" xfId="0" applyAlignment="1" applyFont="1" applyNumberFormat="1">
      <alignment shrinkToFit="0" wrapText="0"/>
    </xf>
    <xf borderId="1" fillId="24" fontId="13" numFmtId="3" xfId="0" applyAlignment="1" applyBorder="1" applyFont="1" applyNumberFormat="1">
      <alignment horizontal="center"/>
    </xf>
    <xf borderId="1" fillId="24" fontId="17" numFmtId="3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1" fillId="24" fontId="8" numFmtId="0" xfId="0" applyBorder="1" applyFont="1"/>
    <xf borderId="1" fillId="24" fontId="8" numFmtId="0" xfId="0" applyAlignment="1" applyBorder="1" applyFont="1">
      <alignment shrinkToFit="0" wrapText="1"/>
    </xf>
    <xf borderId="1" fillId="25" fontId="8" numFmtId="168" xfId="0" applyBorder="1" applyFont="1" applyNumberFormat="1"/>
    <xf borderId="1" fillId="27" fontId="8" numFmtId="168" xfId="0" applyBorder="1" applyFont="1" applyNumberFormat="1"/>
    <xf borderId="0" fillId="0" fontId="8" numFmtId="1" xfId="0" applyAlignment="1" applyFont="1" applyNumberFormat="1">
      <alignment vertical="bottom"/>
    </xf>
    <xf borderId="0" fillId="0" fontId="8" numFmtId="1" xfId="0" applyFont="1" applyNumberFormat="1"/>
    <xf borderId="1" fillId="28" fontId="8" numFmtId="168" xfId="0" applyBorder="1" applyFont="1" applyNumberFormat="1"/>
    <xf borderId="0" fillId="0" fontId="2" numFmtId="0" xfId="0" applyFont="1"/>
    <xf borderId="1" fillId="30" fontId="8" numFmtId="0" xfId="0" applyBorder="1" applyFont="1"/>
    <xf borderId="1" fillId="30" fontId="8" numFmtId="168" xfId="0" applyBorder="1" applyFont="1" applyNumberFormat="1"/>
    <xf borderId="1" fillId="31" fontId="8" numFmtId="0" xfId="0" applyBorder="1" applyFont="1"/>
    <xf borderId="1" fillId="31" fontId="8" numFmtId="168" xfId="0" applyBorder="1" applyFont="1" applyNumberFormat="1"/>
    <xf borderId="2" fillId="0" fontId="4" numFmtId="0" xfId="0" applyBorder="1" applyFont="1"/>
    <xf borderId="2" fillId="0" fontId="8" numFmtId="3" xfId="0" applyBorder="1" applyFont="1" applyNumberFormat="1"/>
    <xf borderId="1" fillId="24" fontId="14" numFmtId="3" xfId="0" applyAlignment="1" applyBorder="1" applyFont="1" applyNumberFormat="1">
      <alignment horizontal="center"/>
    </xf>
    <xf borderId="0" fillId="0" fontId="8" numFmtId="2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4" numFmtId="3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28" fontId="8" numFmtId="0" xfId="0" applyAlignment="1" applyBorder="1" applyFont="1">
      <alignment vertical="bottom"/>
    </xf>
    <xf borderId="1" fillId="28" fontId="8" numFmtId="0" xfId="0" applyAlignment="1" applyBorder="1" applyFont="1">
      <alignment horizontal="right" vertical="bottom"/>
    </xf>
    <xf borderId="1" fillId="28" fontId="8" numFmtId="168" xfId="0" applyAlignment="1" applyBorder="1" applyFont="1" applyNumberFormat="1">
      <alignment horizontal="right" vertical="bottom"/>
    </xf>
    <xf borderId="1" fillId="28" fontId="8" numFmtId="166" xfId="0" applyAlignment="1" applyBorder="1" applyFont="1" applyNumberFormat="1">
      <alignment horizontal="right" vertical="bottom"/>
    </xf>
    <xf borderId="1" fillId="28" fontId="8" numFmtId="3" xfId="0" applyAlignment="1" applyBorder="1" applyFont="1" applyNumberFormat="1">
      <alignment horizontal="right" vertical="bottom"/>
    </xf>
    <xf borderId="1" fillId="28" fontId="4" numFmtId="3" xfId="0" applyAlignment="1" applyBorder="1" applyFont="1" applyNumberFormat="1">
      <alignment horizontal="right" vertical="bottom"/>
    </xf>
    <xf borderId="1" fillId="28" fontId="4" numFmtId="10" xfId="0" applyBorder="1" applyFont="1" applyNumberFormat="1"/>
    <xf borderId="1" fillId="28" fontId="8" numFmtId="10" xfId="0" applyBorder="1" applyFont="1" applyNumberFormat="1"/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168" xfId="0" applyAlignment="1" applyBorder="1" applyFont="1" applyNumberFormat="1">
      <alignment vertical="bottom"/>
    </xf>
    <xf borderId="1" fillId="0" fontId="8" numFmtId="166" xfId="0" applyAlignment="1" applyBorder="1" applyFont="1" applyNumberFormat="1">
      <alignment vertical="bottom"/>
    </xf>
    <xf borderId="1" fillId="0" fontId="8" numFmtId="3" xfId="0" applyAlignment="1" applyBorder="1" applyFont="1" applyNumberFormat="1">
      <alignment vertical="bottom"/>
    </xf>
    <xf borderId="1" fillId="29" fontId="8" numFmtId="0" xfId="0" applyAlignment="1" applyBorder="1" applyFont="1">
      <alignment vertical="bottom"/>
    </xf>
    <xf borderId="1" fillId="29" fontId="8" numFmtId="0" xfId="0" applyAlignment="1" applyBorder="1" applyFont="1">
      <alignment horizontal="right" vertical="bottom"/>
    </xf>
    <xf borderId="1" fillId="29" fontId="8" numFmtId="168" xfId="0" applyAlignment="1" applyBorder="1" applyFont="1" applyNumberFormat="1">
      <alignment horizontal="right" vertical="bottom"/>
    </xf>
    <xf borderId="1" fillId="29" fontId="8" numFmtId="166" xfId="0" applyAlignment="1" applyBorder="1" applyFont="1" applyNumberFormat="1">
      <alignment horizontal="right" vertical="bottom"/>
    </xf>
    <xf borderId="1" fillId="29" fontId="8" numFmtId="3" xfId="0" applyAlignment="1" applyBorder="1" applyFont="1" applyNumberFormat="1">
      <alignment horizontal="right" vertical="bottom"/>
    </xf>
    <xf borderId="1" fillId="29" fontId="4" numFmtId="3" xfId="0" applyAlignment="1" applyBorder="1" applyFont="1" applyNumberFormat="1">
      <alignment horizontal="right" vertical="bottom"/>
    </xf>
    <xf borderId="0" fillId="0" fontId="8" numFmtId="166" xfId="0" applyAlignment="1" applyFont="1" applyNumberFormat="1">
      <alignment vertical="bottom"/>
    </xf>
    <xf borderId="1" fillId="34" fontId="8" numFmtId="0" xfId="0" applyAlignment="1" applyBorder="1" applyFill="1" applyFont="1">
      <alignment vertical="bottom"/>
    </xf>
    <xf borderId="1" fillId="34" fontId="8" numFmtId="3" xfId="0" applyAlignment="1" applyBorder="1" applyFont="1" applyNumberFormat="1">
      <alignment horizontal="right" vertical="bottom"/>
    </xf>
    <xf borderId="1" fillId="34" fontId="8" numFmtId="168" xfId="0" applyAlignment="1" applyBorder="1" applyFont="1" applyNumberFormat="1">
      <alignment horizontal="right" vertical="bottom"/>
    </xf>
    <xf borderId="1" fillId="34" fontId="8" numFmtId="166" xfId="0" applyAlignment="1" applyBorder="1" applyFont="1" applyNumberFormat="1">
      <alignment horizontal="right" vertical="bottom"/>
    </xf>
    <xf borderId="1" fillId="34" fontId="4" numFmtId="3" xfId="0" applyAlignment="1" applyBorder="1" applyFont="1" applyNumberFormat="1">
      <alignment horizontal="right" vertical="bottom"/>
    </xf>
    <xf borderId="0" fillId="26" fontId="4" numFmtId="0" xfId="0" applyAlignment="1" applyFont="1">
      <alignment horizontal="right" vertical="bottom"/>
    </xf>
    <xf borderId="0" fillId="27" fontId="8" numFmtId="3" xfId="0" applyAlignment="1" applyFont="1" applyNumberFormat="1">
      <alignment horizontal="right" readingOrder="0" vertical="bottom"/>
    </xf>
    <xf borderId="0" fillId="0" fontId="8" numFmtId="10" xfId="0" applyFont="1" applyNumberFormat="1"/>
    <xf borderId="0" fillId="0" fontId="2" numFmtId="3" xfId="0" applyFont="1" applyNumberFormat="1"/>
    <xf borderId="0" fillId="0" fontId="8" numFmtId="169" xfId="0" applyFont="1" applyNumberFormat="1"/>
    <xf borderId="0" fillId="0" fontId="11" numFmtId="0" xfId="0" applyAlignment="1" applyFont="1">
      <alignment readingOrder="0" vertical="bottom"/>
    </xf>
    <xf borderId="3" fillId="5" fontId="4" numFmtId="0" xfId="0" applyAlignment="1" applyBorder="1" applyFont="1">
      <alignment vertical="bottom"/>
    </xf>
    <xf borderId="0" fillId="24" fontId="4" numFmtId="3" xfId="0" applyAlignment="1" applyFont="1" applyNumberFormat="1">
      <alignment horizontal="right" vertical="bottom"/>
    </xf>
    <xf borderId="1" fillId="35" fontId="8" numFmtId="0" xfId="0" applyAlignment="1" applyBorder="1" applyFill="1" applyFont="1">
      <alignment vertical="bottom"/>
    </xf>
    <xf borderId="0" fillId="0" fontId="8" numFmtId="3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center"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3" fillId="5" fontId="8" numFmtId="0" xfId="0" applyAlignment="1" applyBorder="1" applyFont="1">
      <alignment horizontal="right" vertical="bottom"/>
    </xf>
    <xf borderId="0" fillId="24" fontId="18" numFmtId="3" xfId="0" applyAlignment="1" applyFont="1" applyNumberFormat="1">
      <alignment horizontal="right" vertical="bottom"/>
    </xf>
    <xf borderId="0" fillId="5" fontId="8" numFmtId="164" xfId="0" applyAlignment="1" applyFont="1" applyNumberFormat="1">
      <alignment horizontal="center" vertical="bottom"/>
    </xf>
    <xf borderId="10" fillId="5" fontId="8" numFmtId="3" xfId="0" applyAlignment="1" applyBorder="1" applyFont="1" applyNumberFormat="1">
      <alignment horizontal="center" vertical="bottom"/>
    </xf>
    <xf borderId="11" fillId="0" fontId="4" numFmtId="0" xfId="0" applyAlignment="1" applyBorder="1" applyFont="1">
      <alignment vertical="bottom"/>
    </xf>
    <xf borderId="12" fillId="24" fontId="4" numFmtId="3" xfId="0" applyAlignment="1" applyBorder="1" applyFont="1" applyNumberFormat="1">
      <alignment horizontal="center" vertical="bottom"/>
    </xf>
    <xf borderId="18" fillId="0" fontId="4" numFmtId="164" xfId="0" applyAlignment="1" applyBorder="1" applyFont="1" applyNumberFormat="1">
      <alignment horizontal="center" vertical="bottom"/>
    </xf>
    <xf borderId="12" fillId="0" fontId="4" numFmtId="3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1" fillId="35" fontId="4" numFmtId="0" xfId="0" applyAlignment="1" applyBorder="1" applyFont="1">
      <alignment vertical="bottom"/>
    </xf>
    <xf borderId="1" fillId="5" fontId="8" numFmtId="0" xfId="0" applyAlignment="1" applyBorder="1" applyFont="1">
      <alignment horizontal="right" vertical="bottom"/>
    </xf>
    <xf borderId="1" fillId="25" fontId="8" numFmtId="0" xfId="0" applyAlignment="1" applyBorder="1" applyFont="1">
      <alignment horizontal="right" vertical="bottom"/>
    </xf>
    <xf borderId="1" fillId="25" fontId="8" numFmtId="168" xfId="0" applyAlignment="1" applyBorder="1" applyFont="1" applyNumberFormat="1">
      <alignment horizontal="right" vertical="bottom"/>
    </xf>
    <xf borderId="1" fillId="25" fontId="8" numFmtId="166" xfId="0" applyAlignment="1" applyBorder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1" fillId="27" fontId="8" numFmtId="0" xfId="0" applyAlignment="1" applyBorder="1" applyFont="1">
      <alignment horizontal="right" vertical="bottom"/>
    </xf>
    <xf borderId="1" fillId="27" fontId="8" numFmtId="168" xfId="0" applyAlignment="1" applyBorder="1" applyFont="1" applyNumberFormat="1">
      <alignment horizontal="right" vertical="bottom"/>
    </xf>
    <xf borderId="1" fillId="27" fontId="8" numFmtId="166" xfId="0" applyAlignment="1" applyBorder="1" applyFont="1" applyNumberFormat="1">
      <alignment horizontal="right" vertical="bottom"/>
    </xf>
    <xf borderId="1" fillId="27" fontId="8" numFmtId="167" xfId="0" applyAlignment="1" applyBorder="1" applyFont="1" applyNumberFormat="1">
      <alignment horizontal="right" vertical="bottom"/>
    </xf>
    <xf borderId="1" fillId="27" fontId="8" numFmtId="3" xfId="0" applyAlignment="1" applyBorder="1" applyFont="1" applyNumberFormat="1">
      <alignment horizontal="right" vertical="bottom"/>
    </xf>
    <xf borderId="1" fillId="27" fontId="4" numFmtId="4" xfId="0" applyAlignment="1" applyBorder="1" applyFont="1" applyNumberFormat="1">
      <alignment horizontal="right" vertical="bottom"/>
    </xf>
    <xf borderId="1" fillId="30" fontId="8" numFmtId="0" xfId="0" applyAlignment="1" applyBorder="1" applyFont="1">
      <alignment readingOrder="0" vertical="bottom"/>
    </xf>
    <xf borderId="1" fillId="30" fontId="8" numFmtId="0" xfId="0" applyAlignment="1" applyBorder="1" applyFont="1">
      <alignment horizontal="right" vertical="bottom"/>
    </xf>
    <xf borderId="1" fillId="30" fontId="8" numFmtId="168" xfId="0" applyAlignment="1" applyBorder="1" applyFont="1" applyNumberFormat="1">
      <alignment horizontal="right" vertical="bottom"/>
    </xf>
    <xf borderId="1" fillId="30" fontId="8" numFmtId="166" xfId="0" applyAlignment="1" applyBorder="1" applyFont="1" applyNumberFormat="1">
      <alignment horizontal="right" vertical="bottom"/>
    </xf>
    <xf borderId="1" fillId="30" fontId="8" numFmtId="167" xfId="0" applyAlignment="1" applyBorder="1" applyFont="1" applyNumberFormat="1">
      <alignment horizontal="right" vertical="bottom"/>
    </xf>
    <xf borderId="1" fillId="30" fontId="8" numFmtId="3" xfId="0" applyAlignment="1" applyBorder="1" applyFont="1" applyNumberFormat="1">
      <alignment horizontal="right" vertical="bottom"/>
    </xf>
    <xf borderId="1" fillId="30" fontId="4" numFmtId="2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1" fillId="31" fontId="8" numFmtId="0" xfId="0" applyAlignment="1" applyBorder="1" applyFont="1">
      <alignment horizontal="right" vertical="bottom"/>
    </xf>
    <xf borderId="1" fillId="31" fontId="8" numFmtId="3" xfId="0" applyAlignment="1" applyBorder="1" applyFont="1" applyNumberFormat="1">
      <alignment horizontal="right" vertical="bottom"/>
    </xf>
    <xf borderId="1" fillId="31" fontId="8" numFmtId="168" xfId="0" applyAlignment="1" applyBorder="1" applyFont="1" applyNumberFormat="1">
      <alignment horizontal="right" vertical="bottom"/>
    </xf>
    <xf borderId="1" fillId="31" fontId="8" numFmtId="167" xfId="0" applyAlignment="1" applyBorder="1" applyFont="1" applyNumberFormat="1">
      <alignment horizontal="right" vertical="bottom"/>
    </xf>
    <xf borderId="1" fillId="31" fontId="4" numFmtId="4" xfId="0" applyAlignment="1" applyBorder="1" applyFont="1" applyNumberFormat="1">
      <alignment horizontal="right" vertical="bottom"/>
    </xf>
    <xf borderId="0" fillId="0" fontId="11" numFmtId="0" xfId="0" applyAlignment="1" applyFont="1">
      <alignment vertical="bottom"/>
    </xf>
    <xf borderId="1" fillId="35" fontId="8" numFmtId="0" xfId="0" applyAlignment="1" applyBorder="1" applyFont="1">
      <alignment readingOrder="0" vertical="bottom"/>
    </xf>
    <xf borderId="0" fillId="24" fontId="4" numFmtId="0" xfId="0" applyAlignment="1" applyFont="1">
      <alignment horizontal="right" vertical="bottom"/>
    </xf>
    <xf borderId="1" fillId="0" fontId="4" numFmtId="0" xfId="0" applyAlignment="1" applyBorder="1" applyFont="1">
      <alignment shrinkToFit="0" wrapText="1"/>
    </xf>
    <xf borderId="1" fillId="0" fontId="8" numFmtId="2" xfId="0" applyBorder="1" applyFont="1" applyNumberFormat="1"/>
    <xf borderId="1" fillId="0" fontId="8" numFmtId="4" xfId="0" applyBorder="1" applyFont="1" applyNumberFormat="1"/>
    <xf borderId="0" fillId="24" fontId="11" numFmtId="0" xfId="0" applyFont="1"/>
    <xf borderId="4" fillId="0" fontId="4" numFmtId="3" xfId="0" applyBorder="1" applyFont="1" applyNumberFormat="1"/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theme="1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ational Summary 2015-2023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48" Type="http://schemas.openxmlformats.org/officeDocument/2006/relationships/worksheet" Target="worksheets/sheet45.xml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CEO plot locations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'CEO 2015-2023'!$J$1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'CEO 2015-2023'!$I$2:$I$6056</c:f>
            </c:numRef>
          </c:xVal>
          <c:yVal>
            <c:numRef>
              <c:f>'CEO 2015-2023'!$J$2:$J$6042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17495"/>
        <c:axId val="2014973585"/>
      </c:scatterChart>
      <c:valAx>
        <c:axId val="186317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973585"/>
      </c:valAx>
      <c:valAx>
        <c:axId val="2014973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17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'TNT 2015-2022'!$I$5</c:f>
            </c:strRef>
          </c:tx>
          <c:cat>
            <c:strRef>
              <c:f>'TNT 2015-2022'!$J$4</c:f>
            </c:strRef>
          </c:cat>
          <c:val>
            <c:numRef>
              <c:f>'TNT 2015-2022'!$J$5</c:f>
              <c:numCache/>
            </c:numRef>
          </c:val>
        </c:ser>
        <c:ser>
          <c:idx val="1"/>
          <c:order val="1"/>
          <c:tx>
            <c:strRef>
              <c:f>'TNT 2015-2022'!$I$6</c:f>
            </c:strRef>
          </c:tx>
          <c:cat>
            <c:strRef>
              <c:f>'TNT 2015-2022'!$J$4</c:f>
            </c:strRef>
          </c:cat>
          <c:val>
            <c:numRef>
              <c:f>'TNT 2015-2022'!$J$6</c:f>
              <c:numCache/>
            </c:numRef>
          </c:val>
        </c:ser>
        <c:ser>
          <c:idx val="2"/>
          <c:order val="2"/>
          <c:tx>
            <c:strRef>
              <c:f>'TNT 2015-2022'!$I$7</c:f>
            </c:strRef>
          </c:tx>
          <c:cat>
            <c:strRef>
              <c:f>'TNT 2015-2022'!$J$4</c:f>
            </c:strRef>
          </c:cat>
          <c:val>
            <c:numRef>
              <c:f>'TNT 2015-2022'!$J$7</c:f>
              <c:numCache/>
            </c:numRef>
          </c:val>
        </c:ser>
        <c:ser>
          <c:idx val="3"/>
          <c:order val="3"/>
          <c:tx>
            <c:strRef>
              <c:f>'TNT 2015-2022'!$I$8</c:f>
            </c:strRef>
          </c:tx>
          <c:cat>
            <c:strRef>
              <c:f>'TNT 2015-2022'!$J$4</c:f>
            </c:strRef>
          </c:cat>
          <c:val>
            <c:numRef>
              <c:f>'TNT 2015-2022'!$J$8</c:f>
              <c:numCache/>
            </c:numRef>
          </c:val>
        </c:ser>
        <c:ser>
          <c:idx val="4"/>
          <c:order val="4"/>
          <c:tx>
            <c:strRef>
              <c:f>'TNT 2015-2022'!$I$9</c:f>
            </c:strRef>
          </c:tx>
          <c:cat>
            <c:strRef>
              <c:f>'TNT 2015-2022'!$J$4</c:f>
            </c:strRef>
          </c:cat>
          <c:val>
            <c:numRef>
              <c:f>'TNT 2015-2022'!$J$9</c:f>
              <c:numCache/>
            </c:numRef>
          </c:val>
        </c:ser>
        <c:ser>
          <c:idx val="5"/>
          <c:order val="5"/>
          <c:tx>
            <c:strRef>
              <c:f>'TNT 2015-2022'!$I$10</c:f>
            </c:strRef>
          </c:tx>
          <c:cat>
            <c:strRef>
              <c:f>'TNT 2015-2022'!$J$4</c:f>
            </c:strRef>
          </c:cat>
          <c:val>
            <c:numRef>
              <c:f>'TNT 2015-2022'!$J$10</c:f>
              <c:numCache/>
            </c:numRef>
          </c:val>
        </c:ser>
        <c:ser>
          <c:idx val="6"/>
          <c:order val="6"/>
          <c:tx>
            <c:strRef>
              <c:f>'TNT 2015-2022'!$I$11</c:f>
            </c:strRef>
          </c:tx>
          <c:cat>
            <c:strRef>
              <c:f>'TNT 2015-2022'!$J$4</c:f>
            </c:strRef>
          </c:cat>
          <c:val>
            <c:numRef>
              <c:f>'TNT 2015-2022'!$J$11</c:f>
              <c:numCache/>
            </c:numRef>
          </c:val>
        </c:ser>
        <c:axId val="677113197"/>
        <c:axId val="250504302"/>
      </c:barChart>
      <c:catAx>
        <c:axId val="677113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0504302"/>
      </c:catAx>
      <c:valAx>
        <c:axId val="2505043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7711319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'TNT 2015-2022'!$K$5</c:f>
            </c:strRef>
          </c:tx>
          <c:cat>
            <c:strRef>
              <c:f>'TNT 2015-2022'!$L$4</c:f>
            </c:strRef>
          </c:cat>
          <c:val>
            <c:numRef>
              <c:f>'TNT 2015-2022'!$L$5</c:f>
              <c:numCache/>
            </c:numRef>
          </c:val>
        </c:ser>
        <c:ser>
          <c:idx val="1"/>
          <c:order val="1"/>
          <c:tx>
            <c:strRef>
              <c:f>'TNT 2015-2022'!$K$6</c:f>
            </c:strRef>
          </c:tx>
          <c:cat>
            <c:strRef>
              <c:f>'TNT 2015-2022'!$L$4</c:f>
            </c:strRef>
          </c:cat>
          <c:val>
            <c:numRef>
              <c:f>'TNT 2015-2022'!$L$6</c:f>
              <c:numCache/>
            </c:numRef>
          </c:val>
        </c:ser>
        <c:ser>
          <c:idx val="2"/>
          <c:order val="2"/>
          <c:tx>
            <c:strRef>
              <c:f>'TNT 2015-2022'!$K$7</c:f>
            </c:strRef>
          </c:tx>
          <c:cat>
            <c:strRef>
              <c:f>'TNT 2015-2022'!$L$4</c:f>
            </c:strRef>
          </c:cat>
          <c:val>
            <c:numRef>
              <c:f>'TNT 2015-2022'!$L$7</c:f>
              <c:numCache/>
            </c:numRef>
          </c:val>
        </c:ser>
        <c:ser>
          <c:idx val="3"/>
          <c:order val="3"/>
          <c:tx>
            <c:strRef>
              <c:f>'TNT 2015-2022'!$K$8</c:f>
            </c:strRef>
          </c:tx>
          <c:cat>
            <c:strRef>
              <c:f>'TNT 2015-2022'!$L$4</c:f>
            </c:strRef>
          </c:cat>
          <c:val>
            <c:numRef>
              <c:f>'TNT 2015-2022'!$L$8</c:f>
              <c:numCache/>
            </c:numRef>
          </c:val>
        </c:ser>
        <c:ser>
          <c:idx val="4"/>
          <c:order val="4"/>
          <c:tx>
            <c:strRef>
              <c:f>'TNT 2015-2022'!$K$9</c:f>
            </c:strRef>
          </c:tx>
          <c:cat>
            <c:strRef>
              <c:f>'TNT 2015-2022'!$L$4</c:f>
            </c:strRef>
          </c:cat>
          <c:val>
            <c:numRef>
              <c:f>'TNT 2015-2022'!$L$9</c:f>
              <c:numCache/>
            </c:numRef>
          </c:val>
        </c:ser>
        <c:ser>
          <c:idx val="5"/>
          <c:order val="5"/>
          <c:tx>
            <c:strRef>
              <c:f>'TNT 2015-2022'!$K$10</c:f>
            </c:strRef>
          </c:tx>
          <c:cat>
            <c:strRef>
              <c:f>'TNT 2015-2022'!$L$4</c:f>
            </c:strRef>
          </c:cat>
          <c:val>
            <c:numRef>
              <c:f>'TNT 2015-2022'!$L$10</c:f>
              <c:numCache/>
            </c:numRef>
          </c:val>
        </c:ser>
        <c:ser>
          <c:idx val="6"/>
          <c:order val="6"/>
          <c:tx>
            <c:strRef>
              <c:f>'TNT 2015-2022'!$K$11</c:f>
            </c:strRef>
          </c:tx>
          <c:cat>
            <c:strRef>
              <c:f>'TNT 2015-2022'!$L$4</c:f>
            </c:strRef>
          </c:cat>
          <c:val>
            <c:numRef>
              <c:f>'TNT 2015-2022'!$L$11</c:f>
              <c:numCache/>
            </c:numRef>
          </c:val>
        </c:ser>
        <c:axId val="305279730"/>
        <c:axId val="1635645277"/>
      </c:barChart>
      <c:catAx>
        <c:axId val="305279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5645277"/>
      </c:catAx>
      <c:valAx>
        <c:axId val="16356452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0527973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'TNT 2023'!$M$3</c:f>
            </c:strRef>
          </c:tx>
          <c:cat>
            <c:strRef>
              <c:f>'TNT 2023'!$J$3</c:f>
            </c:strRef>
          </c:cat>
          <c:val>
            <c:numRef>
              <c:f>'TNT 2023'!$N$3</c:f>
              <c:numCache/>
            </c:numRef>
          </c:val>
        </c:ser>
        <c:axId val="711696935"/>
        <c:axId val="2017316491"/>
      </c:barChart>
      <c:catAx>
        <c:axId val="711696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7316491"/>
      </c:catAx>
      <c:valAx>
        <c:axId val="201731649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1169693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Forest/Non Forest Cover (2015-2023)</a:t>
            </a:r>
          </a:p>
        </c:rich>
      </c:tx>
      <c:overlay val="0"/>
    </c:title>
    <c:plotArea>
      <c:layout/>
      <c:lineChart>
        <c:axId val="1129202096"/>
        <c:axId val="797734360"/>
      </c:lineChart>
      <c:catAx>
        <c:axId val="112920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434343"/>
                </a:solidFill>
                <a:latin typeface="+mn-lt"/>
              </a:defRPr>
            </a:pPr>
          </a:p>
        </c:txPr>
        <c:crossAx val="797734360"/>
      </c:catAx>
      <c:valAx>
        <c:axId val="7977343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292020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'National Summary 2015-2023'!$C$3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2015-2023'!$D$3</c:f>
              <c:numCache/>
            </c:numRef>
          </c:val>
        </c:ser>
        <c:ser>
          <c:idx val="1"/>
          <c:order val="1"/>
          <c:tx>
            <c:strRef>
              <c:f>'National Summary 2015-2023'!$C$4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2015-2023'!$D$4</c:f>
              <c:numCache/>
            </c:numRef>
          </c:val>
        </c:ser>
        <c:ser>
          <c:idx val="2"/>
          <c:order val="2"/>
          <c:tx>
            <c:strRef>
              <c:f>'National Summary 2015-2023'!$C$5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2015-2023'!$D$5</c:f>
              <c:numCache/>
            </c:numRef>
          </c:val>
        </c:ser>
        <c:ser>
          <c:idx val="3"/>
          <c:order val="3"/>
          <c:tx>
            <c:strRef>
              <c:f>'National Summary 2015-2023'!$C$6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2015-2023'!$D$6</c:f>
              <c:numCache/>
            </c:numRef>
          </c:val>
        </c:ser>
        <c:ser>
          <c:idx val="4"/>
          <c:order val="4"/>
          <c:tx>
            <c:strRef>
              <c:f>'National Summary 2015-2023'!$C$7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2015-2023'!$D$7</c:f>
              <c:numCache/>
            </c:numRef>
          </c:val>
        </c:ser>
        <c:ser>
          <c:idx val="5"/>
          <c:order val="5"/>
          <c:tx>
            <c:strRef>
              <c:f>'National Summary 2015-2023'!$C$8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2015-2023'!$D$8</c:f>
              <c:numCache/>
            </c:numRef>
          </c:val>
        </c:ser>
        <c:ser>
          <c:idx val="6"/>
          <c:order val="6"/>
          <c:tx>
            <c:strRef>
              <c:f>'National Summary 2015-2023'!$C$9</c:f>
            </c:strRef>
          </c:tx>
          <c:cat>
            <c:strRef>
              <c:f>'National Summary 2015-2023'!$D$2</c:f>
            </c:strRef>
          </c:cat>
          <c:val>
            <c:numRef>
              <c:f>'National Summary 2015-2023'!$D$9</c:f>
              <c:numCache/>
            </c:numRef>
          </c:val>
        </c:ser>
        <c:axId val="1269514877"/>
        <c:axId val="1220310646"/>
      </c:barChart>
      <c:catAx>
        <c:axId val="1269514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2016  2017  2018  2019  2020  2021  2022 2023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0310646"/>
      </c:catAx>
      <c:valAx>
        <c:axId val="12203106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6951487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'National Summary 2015-2023'!$C$12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2015-2023'!$D$12</c:f>
              <c:numCache/>
            </c:numRef>
          </c:val>
        </c:ser>
        <c:ser>
          <c:idx val="1"/>
          <c:order val="1"/>
          <c:tx>
            <c:strRef>
              <c:f>'National Summary 2015-2023'!$C$13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2015-2023'!$D$13</c:f>
              <c:numCache/>
            </c:numRef>
          </c:val>
        </c:ser>
        <c:ser>
          <c:idx val="2"/>
          <c:order val="2"/>
          <c:tx>
            <c:strRef>
              <c:f>'National Summary 2015-2023'!$C$14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2015-2023'!$D$14</c:f>
              <c:numCache/>
            </c:numRef>
          </c:val>
        </c:ser>
        <c:ser>
          <c:idx val="3"/>
          <c:order val="3"/>
          <c:tx>
            <c:strRef>
              <c:f>'National Summary 2015-2023'!$C$15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2015-2023'!$D$15</c:f>
              <c:numCache/>
            </c:numRef>
          </c:val>
        </c:ser>
        <c:ser>
          <c:idx val="4"/>
          <c:order val="4"/>
          <c:tx>
            <c:strRef>
              <c:f>'National Summary 2015-2023'!$C$16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2015-2023'!$D$16</c:f>
              <c:numCache/>
            </c:numRef>
          </c:val>
        </c:ser>
        <c:ser>
          <c:idx val="5"/>
          <c:order val="5"/>
          <c:tx>
            <c:strRef>
              <c:f>'National Summary 2015-2023'!$C$17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2015-2023'!$D$17</c:f>
              <c:numCache/>
            </c:numRef>
          </c:val>
        </c:ser>
        <c:ser>
          <c:idx val="6"/>
          <c:order val="6"/>
          <c:tx>
            <c:strRef>
              <c:f>'National Summary 2015-2023'!$C$18</c:f>
            </c:strRef>
          </c:tx>
          <c:cat>
            <c:strRef>
              <c:f>'National Summary 2015-2023'!$D$11</c:f>
            </c:strRef>
          </c:cat>
          <c:val>
            <c:numRef>
              <c:f>'National Summary 2015-2023'!$D$18</c:f>
              <c:numCache/>
            </c:numRef>
          </c:val>
        </c:ser>
        <c:axId val="1179766143"/>
        <c:axId val="1624704188"/>
      </c:barChart>
      <c:catAx>
        <c:axId val="1179766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2016  2017  2018  2019  2020  2021  2022 2023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4704188"/>
      </c:catAx>
      <c:valAx>
        <c:axId val="162470418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976614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'Prefectures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2015-2022'!$J$4</c:f>
              <c:numCache/>
            </c:numRef>
          </c:val>
        </c:ser>
        <c:ser>
          <c:idx val="1"/>
          <c:order val="1"/>
          <c:tx>
            <c:strRef>
              <c:f>'Prefectures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2015-2022'!$J$5</c:f>
              <c:numCache/>
            </c:numRef>
          </c:val>
        </c:ser>
        <c:ser>
          <c:idx val="2"/>
          <c:order val="2"/>
          <c:tx>
            <c:strRef>
              <c:f>'Prefectures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2015-2022'!$J$6</c:f>
              <c:numCache/>
            </c:numRef>
          </c:val>
        </c:ser>
        <c:ser>
          <c:idx val="3"/>
          <c:order val="3"/>
          <c:tx>
            <c:strRef>
              <c:f>'Prefectures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2015-2022'!$J$7</c:f>
              <c:numCache/>
            </c:numRef>
          </c:val>
        </c:ser>
        <c:ser>
          <c:idx val="4"/>
          <c:order val="4"/>
          <c:tx>
            <c:strRef>
              <c:f>'Prefectures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2015-2022'!$J$8</c:f>
              <c:numCache/>
            </c:numRef>
          </c:val>
        </c:ser>
        <c:ser>
          <c:idx val="5"/>
          <c:order val="5"/>
          <c:tx>
            <c:strRef>
              <c:f>'Prefectures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2015-2022'!$J$9</c:f>
              <c:numCache/>
            </c:numRef>
          </c:val>
        </c:ser>
        <c:ser>
          <c:idx val="6"/>
          <c:order val="6"/>
          <c:tx>
            <c:strRef>
              <c:f>'Prefectures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2015-2022'!$J$10</c:f>
              <c:numCache/>
            </c:numRef>
          </c:val>
        </c:ser>
        <c:ser>
          <c:idx val="7"/>
          <c:order val="7"/>
          <c:tx>
            <c:strRef>
              <c:f>'Prefectures TNT 2015-2022'!$I$11</c:f>
            </c:strRef>
          </c:tx>
          <c:val>
            <c:numRef>
              <c:f>'Prefectures TNT 2015-2022'!$J$11</c:f>
              <c:numCache/>
            </c:numRef>
          </c:val>
        </c:ser>
        <c:axId val="404416054"/>
        <c:axId val="40281323"/>
      </c:barChart>
      <c:catAx>
        <c:axId val="404416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281323"/>
      </c:catAx>
      <c:valAx>
        <c:axId val="4028132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4416054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'Prefectures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2015-2022'!$L$4</c:f>
              <c:numCache/>
            </c:numRef>
          </c:val>
        </c:ser>
        <c:ser>
          <c:idx val="1"/>
          <c:order val="1"/>
          <c:tx>
            <c:strRef>
              <c:f>'Prefectures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2015-2022'!$L$5</c:f>
              <c:numCache/>
            </c:numRef>
          </c:val>
        </c:ser>
        <c:ser>
          <c:idx val="2"/>
          <c:order val="2"/>
          <c:tx>
            <c:strRef>
              <c:f>'Prefectures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2015-2022'!$L$6</c:f>
              <c:numCache/>
            </c:numRef>
          </c:val>
        </c:ser>
        <c:ser>
          <c:idx val="3"/>
          <c:order val="3"/>
          <c:tx>
            <c:strRef>
              <c:f>'Prefectures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2015-2022'!$L$7</c:f>
              <c:numCache/>
            </c:numRef>
          </c:val>
        </c:ser>
        <c:ser>
          <c:idx val="4"/>
          <c:order val="4"/>
          <c:tx>
            <c:strRef>
              <c:f>'Prefectures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2015-2022'!$L$8</c:f>
              <c:numCache/>
            </c:numRef>
          </c:val>
        </c:ser>
        <c:ser>
          <c:idx val="5"/>
          <c:order val="5"/>
          <c:tx>
            <c:strRef>
              <c:f>'Prefectures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2015-2022'!$L$9</c:f>
              <c:numCache/>
            </c:numRef>
          </c:val>
        </c:ser>
        <c:ser>
          <c:idx val="6"/>
          <c:order val="6"/>
          <c:tx>
            <c:strRef>
              <c:f>'Prefectures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2015-2022'!$L$10</c:f>
              <c:numCache/>
            </c:numRef>
          </c:val>
        </c:ser>
        <c:ser>
          <c:idx val="7"/>
          <c:order val="7"/>
          <c:tx>
            <c:strRef>
              <c:f>'Prefectures TNT 2015-2022'!$K$11</c:f>
            </c:strRef>
          </c:tx>
          <c:val>
            <c:numRef>
              <c:f>'Prefectures TNT 2015-2022'!$L$11</c:f>
              <c:numCache/>
            </c:numRef>
          </c:val>
        </c:ser>
        <c:axId val="1402603683"/>
        <c:axId val="1152450106"/>
      </c:barChart>
      <c:catAx>
        <c:axId val="140260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2450106"/>
      </c:catAx>
      <c:valAx>
        <c:axId val="115245010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260368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'Prefectures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'Prefectures TNT 2023'!$J$4</c:f>
              <c:numCache/>
            </c:numRef>
          </c:val>
        </c:ser>
        <c:ser>
          <c:idx val="1"/>
          <c:order val="1"/>
          <c:tx>
            <c:strRef>
              <c:f>'Prefectures TNT 2023'!$K$4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'Prefectures TNT 2023'!$L$4</c:f>
              <c:numCache/>
            </c:numRef>
          </c:val>
        </c:ser>
        <c:axId val="516717687"/>
        <c:axId val="1002371752"/>
      </c:barChart>
      <c:catAx>
        <c:axId val="51671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2371752"/>
      </c:catAx>
      <c:valAx>
        <c:axId val="10023717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6717687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by Prefecture (2015-2023)</a:t>
            </a:r>
          </a:p>
        </c:rich>
      </c:tx>
      <c:layout>
        <c:manualLayout>
          <c:xMode val="edge"/>
          <c:yMode val="edge"/>
          <c:x val="0.023773841961852865"/>
          <c:y val="0.05000000000000001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 deforestation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'Prefecture Summary 2015-2023'!$A$2:$A$18</c:f>
            </c:strRef>
          </c:cat>
          <c:val>
            <c:numRef>
              <c:f>'Prefecture Summary 2015-2023'!$Y$2:$Y$18</c:f>
              <c:numCache/>
            </c:numRef>
          </c:val>
        </c:ser>
        <c:ser>
          <c:idx val="1"/>
          <c:order val="1"/>
          <c:tx>
            <c:v>Total degradation</c:v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'Prefecture Summary 2015-2023'!$A$2:$A$18</c:f>
            </c:strRef>
          </c:cat>
          <c:val>
            <c:numRef>
              <c:f>'Prefecture Summary 2015-2023'!$AB$2:$AB$18</c:f>
              <c:numCache/>
            </c:numRef>
          </c:val>
        </c:ser>
        <c:axId val="517873339"/>
        <c:axId val="1990124395"/>
      </c:barChart>
      <c:catAx>
        <c:axId val="517873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Prefecture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0124395"/>
      </c:catAx>
      <c:valAx>
        <c:axId val="1990124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78733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Stable Forest Cover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D0E0E3"/>
              </a:solidFill>
            </c:spPr>
          </c:dPt>
          <c:dPt>
            <c:idx val="3"/>
            <c:spPr>
              <a:solidFill>
                <a:srgbClr val="FFF2CC"/>
              </a:solidFill>
            </c:spPr>
          </c:dPt>
          <c:dPt>
            <c:idx val="4"/>
            <c:spPr>
              <a:solidFill>
                <a:srgbClr val="B4A7D6"/>
              </a:solidFill>
            </c:spPr>
          </c:dPt>
          <c:dPt>
            <c:idx val="5"/>
            <c:spPr>
              <a:solidFill>
                <a:srgbClr val="0B5394"/>
              </a:solidFill>
            </c:spPr>
          </c:dPt>
          <c:dPt>
            <c:idx val="6"/>
            <c:spPr>
              <a:solidFill>
                <a:srgbClr val="073763"/>
              </a:solidFill>
            </c:spPr>
          </c:dPt>
          <c:dPt>
            <c:idx val="7"/>
            <c:spPr>
              <a:solidFill>
                <a:srgbClr val="EA9999"/>
              </a:solidFill>
            </c:spPr>
          </c:dPt>
          <c:dPt>
            <c:idx val="8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'Forest Types TNT 2015-2022'!$H$4:$H$13</c:f>
            </c:strRef>
          </c:cat>
          <c:val>
            <c:numRef>
              <c:f>'Forest Types TNT 2015-2022'!$AK$42:$AK$50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by forest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'Forest Types TNT 2015-2022'!$H$4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2015-2022'!$I$4</c:f>
              <c:numCache/>
            </c:numRef>
          </c:val>
        </c:ser>
        <c:ser>
          <c:idx val="1"/>
          <c:order val="1"/>
          <c:tx>
            <c:strRef>
              <c:f>'Forest Types TNT 2015-2022'!$H$5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2015-2022'!$I$5</c:f>
              <c:numCache/>
            </c:numRef>
          </c:val>
        </c:ser>
        <c:ser>
          <c:idx val="2"/>
          <c:order val="2"/>
          <c:tx>
            <c:strRef>
              <c:f>'Forest Types TNT 2015-2022'!$H$6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2015-2022'!$I$6</c:f>
              <c:numCache/>
            </c:numRef>
          </c:val>
        </c:ser>
        <c:ser>
          <c:idx val="3"/>
          <c:order val="3"/>
          <c:tx>
            <c:strRef>
              <c:f>'Forest Types TNT 2015-2022'!$H$7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2015-2022'!$I$7</c:f>
              <c:numCache/>
            </c:numRef>
          </c:val>
        </c:ser>
        <c:ser>
          <c:idx val="4"/>
          <c:order val="4"/>
          <c:tx>
            <c:strRef>
              <c:f>'Forest Types TNT 2015-2022'!$H$8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2015-2022'!$I$8</c:f>
              <c:numCache/>
            </c:numRef>
          </c:val>
        </c:ser>
        <c:ser>
          <c:idx val="5"/>
          <c:order val="5"/>
          <c:tx>
            <c:strRef>
              <c:f>'Forest Types TNT 2015-2022'!$H$9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2015-2022'!$I$9</c:f>
              <c:numCache/>
            </c:numRef>
          </c:val>
        </c:ser>
        <c:ser>
          <c:idx val="6"/>
          <c:order val="6"/>
          <c:tx>
            <c:strRef>
              <c:f>'Forest Types TNT 2015-2022'!$H$10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2015-2022'!$I$10</c:f>
              <c:numCache/>
            </c:numRef>
          </c:val>
        </c:ser>
        <c:ser>
          <c:idx val="7"/>
          <c:order val="7"/>
          <c:tx>
            <c:strRef>
              <c:f>'Forest Types TNT 2015-2022'!$H$11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2015-2022'!$I$11</c:f>
              <c:numCache/>
            </c:numRef>
          </c:val>
        </c:ser>
        <c:ser>
          <c:idx val="8"/>
          <c:order val="8"/>
          <c:tx>
            <c:strRef>
              <c:f>'Forest Types TNT 2015-2022'!$H$12</c:f>
            </c:strRef>
          </c:tx>
          <c:cat>
            <c:strRef>
              <c:f>'Forest Types TNT 2015-2022'!$I$3</c:f>
            </c:strRef>
          </c:cat>
          <c:val>
            <c:numRef>
              <c:f>'Forest Types TNT 2015-2022'!$I$12</c:f>
              <c:numCache/>
            </c:numRef>
          </c:val>
        </c:ser>
        <c:axId val="1970603660"/>
        <c:axId val="1669200598"/>
      </c:barChart>
      <c:catAx>
        <c:axId val="1970603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9200598"/>
      </c:catAx>
      <c:valAx>
        <c:axId val="16692005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706036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by forest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'Forest Types TNT 2015-2022'!$K$5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2015-2022'!$L$5</c:f>
              <c:numCache/>
            </c:numRef>
          </c:val>
        </c:ser>
        <c:ser>
          <c:idx val="1"/>
          <c:order val="1"/>
          <c:tx>
            <c:strRef>
              <c:f>'Forest Types TNT 2015-2022'!$K$6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2015-2022'!$L$6</c:f>
              <c:numCache/>
            </c:numRef>
          </c:val>
        </c:ser>
        <c:ser>
          <c:idx val="2"/>
          <c:order val="2"/>
          <c:tx>
            <c:strRef>
              <c:f>'Forest Types TNT 2015-2022'!$K$7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2015-2022'!$L$7</c:f>
              <c:numCache/>
            </c:numRef>
          </c:val>
        </c:ser>
        <c:ser>
          <c:idx val="3"/>
          <c:order val="3"/>
          <c:tx>
            <c:strRef>
              <c:f>'Forest Types TNT 2015-2022'!$K$8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2015-2022'!$L$8</c:f>
              <c:numCache/>
            </c:numRef>
          </c:val>
        </c:ser>
        <c:ser>
          <c:idx val="4"/>
          <c:order val="4"/>
          <c:tx>
            <c:strRef>
              <c:f>'Forest Types TNT 2015-2022'!$K$9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2015-2022'!$L$9</c:f>
              <c:numCache/>
            </c:numRef>
          </c:val>
        </c:ser>
        <c:ser>
          <c:idx val="5"/>
          <c:order val="5"/>
          <c:tx>
            <c:strRef>
              <c:f>'Forest Types TNT 2015-2022'!$K$10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2015-2022'!$L$10</c:f>
              <c:numCache/>
            </c:numRef>
          </c:val>
        </c:ser>
        <c:ser>
          <c:idx val="6"/>
          <c:order val="6"/>
          <c:tx>
            <c:strRef>
              <c:f>'Forest Types TNT 2015-2022'!$K$11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2015-2022'!$L$11</c:f>
              <c:numCache/>
            </c:numRef>
          </c:val>
        </c:ser>
        <c:ser>
          <c:idx val="7"/>
          <c:order val="7"/>
          <c:tx>
            <c:strRef>
              <c:f>'Forest Types TNT 2015-2022'!$K$12</c:f>
            </c:strRef>
          </c:tx>
          <c:cat>
            <c:strRef>
              <c:f>'Forest Types TNT 2015-2022'!$L$4</c:f>
            </c:strRef>
          </c:cat>
          <c:val>
            <c:numRef>
              <c:f>'Forest Types TNT 2015-2022'!$L$12</c:f>
              <c:numCache/>
            </c:numRef>
          </c:val>
        </c:ser>
        <c:axId val="1802561844"/>
        <c:axId val="1208425094"/>
      </c:barChart>
      <c:catAx>
        <c:axId val="1802561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8425094"/>
      </c:catAx>
      <c:valAx>
        <c:axId val="12084250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0256184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Stable Forest Cover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D0E0E3"/>
              </a:solidFill>
            </c:spPr>
          </c:dPt>
          <c:dPt>
            <c:idx val="3"/>
            <c:spPr>
              <a:solidFill>
                <a:srgbClr val="FFF2CC"/>
              </a:solidFill>
            </c:spPr>
          </c:dPt>
          <c:dPt>
            <c:idx val="4"/>
            <c:spPr>
              <a:solidFill>
                <a:srgbClr val="B4A7D6"/>
              </a:solidFill>
            </c:spPr>
          </c:dPt>
          <c:dPt>
            <c:idx val="5"/>
            <c:spPr>
              <a:solidFill>
                <a:srgbClr val="0B5394"/>
              </a:solidFill>
            </c:spPr>
          </c:dPt>
          <c:dPt>
            <c:idx val="6"/>
            <c:spPr>
              <a:solidFill>
                <a:srgbClr val="073763"/>
              </a:solidFill>
            </c:spPr>
          </c:dPt>
          <c:dPt>
            <c:idx val="7"/>
            <c:spPr>
              <a:solidFill>
                <a:srgbClr val="EA9999"/>
              </a:solidFill>
            </c:spPr>
          </c:dPt>
          <c:dPt>
            <c:idx val="8"/>
            <c:spPr>
              <a:solidFill>
                <a:srgbClr val="F9CB9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'Forest Types TNT 2023'!$K$4:$K$12</c:f>
            </c:strRef>
          </c:cat>
          <c:val>
            <c:numRef>
              <c:f>'Forest Types TNT 2023'!$AK$42:$AK$50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by forest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'Forest Types TNT 2023'!$H$4</c:f>
            </c:strRef>
          </c:tx>
          <c:cat>
            <c:strRef>
              <c:f>'Forest Types TNT 2023'!$I$3</c:f>
            </c:strRef>
          </c:cat>
          <c:val>
            <c:numRef>
              <c:f>'Forest Types TNT 2023'!$I$4</c:f>
              <c:numCache/>
            </c:numRef>
          </c:val>
        </c:ser>
        <c:ser>
          <c:idx val="1"/>
          <c:order val="1"/>
          <c:tx>
            <c:strRef>
              <c:f>'Forest Types TNT 2023'!$H$5</c:f>
            </c:strRef>
          </c:tx>
          <c:cat>
            <c:strRef>
              <c:f>'Forest Types TNT 2023'!$I$3</c:f>
            </c:strRef>
          </c:cat>
          <c:val>
            <c:numRef>
              <c:f>'Forest Types TNT 2023'!$I$5</c:f>
              <c:numCache/>
            </c:numRef>
          </c:val>
        </c:ser>
        <c:ser>
          <c:idx val="2"/>
          <c:order val="2"/>
          <c:tx>
            <c:strRef>
              <c:f>'Forest Types TNT 2023'!$H$6</c:f>
            </c:strRef>
          </c:tx>
          <c:cat>
            <c:strRef>
              <c:f>'Forest Types TNT 2023'!$I$3</c:f>
            </c:strRef>
          </c:cat>
          <c:val>
            <c:numRef>
              <c:f>'Forest Types TNT 2023'!$I$6</c:f>
              <c:numCache/>
            </c:numRef>
          </c:val>
        </c:ser>
        <c:ser>
          <c:idx val="3"/>
          <c:order val="3"/>
          <c:tx>
            <c:strRef>
              <c:f>'Forest Types TNT 2023'!$H$7</c:f>
            </c:strRef>
          </c:tx>
          <c:cat>
            <c:strRef>
              <c:f>'Forest Types TNT 2023'!$I$3</c:f>
            </c:strRef>
          </c:cat>
          <c:val>
            <c:numRef>
              <c:f>'Forest Types TNT 2023'!$I$7</c:f>
              <c:numCache/>
            </c:numRef>
          </c:val>
        </c:ser>
        <c:ser>
          <c:idx val="4"/>
          <c:order val="4"/>
          <c:tx>
            <c:strRef>
              <c:f>'Forest Types TNT 2023'!$H$8</c:f>
            </c:strRef>
          </c:tx>
          <c:cat>
            <c:strRef>
              <c:f>'Forest Types TNT 2023'!$I$3</c:f>
            </c:strRef>
          </c:cat>
          <c:val>
            <c:numRef>
              <c:f>'Forest Types TNT 2023'!$I$8</c:f>
              <c:numCache/>
            </c:numRef>
          </c:val>
        </c:ser>
        <c:ser>
          <c:idx val="5"/>
          <c:order val="5"/>
          <c:tx>
            <c:strRef>
              <c:f>'Forest Types TNT 2023'!$H$9</c:f>
            </c:strRef>
          </c:tx>
          <c:cat>
            <c:strRef>
              <c:f>'Forest Types TNT 2023'!$I$3</c:f>
            </c:strRef>
          </c:cat>
          <c:val>
            <c:numRef>
              <c:f>'Forest Types TNT 2023'!$I$9</c:f>
              <c:numCache/>
            </c:numRef>
          </c:val>
        </c:ser>
        <c:ser>
          <c:idx val="6"/>
          <c:order val="6"/>
          <c:tx>
            <c:strRef>
              <c:f>'Forest Types TNT 2023'!$H$10</c:f>
            </c:strRef>
          </c:tx>
          <c:cat>
            <c:strRef>
              <c:f>'Forest Types TNT 2023'!$I$3</c:f>
            </c:strRef>
          </c:cat>
          <c:val>
            <c:numRef>
              <c:f>'Forest Types TNT 2023'!$I$10</c:f>
              <c:numCache/>
            </c:numRef>
          </c:val>
        </c:ser>
        <c:ser>
          <c:idx val="7"/>
          <c:order val="7"/>
          <c:tx>
            <c:strRef>
              <c:f>'Forest Types TNT 2023'!$H$11</c:f>
            </c:strRef>
          </c:tx>
          <c:cat>
            <c:strRef>
              <c:f>'Forest Types TNT 2023'!$I$3</c:f>
            </c:strRef>
          </c:cat>
          <c:val>
            <c:numRef>
              <c:f>'Forest Types TNT 2023'!$I$11</c:f>
              <c:numCache/>
            </c:numRef>
          </c:val>
        </c:ser>
        <c:ser>
          <c:idx val="8"/>
          <c:order val="8"/>
          <c:tx>
            <c:strRef>
              <c:f>'Forest Types TNT 2023'!$H$12</c:f>
            </c:strRef>
          </c:tx>
          <c:cat>
            <c:strRef>
              <c:f>'Forest Types TNT 2023'!$I$3</c:f>
            </c:strRef>
          </c:cat>
          <c:val>
            <c:numRef>
              <c:f>'Forest Types TNT 2023'!$I$12</c:f>
              <c:numCache/>
            </c:numRef>
          </c:val>
        </c:ser>
        <c:axId val="2126210367"/>
        <c:axId val="2051512935"/>
      </c:barChart>
      <c:catAx>
        <c:axId val="212621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1512935"/>
      </c:catAx>
      <c:valAx>
        <c:axId val="20515129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262103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by forest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'Forest Types TNT 2023'!$K$5</c:f>
            </c:strRef>
          </c:tx>
          <c:cat>
            <c:strRef>
              <c:f>'Forest Types TNT 2023'!$L$4</c:f>
            </c:strRef>
          </c:cat>
          <c:val>
            <c:numRef>
              <c:f>'Forest Types TNT 2023'!$L$5</c:f>
              <c:numCache/>
            </c:numRef>
          </c:val>
        </c:ser>
        <c:ser>
          <c:idx val="1"/>
          <c:order val="1"/>
          <c:tx>
            <c:strRef>
              <c:f>'Forest Types TNT 2023'!$K$6</c:f>
            </c:strRef>
          </c:tx>
          <c:cat>
            <c:strRef>
              <c:f>'Forest Types TNT 2023'!$L$4</c:f>
            </c:strRef>
          </c:cat>
          <c:val>
            <c:numRef>
              <c:f>'Forest Types TNT 2023'!$L$6</c:f>
              <c:numCache/>
            </c:numRef>
          </c:val>
        </c:ser>
        <c:ser>
          <c:idx val="2"/>
          <c:order val="2"/>
          <c:tx>
            <c:strRef>
              <c:f>'Forest Types TNT 2023'!$K$7</c:f>
            </c:strRef>
          </c:tx>
          <c:cat>
            <c:strRef>
              <c:f>'Forest Types TNT 2023'!$L$4</c:f>
            </c:strRef>
          </c:cat>
          <c:val>
            <c:numRef>
              <c:f>'Forest Types TNT 2023'!$L$7</c:f>
              <c:numCache/>
            </c:numRef>
          </c:val>
        </c:ser>
        <c:ser>
          <c:idx val="3"/>
          <c:order val="3"/>
          <c:tx>
            <c:strRef>
              <c:f>'Forest Types TNT 2023'!$K$8</c:f>
            </c:strRef>
          </c:tx>
          <c:cat>
            <c:strRef>
              <c:f>'Forest Types TNT 2023'!$L$4</c:f>
            </c:strRef>
          </c:cat>
          <c:val>
            <c:numRef>
              <c:f>'Forest Types TNT 2023'!$L$8</c:f>
              <c:numCache/>
            </c:numRef>
          </c:val>
        </c:ser>
        <c:ser>
          <c:idx val="4"/>
          <c:order val="4"/>
          <c:tx>
            <c:strRef>
              <c:f>'Forest Types TNT 2023'!$K$9</c:f>
            </c:strRef>
          </c:tx>
          <c:cat>
            <c:strRef>
              <c:f>'Forest Types TNT 2023'!$L$4</c:f>
            </c:strRef>
          </c:cat>
          <c:val>
            <c:numRef>
              <c:f>'Forest Types TNT 2023'!$L$9</c:f>
              <c:numCache/>
            </c:numRef>
          </c:val>
        </c:ser>
        <c:ser>
          <c:idx val="5"/>
          <c:order val="5"/>
          <c:tx>
            <c:strRef>
              <c:f>'Forest Types TNT 2023'!$K$10</c:f>
            </c:strRef>
          </c:tx>
          <c:cat>
            <c:strRef>
              <c:f>'Forest Types TNT 2023'!$L$4</c:f>
            </c:strRef>
          </c:cat>
          <c:val>
            <c:numRef>
              <c:f>'Forest Types TNT 2023'!$L$10</c:f>
              <c:numCache/>
            </c:numRef>
          </c:val>
        </c:ser>
        <c:ser>
          <c:idx val="6"/>
          <c:order val="6"/>
          <c:tx>
            <c:strRef>
              <c:f>'Forest Types TNT 2023'!$K$11</c:f>
            </c:strRef>
          </c:tx>
          <c:cat>
            <c:strRef>
              <c:f>'Forest Types TNT 2023'!$L$4</c:f>
            </c:strRef>
          </c:cat>
          <c:val>
            <c:numRef>
              <c:f>'Forest Types TNT 2023'!$L$11</c:f>
              <c:numCache/>
            </c:numRef>
          </c:val>
        </c:ser>
        <c:ser>
          <c:idx val="7"/>
          <c:order val="7"/>
          <c:tx>
            <c:strRef>
              <c:f>'Forest Types TNT 2023'!$K$12</c:f>
            </c:strRef>
          </c:tx>
          <c:cat>
            <c:strRef>
              <c:f>'Forest Types TNT 2023'!$L$4</c:f>
            </c:strRef>
          </c:cat>
          <c:val>
            <c:numRef>
              <c:f>'Forest Types TNT 2023'!$L$12</c:f>
              <c:numCache/>
            </c:numRef>
          </c:val>
        </c:ser>
        <c:axId val="2022855797"/>
        <c:axId val="132733213"/>
      </c:barChart>
      <c:catAx>
        <c:axId val="2022855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733213"/>
      </c:catAx>
      <c:valAx>
        <c:axId val="1327332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228557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Disturbance by forest type (2015-2023)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'Forest Types Summary 2015-2023'!$E$1</c:f>
            </c:strRef>
          </c:tx>
          <c:cat>
            <c:strRef>
              <c:f>'Forest Types Summary 2015-2023'!$A$2:$A$10</c:f>
            </c:strRef>
          </c:cat>
          <c:val>
            <c:numRef>
              <c:f>'Forest Types Summary 2015-2023'!$E$2:$E$11</c:f>
              <c:numCache/>
            </c:numRef>
          </c:val>
        </c:ser>
        <c:ser>
          <c:idx val="1"/>
          <c:order val="1"/>
          <c:tx>
            <c:strRef>
              <c:f>'Forest Types Summary 2015-2023'!$H$1</c:f>
            </c:strRef>
          </c:tx>
          <c:cat>
            <c:strRef>
              <c:f>'Forest Types Summary 2015-2023'!$A$2:$A$10</c:f>
            </c:strRef>
          </c:cat>
          <c:val>
            <c:numRef>
              <c:f>'Forest Types Summary 2015-2023'!$H$2:$H$10</c:f>
              <c:numCache/>
            </c:numRef>
          </c:val>
        </c:ser>
        <c:axId val="982658952"/>
        <c:axId val="478569098"/>
      </c:barChart>
      <c:catAx>
        <c:axId val="98265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Forest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8569098"/>
      </c:catAx>
      <c:valAx>
        <c:axId val="4785690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26589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Stable Land Cover (2015)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'Forest Types Summary 2015-2023'!$B$1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D9EAD3"/>
              </a:solidFill>
            </c:spPr>
          </c:dPt>
          <c:dPt>
            <c:idx val="3"/>
            <c:spPr>
              <a:solidFill>
                <a:srgbClr val="D9EAD3"/>
              </a:solidFill>
            </c:spPr>
          </c:dPt>
          <c:dPt>
            <c:idx val="4"/>
            <c:spPr>
              <a:solidFill>
                <a:srgbClr val="20124D"/>
              </a:solidFill>
            </c:spPr>
          </c:dPt>
          <c:dPt>
            <c:idx val="5"/>
            <c:spPr>
              <a:solidFill>
                <a:srgbClr val="0C343D"/>
              </a:solidFill>
            </c:spPr>
          </c:dPt>
          <c:dPt>
            <c:idx val="6"/>
            <c:spPr>
              <a:solidFill>
                <a:srgbClr val="45818E"/>
              </a:solidFill>
            </c:spPr>
          </c:dPt>
          <c:dPt>
            <c:idx val="7"/>
            <c:spPr>
              <a:solidFill>
                <a:srgbClr val="783F04"/>
              </a:solidFill>
            </c:spPr>
          </c:dPt>
          <c:dPt>
            <c:idx val="8"/>
            <c:spPr>
              <a:solidFill>
                <a:srgbClr val="B45F06"/>
              </a:solidFill>
            </c:spPr>
          </c:dPt>
          <c:dPt>
            <c:idx val="9"/>
            <c:spPr>
              <a:solidFill>
                <a:srgbClr val="E69138"/>
              </a:solidFill>
            </c:spPr>
          </c:dPt>
          <c:dPt>
            <c:idx val="10"/>
            <c:spPr>
              <a:solidFill>
                <a:srgbClr val="F9CB9C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7B7B7"/>
              </a:solidFill>
            </c:spPr>
          </c:dPt>
          <c:dPt>
            <c:idx val="13"/>
            <c:spPr>
              <a:solidFill>
                <a:srgbClr val="7F6000"/>
              </a:solidFill>
            </c:spPr>
          </c:dPt>
          <c:dPt>
            <c:idx val="14"/>
            <c:spPr>
              <a:solidFill>
                <a:srgbClr val="660000"/>
              </a:solidFill>
            </c:spPr>
          </c:dPt>
          <c:dPt>
            <c:idx val="15"/>
            <c:spPr>
              <a:solidFill>
                <a:srgbClr val="4A86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'Forest Types Summary 2015-2023'!$A$2:$A$17</c:f>
            </c:strRef>
          </c:cat>
          <c:val>
            <c:numRef>
              <c:f>'Forest Types Summary 2015-2023'!$B$2:$B$17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'Lobaye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2015-2022'!$J$4</c:f>
              <c:numCache/>
            </c:numRef>
          </c:val>
        </c:ser>
        <c:ser>
          <c:idx val="1"/>
          <c:order val="1"/>
          <c:tx>
            <c:strRef>
              <c:f>'Lobaye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2015-2022'!$J$5</c:f>
              <c:numCache/>
            </c:numRef>
          </c:val>
        </c:ser>
        <c:ser>
          <c:idx val="2"/>
          <c:order val="2"/>
          <c:tx>
            <c:strRef>
              <c:f>'Lobaye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2015-2022'!$J$6</c:f>
              <c:numCache/>
            </c:numRef>
          </c:val>
        </c:ser>
        <c:ser>
          <c:idx val="3"/>
          <c:order val="3"/>
          <c:tx>
            <c:strRef>
              <c:f>'Lobaye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2015-2022'!$J$7</c:f>
              <c:numCache/>
            </c:numRef>
          </c:val>
        </c:ser>
        <c:ser>
          <c:idx val="4"/>
          <c:order val="4"/>
          <c:tx>
            <c:strRef>
              <c:f>'Lobaye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2015-2022'!$J$8</c:f>
              <c:numCache/>
            </c:numRef>
          </c:val>
        </c:ser>
        <c:ser>
          <c:idx val="5"/>
          <c:order val="5"/>
          <c:tx>
            <c:strRef>
              <c:f>'Lobaye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2015-2022'!$J$9</c:f>
              <c:numCache/>
            </c:numRef>
          </c:val>
        </c:ser>
        <c:ser>
          <c:idx val="6"/>
          <c:order val="6"/>
          <c:tx>
            <c:strRef>
              <c:f>'Lobaye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2015-2022'!$J$10</c:f>
              <c:numCache/>
            </c:numRef>
          </c:val>
        </c:ser>
        <c:ser>
          <c:idx val="7"/>
          <c:order val="7"/>
          <c:tx>
            <c:strRef>
              <c:f>'Lobaye TNT 2015-2022'!$I$11</c:f>
            </c:strRef>
          </c:tx>
          <c:val>
            <c:numRef>
              <c:f>'Lobaye TNT 2015-2022'!$J$11</c:f>
              <c:numCache/>
            </c:numRef>
          </c:val>
        </c:ser>
        <c:axId val="393062846"/>
        <c:axId val="1623318377"/>
      </c:barChart>
      <c:catAx>
        <c:axId val="393062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3318377"/>
      </c:catAx>
      <c:valAx>
        <c:axId val="16233183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3062846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'Lobaye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2015-2022'!$L$4</c:f>
              <c:numCache/>
            </c:numRef>
          </c:val>
        </c:ser>
        <c:ser>
          <c:idx val="1"/>
          <c:order val="1"/>
          <c:tx>
            <c:strRef>
              <c:f>'Lobaye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2015-2022'!$L$5</c:f>
              <c:numCache/>
            </c:numRef>
          </c:val>
        </c:ser>
        <c:ser>
          <c:idx val="2"/>
          <c:order val="2"/>
          <c:tx>
            <c:strRef>
              <c:f>'Lobaye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2015-2022'!$L$6</c:f>
              <c:numCache/>
            </c:numRef>
          </c:val>
        </c:ser>
        <c:ser>
          <c:idx val="3"/>
          <c:order val="3"/>
          <c:tx>
            <c:strRef>
              <c:f>'Lobaye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2015-2022'!$L$7</c:f>
              <c:numCache/>
            </c:numRef>
          </c:val>
        </c:ser>
        <c:ser>
          <c:idx val="4"/>
          <c:order val="4"/>
          <c:tx>
            <c:strRef>
              <c:f>'Lobaye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2015-2022'!$L$8</c:f>
              <c:numCache/>
            </c:numRef>
          </c:val>
        </c:ser>
        <c:ser>
          <c:idx val="5"/>
          <c:order val="5"/>
          <c:tx>
            <c:strRef>
              <c:f>'Lobaye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2015-2022'!$L$9</c:f>
              <c:numCache/>
            </c:numRef>
          </c:val>
        </c:ser>
        <c:ser>
          <c:idx val="6"/>
          <c:order val="6"/>
          <c:tx>
            <c:strRef>
              <c:f>'Lobaye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'Lobaye TNT 2015-2022'!$L$10</c:f>
              <c:numCache/>
            </c:numRef>
          </c:val>
        </c:ser>
        <c:ser>
          <c:idx val="7"/>
          <c:order val="7"/>
          <c:tx>
            <c:strRef>
              <c:f>'Lobaye TNT 2015-2022'!$K$11</c:f>
            </c:strRef>
          </c:tx>
          <c:val>
            <c:numRef>
              <c:f>'Lobaye TNT 2015-2022'!$L$11</c:f>
              <c:numCache/>
            </c:numRef>
          </c:val>
        </c:ser>
        <c:axId val="1367722943"/>
        <c:axId val="311067870"/>
      </c:barChart>
      <c:catAx>
        <c:axId val="1367722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1067870"/>
      </c:catAx>
      <c:valAx>
        <c:axId val="311067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7722943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Pendé TNT 2015-2022'!$I$5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2015-2022'!$J$5</c:f>
              <c:numCache/>
            </c:numRef>
          </c:val>
        </c:ser>
        <c:ser>
          <c:idx val="1"/>
          <c:order val="1"/>
          <c:tx>
            <c:strRef>
              <c:f>'Ouham Pendé TNT 2015-2022'!$I$6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2015-2022'!$J$6</c:f>
              <c:numCache/>
            </c:numRef>
          </c:val>
        </c:ser>
        <c:ser>
          <c:idx val="2"/>
          <c:order val="2"/>
          <c:tx>
            <c:strRef>
              <c:f>'Ouham Pendé TNT 2015-2022'!$I$7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2015-2022'!$J$7</c:f>
              <c:numCache/>
            </c:numRef>
          </c:val>
        </c:ser>
        <c:ser>
          <c:idx val="3"/>
          <c:order val="3"/>
          <c:tx>
            <c:strRef>
              <c:f>'Ouham Pendé TNT 2015-2022'!$I$8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2015-2022'!$J$8</c:f>
              <c:numCache/>
            </c:numRef>
          </c:val>
        </c:ser>
        <c:ser>
          <c:idx val="4"/>
          <c:order val="4"/>
          <c:tx>
            <c:strRef>
              <c:f>'Ouham Pendé TNT 2015-2022'!$I$9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2015-2022'!$J$9</c:f>
              <c:numCache/>
            </c:numRef>
          </c:val>
        </c:ser>
        <c:ser>
          <c:idx val="5"/>
          <c:order val="5"/>
          <c:tx>
            <c:strRef>
              <c:f>'Ouham Pendé TNT 2015-2022'!$I$10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2015-2022'!$J$10</c:f>
              <c:numCache/>
            </c:numRef>
          </c:val>
        </c:ser>
        <c:ser>
          <c:idx val="6"/>
          <c:order val="6"/>
          <c:tx>
            <c:strRef>
              <c:f>'Ouham Pendé TNT 2015-2022'!$I$11</c:f>
            </c:strRef>
          </c:tx>
          <c:cat>
            <c:strRef>
              <c:f>'Ouham Pendé TNT 2015-2022'!$J$4</c:f>
            </c:strRef>
          </c:cat>
          <c:val>
            <c:numRef>
              <c:f>'Ouham Pendé TNT 2015-2022'!$J$11</c:f>
              <c:numCache/>
            </c:numRef>
          </c:val>
        </c:ser>
        <c:axId val="155725655"/>
        <c:axId val="1202665877"/>
      </c:barChart>
      <c:catAx>
        <c:axId val="155725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2665877"/>
      </c:catAx>
      <c:valAx>
        <c:axId val="12026658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5725655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Pendé TNT 2015-2022'!$K$5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2015-2022'!$L$5</c:f>
              <c:numCache/>
            </c:numRef>
          </c:val>
        </c:ser>
        <c:ser>
          <c:idx val="1"/>
          <c:order val="1"/>
          <c:tx>
            <c:strRef>
              <c:f>'Ouham Pendé TNT 2015-2022'!$K$6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2015-2022'!$L$6</c:f>
              <c:numCache/>
            </c:numRef>
          </c:val>
        </c:ser>
        <c:ser>
          <c:idx val="2"/>
          <c:order val="2"/>
          <c:tx>
            <c:strRef>
              <c:f>'Ouham Pendé TNT 2015-2022'!$K$7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2015-2022'!$L$7</c:f>
              <c:numCache/>
            </c:numRef>
          </c:val>
        </c:ser>
        <c:ser>
          <c:idx val="3"/>
          <c:order val="3"/>
          <c:tx>
            <c:strRef>
              <c:f>'Ouham Pendé TNT 2015-2022'!$K$8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2015-2022'!$L$8</c:f>
              <c:numCache/>
            </c:numRef>
          </c:val>
        </c:ser>
        <c:ser>
          <c:idx val="4"/>
          <c:order val="4"/>
          <c:tx>
            <c:strRef>
              <c:f>'Ouham Pendé TNT 2015-2022'!$K$9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2015-2022'!$L$9</c:f>
              <c:numCache/>
            </c:numRef>
          </c:val>
        </c:ser>
        <c:ser>
          <c:idx val="5"/>
          <c:order val="5"/>
          <c:tx>
            <c:strRef>
              <c:f>'Ouham Pendé TNT 2015-2022'!$K$10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2015-2022'!$L$10</c:f>
              <c:numCache/>
            </c:numRef>
          </c:val>
        </c:ser>
        <c:ser>
          <c:idx val="6"/>
          <c:order val="6"/>
          <c:tx>
            <c:strRef>
              <c:f>'Ouham Pendé TNT 2015-2022'!$K$11</c:f>
            </c:strRef>
          </c:tx>
          <c:cat>
            <c:strRef>
              <c:f>'Ouham Pendé TNT 2015-2022'!$L$4</c:f>
            </c:strRef>
          </c:cat>
          <c:val>
            <c:numRef>
              <c:f>'Ouham Pendé TNT 2015-2022'!$L$11</c:f>
              <c:numCache/>
            </c:numRef>
          </c:val>
        </c:ser>
        <c:axId val="869791136"/>
        <c:axId val="1806736015"/>
      </c:barChart>
      <c:catAx>
        <c:axId val="86979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6736015"/>
      </c:catAx>
      <c:valAx>
        <c:axId val="18067360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9791136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'Nana-Gribizi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2015-2022'!$J$4</c:f>
              <c:numCache/>
            </c:numRef>
          </c:val>
        </c:ser>
        <c:ser>
          <c:idx val="1"/>
          <c:order val="1"/>
          <c:tx>
            <c:strRef>
              <c:f>'Nana-Gribizi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2015-2022'!$J$5</c:f>
              <c:numCache/>
            </c:numRef>
          </c:val>
        </c:ser>
        <c:ser>
          <c:idx val="2"/>
          <c:order val="2"/>
          <c:tx>
            <c:strRef>
              <c:f>'Nana-Gribizi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2015-2022'!$J$6</c:f>
              <c:numCache/>
            </c:numRef>
          </c:val>
        </c:ser>
        <c:ser>
          <c:idx val="3"/>
          <c:order val="3"/>
          <c:tx>
            <c:strRef>
              <c:f>'Nana-Gribizi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2015-2022'!$J$7</c:f>
              <c:numCache/>
            </c:numRef>
          </c:val>
        </c:ser>
        <c:ser>
          <c:idx val="4"/>
          <c:order val="4"/>
          <c:tx>
            <c:strRef>
              <c:f>'Nana-Gribizi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2015-2022'!$J$8</c:f>
              <c:numCache/>
            </c:numRef>
          </c:val>
        </c:ser>
        <c:ser>
          <c:idx val="5"/>
          <c:order val="5"/>
          <c:tx>
            <c:strRef>
              <c:f>'Nana-Gribizi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2015-2022'!$J$9</c:f>
              <c:numCache/>
            </c:numRef>
          </c:val>
        </c:ser>
        <c:ser>
          <c:idx val="6"/>
          <c:order val="6"/>
          <c:tx>
            <c:strRef>
              <c:f>'Nana-Gribizi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2015-2022'!$J$10</c:f>
              <c:numCache/>
            </c:numRef>
          </c:val>
        </c:ser>
        <c:ser>
          <c:idx val="7"/>
          <c:order val="7"/>
          <c:tx>
            <c:strRef>
              <c:f>'Nana-Gribizi TNT 2015-2022'!$I$11</c:f>
            </c:strRef>
          </c:tx>
          <c:val>
            <c:numRef>
              <c:f>'Nana-Gribizi TNT 2015-2022'!$J$11</c:f>
              <c:numCache/>
            </c:numRef>
          </c:val>
        </c:ser>
        <c:axId val="882924755"/>
        <c:axId val="1680171073"/>
      </c:barChart>
      <c:catAx>
        <c:axId val="882924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0171073"/>
      </c:catAx>
      <c:valAx>
        <c:axId val="168017107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2924755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'Nana-Gribizi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2015-2022'!$L$4</c:f>
              <c:numCache/>
            </c:numRef>
          </c:val>
        </c:ser>
        <c:ser>
          <c:idx val="1"/>
          <c:order val="1"/>
          <c:tx>
            <c:strRef>
              <c:f>'Nana-Gribizi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2015-2022'!$L$5</c:f>
              <c:numCache/>
            </c:numRef>
          </c:val>
        </c:ser>
        <c:ser>
          <c:idx val="2"/>
          <c:order val="2"/>
          <c:tx>
            <c:strRef>
              <c:f>'Nana-Gribizi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2015-2022'!$L$6</c:f>
              <c:numCache/>
            </c:numRef>
          </c:val>
        </c:ser>
        <c:ser>
          <c:idx val="3"/>
          <c:order val="3"/>
          <c:tx>
            <c:strRef>
              <c:f>'Nana-Gribizi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2015-2022'!$L$7</c:f>
              <c:numCache/>
            </c:numRef>
          </c:val>
        </c:ser>
        <c:ser>
          <c:idx val="4"/>
          <c:order val="4"/>
          <c:tx>
            <c:strRef>
              <c:f>'Nana-Gribizi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2015-2022'!$L$8</c:f>
              <c:numCache/>
            </c:numRef>
          </c:val>
        </c:ser>
        <c:ser>
          <c:idx val="5"/>
          <c:order val="5"/>
          <c:tx>
            <c:strRef>
              <c:f>'Nana-Gribizi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2015-2022'!$L$9</c:f>
              <c:numCache/>
            </c:numRef>
          </c:val>
        </c:ser>
        <c:ser>
          <c:idx val="6"/>
          <c:order val="6"/>
          <c:tx>
            <c:strRef>
              <c:f>'Nana-Gribizi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'Nana-Gribizi TNT 2015-2022'!$L$10</c:f>
              <c:numCache/>
            </c:numRef>
          </c:val>
        </c:ser>
        <c:ser>
          <c:idx val="7"/>
          <c:order val="7"/>
          <c:tx>
            <c:strRef>
              <c:f>'Nana-Gribizi TNT 2015-2022'!$K$11</c:f>
            </c:strRef>
          </c:tx>
          <c:val>
            <c:numRef>
              <c:f>'Nana-Gribizi TNT 2015-2022'!$L$11</c:f>
              <c:numCache/>
            </c:numRef>
          </c:val>
        </c:ser>
        <c:axId val="165420105"/>
        <c:axId val="587177565"/>
      </c:barChart>
      <c:catAx>
        <c:axId val="165420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7177565"/>
      </c:catAx>
      <c:valAx>
        <c:axId val="587177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420105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'Kémo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2015-2022'!$J$4</c:f>
              <c:numCache/>
            </c:numRef>
          </c:val>
        </c:ser>
        <c:ser>
          <c:idx val="1"/>
          <c:order val="1"/>
          <c:tx>
            <c:strRef>
              <c:f>'Kémo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2015-2022'!$J$5</c:f>
              <c:numCache/>
            </c:numRef>
          </c:val>
        </c:ser>
        <c:ser>
          <c:idx val="2"/>
          <c:order val="2"/>
          <c:tx>
            <c:strRef>
              <c:f>'Kémo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2015-2022'!$J$6</c:f>
              <c:numCache/>
            </c:numRef>
          </c:val>
        </c:ser>
        <c:ser>
          <c:idx val="3"/>
          <c:order val="3"/>
          <c:tx>
            <c:strRef>
              <c:f>'Kémo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2015-2022'!$J$7</c:f>
              <c:numCache/>
            </c:numRef>
          </c:val>
        </c:ser>
        <c:ser>
          <c:idx val="4"/>
          <c:order val="4"/>
          <c:tx>
            <c:strRef>
              <c:f>'Kémo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2015-2022'!$J$8</c:f>
              <c:numCache/>
            </c:numRef>
          </c:val>
        </c:ser>
        <c:ser>
          <c:idx val="5"/>
          <c:order val="5"/>
          <c:tx>
            <c:strRef>
              <c:f>'Kémo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2015-2022'!$J$9</c:f>
              <c:numCache/>
            </c:numRef>
          </c:val>
        </c:ser>
        <c:ser>
          <c:idx val="6"/>
          <c:order val="6"/>
          <c:tx>
            <c:strRef>
              <c:f>'Kémo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2015-2022'!$J$10</c:f>
              <c:numCache/>
            </c:numRef>
          </c:val>
        </c:ser>
        <c:ser>
          <c:idx val="7"/>
          <c:order val="7"/>
          <c:tx>
            <c:strRef>
              <c:f>'Kémo TNT 2015-2022'!$I$11</c:f>
            </c:strRef>
          </c:tx>
          <c:val>
            <c:numRef>
              <c:f>'Kémo TNT 2015-2022'!$J$11</c:f>
              <c:numCache/>
            </c:numRef>
          </c:val>
        </c:ser>
        <c:axId val="1399273923"/>
        <c:axId val="1852324880"/>
      </c:barChart>
      <c:catAx>
        <c:axId val="1399273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52324880"/>
      </c:catAx>
      <c:valAx>
        <c:axId val="185232488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9273923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'Kémo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2015-2022'!$L$4</c:f>
              <c:numCache/>
            </c:numRef>
          </c:val>
        </c:ser>
        <c:ser>
          <c:idx val="1"/>
          <c:order val="1"/>
          <c:tx>
            <c:strRef>
              <c:f>'Kémo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2015-2022'!$L$5</c:f>
              <c:numCache/>
            </c:numRef>
          </c:val>
        </c:ser>
        <c:ser>
          <c:idx val="2"/>
          <c:order val="2"/>
          <c:tx>
            <c:strRef>
              <c:f>'Kémo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2015-2022'!$L$6</c:f>
              <c:numCache/>
            </c:numRef>
          </c:val>
        </c:ser>
        <c:ser>
          <c:idx val="3"/>
          <c:order val="3"/>
          <c:tx>
            <c:strRef>
              <c:f>'Kémo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2015-2022'!$L$7</c:f>
              <c:numCache/>
            </c:numRef>
          </c:val>
        </c:ser>
        <c:ser>
          <c:idx val="4"/>
          <c:order val="4"/>
          <c:tx>
            <c:strRef>
              <c:f>'Kémo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2015-2022'!$L$8</c:f>
              <c:numCache/>
            </c:numRef>
          </c:val>
        </c:ser>
        <c:ser>
          <c:idx val="5"/>
          <c:order val="5"/>
          <c:tx>
            <c:strRef>
              <c:f>'Kémo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2015-2022'!$L$9</c:f>
              <c:numCache/>
            </c:numRef>
          </c:val>
        </c:ser>
        <c:ser>
          <c:idx val="6"/>
          <c:order val="6"/>
          <c:tx>
            <c:strRef>
              <c:f>'Kémo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'Kémo TNT 2015-2022'!$L$10</c:f>
              <c:numCache/>
            </c:numRef>
          </c:val>
        </c:ser>
        <c:ser>
          <c:idx val="7"/>
          <c:order val="7"/>
          <c:tx>
            <c:strRef>
              <c:f>'Kémo TNT 2015-2022'!$K$11</c:f>
            </c:strRef>
          </c:tx>
          <c:val>
            <c:numRef>
              <c:f>'Kémo TNT 2015-2022'!$L$11</c:f>
              <c:numCache/>
            </c:numRef>
          </c:val>
        </c:ser>
        <c:axId val="1826791902"/>
        <c:axId val="1381903287"/>
      </c:barChart>
      <c:catAx>
        <c:axId val="182679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1903287"/>
      </c:catAx>
      <c:valAx>
        <c:axId val="1381903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6791902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2015-2022'!$J$4</c:f>
              <c:numCache/>
            </c:numRef>
          </c:val>
        </c:ser>
        <c:ser>
          <c:idx val="1"/>
          <c:order val="1"/>
          <c:tx>
            <c:strRef>
              <c:f>'Ouham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2015-2022'!$J$5</c:f>
              <c:numCache/>
            </c:numRef>
          </c:val>
        </c:ser>
        <c:ser>
          <c:idx val="2"/>
          <c:order val="2"/>
          <c:tx>
            <c:strRef>
              <c:f>'Ouham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2015-2022'!$J$6</c:f>
              <c:numCache/>
            </c:numRef>
          </c:val>
        </c:ser>
        <c:ser>
          <c:idx val="3"/>
          <c:order val="3"/>
          <c:tx>
            <c:strRef>
              <c:f>'Ouham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2015-2022'!$J$7</c:f>
              <c:numCache/>
            </c:numRef>
          </c:val>
        </c:ser>
        <c:ser>
          <c:idx val="4"/>
          <c:order val="4"/>
          <c:tx>
            <c:strRef>
              <c:f>'Ouham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2015-2022'!$J$8</c:f>
              <c:numCache/>
            </c:numRef>
          </c:val>
        </c:ser>
        <c:ser>
          <c:idx val="5"/>
          <c:order val="5"/>
          <c:tx>
            <c:strRef>
              <c:f>'Ouham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2015-2022'!$J$9</c:f>
              <c:numCache/>
            </c:numRef>
          </c:val>
        </c:ser>
        <c:ser>
          <c:idx val="6"/>
          <c:order val="6"/>
          <c:tx>
            <c:strRef>
              <c:f>'Ouham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2015-2022'!$J$10</c:f>
              <c:numCache/>
            </c:numRef>
          </c:val>
        </c:ser>
        <c:ser>
          <c:idx val="7"/>
          <c:order val="7"/>
          <c:tx>
            <c:strRef>
              <c:f>'Ouham TNT 2015-2022'!$I$11</c:f>
            </c:strRef>
          </c:tx>
          <c:val>
            <c:numRef>
              <c:f>'Ouham TNT 2015-2022'!$J$11</c:f>
              <c:numCache/>
            </c:numRef>
          </c:val>
        </c:ser>
        <c:axId val="348761949"/>
        <c:axId val="1421975307"/>
      </c:barChart>
      <c:catAx>
        <c:axId val="348761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1975307"/>
      </c:catAx>
      <c:valAx>
        <c:axId val="142197530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8761949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2015-2022'!$L$4</c:f>
              <c:numCache/>
            </c:numRef>
          </c:val>
        </c:ser>
        <c:ser>
          <c:idx val="1"/>
          <c:order val="1"/>
          <c:tx>
            <c:strRef>
              <c:f>'Ouham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2015-2022'!$L$5</c:f>
              <c:numCache/>
            </c:numRef>
          </c:val>
        </c:ser>
        <c:ser>
          <c:idx val="2"/>
          <c:order val="2"/>
          <c:tx>
            <c:strRef>
              <c:f>'Ouham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2015-2022'!$L$6</c:f>
              <c:numCache/>
            </c:numRef>
          </c:val>
        </c:ser>
        <c:ser>
          <c:idx val="3"/>
          <c:order val="3"/>
          <c:tx>
            <c:strRef>
              <c:f>'Ouham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2015-2022'!$L$7</c:f>
              <c:numCache/>
            </c:numRef>
          </c:val>
        </c:ser>
        <c:ser>
          <c:idx val="4"/>
          <c:order val="4"/>
          <c:tx>
            <c:strRef>
              <c:f>'Ouham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2015-2022'!$L$8</c:f>
              <c:numCache/>
            </c:numRef>
          </c:val>
        </c:ser>
        <c:ser>
          <c:idx val="5"/>
          <c:order val="5"/>
          <c:tx>
            <c:strRef>
              <c:f>'Ouham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2015-2022'!$L$9</c:f>
              <c:numCache/>
            </c:numRef>
          </c:val>
        </c:ser>
        <c:ser>
          <c:idx val="6"/>
          <c:order val="6"/>
          <c:tx>
            <c:strRef>
              <c:f>'Ouham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'Ouham TNT 2015-2022'!$L$10</c:f>
              <c:numCache/>
            </c:numRef>
          </c:val>
        </c:ser>
        <c:ser>
          <c:idx val="7"/>
          <c:order val="7"/>
          <c:tx>
            <c:strRef>
              <c:f>'Ouham TNT 2015-2022'!$K$11</c:f>
            </c:strRef>
          </c:tx>
          <c:val>
            <c:numRef>
              <c:f>'Ouham TNT 2015-2022'!$L$11</c:f>
              <c:numCache/>
            </c:numRef>
          </c:val>
        </c:ser>
        <c:axId val="643669872"/>
        <c:axId val="822288790"/>
      </c:barChart>
      <c:catAx>
        <c:axId val="64366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2288790"/>
      </c:catAx>
      <c:valAx>
        <c:axId val="82228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3669872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'Sangha-Mbaéré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2015-2022'!$J$4</c:f>
              <c:numCache/>
            </c:numRef>
          </c:val>
        </c:ser>
        <c:ser>
          <c:idx val="1"/>
          <c:order val="1"/>
          <c:tx>
            <c:strRef>
              <c:f>'Sangha-Mbaéré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errBars>
            <c:errDir val="y"/>
            <c:errBarType val="both"/>
            <c:errValType val="percentage"/>
            <c:noEndCap val="0"/>
            <c:val val="52.0"/>
          </c:errBars>
          <c:val>
            <c:numRef>
              <c:f>'Sangha-Mbaéré TNT 2015-2022'!$J$5</c:f>
              <c:numCache/>
            </c:numRef>
          </c:val>
        </c:ser>
        <c:ser>
          <c:idx val="2"/>
          <c:order val="2"/>
          <c:tx>
            <c:strRef>
              <c:f>'Sangha-Mbaéré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2015-2022'!$J$6</c:f>
              <c:numCache/>
            </c:numRef>
          </c:val>
        </c:ser>
        <c:ser>
          <c:idx val="3"/>
          <c:order val="3"/>
          <c:tx>
            <c:strRef>
              <c:f>'Sangha-Mbaéré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2015-2022'!$J$7</c:f>
              <c:numCache/>
            </c:numRef>
          </c:val>
        </c:ser>
        <c:ser>
          <c:idx val="4"/>
          <c:order val="4"/>
          <c:tx>
            <c:strRef>
              <c:f>'Sangha-Mbaéré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2015-2022'!$J$8</c:f>
              <c:numCache/>
            </c:numRef>
          </c:val>
        </c:ser>
        <c:ser>
          <c:idx val="5"/>
          <c:order val="5"/>
          <c:tx>
            <c:strRef>
              <c:f>'Sangha-Mbaéré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2015-2022'!$J$9</c:f>
              <c:numCache/>
            </c:numRef>
          </c:val>
        </c:ser>
        <c:ser>
          <c:idx val="6"/>
          <c:order val="6"/>
          <c:tx>
            <c:strRef>
              <c:f>'Sangha-Mbaéré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2015-2022'!$J$10</c:f>
              <c:numCache/>
            </c:numRef>
          </c:val>
        </c:ser>
        <c:ser>
          <c:idx val="7"/>
          <c:order val="7"/>
          <c:tx>
            <c:strRef>
              <c:f>'Sangha-Mbaéré TNT 2015-2022'!$I$11</c:f>
            </c:strRef>
          </c:tx>
          <c:val>
            <c:numRef>
              <c:f>'Sangha-Mbaéré TNT 2015-2022'!$J$11</c:f>
              <c:numCache/>
            </c:numRef>
          </c:val>
        </c:ser>
        <c:axId val="1758831393"/>
        <c:axId val="447130550"/>
      </c:barChart>
      <c:catAx>
        <c:axId val="1758831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7130550"/>
      </c:catAx>
      <c:valAx>
        <c:axId val="44713055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8831393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'Sangha-Mbaéré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2015-2022'!$L$4</c:f>
              <c:numCache/>
            </c:numRef>
          </c:val>
        </c:ser>
        <c:ser>
          <c:idx val="1"/>
          <c:order val="1"/>
          <c:tx>
            <c:strRef>
              <c:f>'Sangha-Mbaéré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2015-2022'!$L$5</c:f>
              <c:numCache/>
            </c:numRef>
          </c:val>
        </c:ser>
        <c:ser>
          <c:idx val="2"/>
          <c:order val="2"/>
          <c:tx>
            <c:strRef>
              <c:f>'Sangha-Mbaéré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2015-2022'!$L$6</c:f>
              <c:numCache/>
            </c:numRef>
          </c:val>
        </c:ser>
        <c:ser>
          <c:idx val="3"/>
          <c:order val="3"/>
          <c:tx>
            <c:strRef>
              <c:f>'Sangha-Mbaéré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2015-2022'!$L$7</c:f>
              <c:numCache/>
            </c:numRef>
          </c:val>
        </c:ser>
        <c:ser>
          <c:idx val="4"/>
          <c:order val="4"/>
          <c:tx>
            <c:strRef>
              <c:f>'Sangha-Mbaéré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2015-2022'!$L$8</c:f>
              <c:numCache/>
            </c:numRef>
          </c:val>
        </c:ser>
        <c:ser>
          <c:idx val="5"/>
          <c:order val="5"/>
          <c:tx>
            <c:strRef>
              <c:f>'Sangha-Mbaéré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2015-2022'!$L$9</c:f>
              <c:numCache/>
            </c:numRef>
          </c:val>
        </c:ser>
        <c:ser>
          <c:idx val="6"/>
          <c:order val="6"/>
          <c:tx>
            <c:strRef>
              <c:f>'Sangha-Mbaéré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2015-2022'!$L$10</c:f>
              <c:numCache/>
            </c:numRef>
          </c:val>
        </c:ser>
        <c:ser>
          <c:idx val="7"/>
          <c:order val="7"/>
          <c:tx>
            <c:strRef>
              <c:f>'Sangha-Mbaéré TNT 2015-2022'!$K$11</c:f>
            </c:strRef>
          </c:tx>
          <c:val>
            <c:numRef>
              <c:f>'Sangha-Mbaéré TNT 2015-2022'!$L$11</c:f>
              <c:numCache/>
            </c:numRef>
          </c:val>
        </c:ser>
        <c:axId val="521080641"/>
        <c:axId val="18880265"/>
      </c:barChart>
      <c:catAx>
        <c:axId val="521080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80265"/>
      </c:catAx>
      <c:valAx>
        <c:axId val="18880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1080641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'Mambéré-Kadéï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2015-2022'!$J$4</c:f>
              <c:numCache/>
            </c:numRef>
          </c:val>
        </c:ser>
        <c:ser>
          <c:idx val="1"/>
          <c:order val="1"/>
          <c:tx>
            <c:strRef>
              <c:f>'Mambéré-Kadéï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2015-2022'!$J$5</c:f>
              <c:numCache/>
            </c:numRef>
          </c:val>
        </c:ser>
        <c:ser>
          <c:idx val="2"/>
          <c:order val="2"/>
          <c:tx>
            <c:strRef>
              <c:f>'Mambéré-Kadéï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2015-2022'!$J$6</c:f>
              <c:numCache/>
            </c:numRef>
          </c:val>
        </c:ser>
        <c:ser>
          <c:idx val="3"/>
          <c:order val="3"/>
          <c:tx>
            <c:strRef>
              <c:f>'Mambéré-Kadéï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2015-2022'!$J$7</c:f>
              <c:numCache/>
            </c:numRef>
          </c:val>
        </c:ser>
        <c:ser>
          <c:idx val="4"/>
          <c:order val="4"/>
          <c:tx>
            <c:strRef>
              <c:f>'Mambéré-Kadéï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2015-2022'!$J$8</c:f>
              <c:numCache/>
            </c:numRef>
          </c:val>
        </c:ser>
        <c:ser>
          <c:idx val="5"/>
          <c:order val="5"/>
          <c:tx>
            <c:strRef>
              <c:f>'Mambéré-Kadéï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2015-2022'!$J$9</c:f>
              <c:numCache/>
            </c:numRef>
          </c:val>
        </c:ser>
        <c:ser>
          <c:idx val="6"/>
          <c:order val="6"/>
          <c:tx>
            <c:strRef>
              <c:f>'Mambéré-Kadéï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2015-2022'!$J$10</c:f>
              <c:numCache/>
            </c:numRef>
          </c:val>
        </c:ser>
        <c:ser>
          <c:idx val="7"/>
          <c:order val="7"/>
          <c:tx>
            <c:strRef>
              <c:f>'Mambéré-Kadéï TNT 2015-2022'!$I$11</c:f>
            </c:strRef>
          </c:tx>
          <c:val>
            <c:numRef>
              <c:f>'Mambéré-Kadéï TNT 2015-2022'!$J$11</c:f>
              <c:numCache/>
            </c:numRef>
          </c:val>
        </c:ser>
        <c:axId val="641205185"/>
        <c:axId val="227807055"/>
      </c:barChart>
      <c:catAx>
        <c:axId val="641205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7807055"/>
      </c:catAx>
      <c:valAx>
        <c:axId val="22780705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1205185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'Mambéré-Kadéï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2015-2022'!$L$4</c:f>
              <c:numCache/>
            </c:numRef>
          </c:val>
        </c:ser>
        <c:ser>
          <c:idx val="1"/>
          <c:order val="1"/>
          <c:tx>
            <c:strRef>
              <c:f>'Mambéré-Kadéï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2015-2022'!$L$5</c:f>
              <c:numCache/>
            </c:numRef>
          </c:val>
        </c:ser>
        <c:ser>
          <c:idx val="2"/>
          <c:order val="2"/>
          <c:tx>
            <c:strRef>
              <c:f>'Mambéré-Kadéï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2015-2022'!$L$6</c:f>
              <c:numCache/>
            </c:numRef>
          </c:val>
        </c:ser>
        <c:ser>
          <c:idx val="3"/>
          <c:order val="3"/>
          <c:tx>
            <c:strRef>
              <c:f>'Mambéré-Kadéï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2015-2022'!$L$7</c:f>
              <c:numCache/>
            </c:numRef>
          </c:val>
        </c:ser>
        <c:ser>
          <c:idx val="4"/>
          <c:order val="4"/>
          <c:tx>
            <c:strRef>
              <c:f>'Mambéré-Kadéï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2015-2022'!$L$8</c:f>
              <c:numCache/>
            </c:numRef>
          </c:val>
        </c:ser>
        <c:ser>
          <c:idx val="5"/>
          <c:order val="5"/>
          <c:tx>
            <c:strRef>
              <c:f>'Mambéré-Kadéï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2015-2022'!$L$9</c:f>
              <c:numCache/>
            </c:numRef>
          </c:val>
        </c:ser>
        <c:ser>
          <c:idx val="6"/>
          <c:order val="6"/>
          <c:tx>
            <c:strRef>
              <c:f>'Mambéré-Kadéï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2015-2022'!$L$10</c:f>
              <c:numCache/>
            </c:numRef>
          </c:val>
        </c:ser>
        <c:ser>
          <c:idx val="7"/>
          <c:order val="7"/>
          <c:tx>
            <c:strRef>
              <c:f>'Mambéré-Kadéï TNT 2015-2022'!$K$11</c:f>
            </c:strRef>
          </c:tx>
          <c:val>
            <c:numRef>
              <c:f>'Mambéré-Kadéï TNT 2015-2022'!$L$11</c:f>
              <c:numCache/>
            </c:numRef>
          </c:val>
        </c:ser>
        <c:axId val="1454327171"/>
        <c:axId val="731277728"/>
      </c:barChart>
      <c:catAx>
        <c:axId val="1454327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1277728"/>
      </c:catAx>
      <c:valAx>
        <c:axId val="731277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4327171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'Nana-Mambéré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2015-2022'!$J$4</c:f>
              <c:numCache/>
            </c:numRef>
          </c:val>
        </c:ser>
        <c:ser>
          <c:idx val="1"/>
          <c:order val="1"/>
          <c:tx>
            <c:strRef>
              <c:f>'Nana-Mambéré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2015-2022'!$J$5</c:f>
              <c:numCache/>
            </c:numRef>
          </c:val>
        </c:ser>
        <c:ser>
          <c:idx val="2"/>
          <c:order val="2"/>
          <c:tx>
            <c:strRef>
              <c:f>'Nana-Mambéré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2015-2022'!$J$6</c:f>
              <c:numCache/>
            </c:numRef>
          </c:val>
        </c:ser>
        <c:ser>
          <c:idx val="3"/>
          <c:order val="3"/>
          <c:tx>
            <c:strRef>
              <c:f>'Nana-Mambéré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2015-2022'!$J$7</c:f>
              <c:numCache/>
            </c:numRef>
          </c:val>
        </c:ser>
        <c:ser>
          <c:idx val="4"/>
          <c:order val="4"/>
          <c:tx>
            <c:strRef>
              <c:f>'Nana-Mambéré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2015-2022'!$J$8</c:f>
              <c:numCache/>
            </c:numRef>
          </c:val>
        </c:ser>
        <c:ser>
          <c:idx val="5"/>
          <c:order val="5"/>
          <c:tx>
            <c:strRef>
              <c:f>'Nana-Mambéré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2015-2022'!$J$9</c:f>
              <c:numCache/>
            </c:numRef>
          </c:val>
        </c:ser>
        <c:ser>
          <c:idx val="6"/>
          <c:order val="6"/>
          <c:tx>
            <c:strRef>
              <c:f>'Nana-Mambéré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2015-2022'!$J$10</c:f>
              <c:numCache/>
            </c:numRef>
          </c:val>
        </c:ser>
        <c:ser>
          <c:idx val="7"/>
          <c:order val="7"/>
          <c:tx>
            <c:strRef>
              <c:f>'Nana-Mambéré TNT 2015-2022'!$I$11</c:f>
            </c:strRef>
          </c:tx>
          <c:val>
            <c:numRef>
              <c:f>'Nana-Mambéré TNT 2015-2022'!$J$11</c:f>
              <c:numCache/>
            </c:numRef>
          </c:val>
        </c:ser>
        <c:axId val="1563758734"/>
        <c:axId val="1262850713"/>
      </c:barChart>
      <c:catAx>
        <c:axId val="1563758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2850713"/>
      </c:catAx>
      <c:valAx>
        <c:axId val="126285071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3758734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'Nana-Mambéré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2015-2022'!$L$4</c:f>
              <c:numCache/>
            </c:numRef>
          </c:val>
        </c:ser>
        <c:ser>
          <c:idx val="1"/>
          <c:order val="1"/>
          <c:tx>
            <c:strRef>
              <c:f>'Nana-Mambéré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2015-2022'!$L$5</c:f>
              <c:numCache/>
            </c:numRef>
          </c:val>
        </c:ser>
        <c:ser>
          <c:idx val="2"/>
          <c:order val="2"/>
          <c:tx>
            <c:strRef>
              <c:f>'Nana-Mambéré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2015-2022'!$L$6</c:f>
              <c:numCache/>
            </c:numRef>
          </c:val>
        </c:ser>
        <c:ser>
          <c:idx val="3"/>
          <c:order val="3"/>
          <c:tx>
            <c:strRef>
              <c:f>'Nana-Mambéré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2015-2022'!$L$7</c:f>
              <c:numCache/>
            </c:numRef>
          </c:val>
        </c:ser>
        <c:ser>
          <c:idx val="4"/>
          <c:order val="4"/>
          <c:tx>
            <c:strRef>
              <c:f>'Nana-Mambéré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2015-2022'!$L$8</c:f>
              <c:numCache/>
            </c:numRef>
          </c:val>
        </c:ser>
        <c:ser>
          <c:idx val="5"/>
          <c:order val="5"/>
          <c:tx>
            <c:strRef>
              <c:f>'Nana-Mambéré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2015-2022'!$L$9</c:f>
              <c:numCache/>
            </c:numRef>
          </c:val>
        </c:ser>
        <c:ser>
          <c:idx val="6"/>
          <c:order val="6"/>
          <c:tx>
            <c:strRef>
              <c:f>'Nana-Mambéré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2015-2022'!$L$10</c:f>
              <c:numCache/>
            </c:numRef>
          </c:val>
        </c:ser>
        <c:ser>
          <c:idx val="7"/>
          <c:order val="7"/>
          <c:tx>
            <c:strRef>
              <c:f>'Nana-Mambéré TNT 2015-2022'!$K$11</c:f>
            </c:strRef>
          </c:tx>
          <c:val>
            <c:numRef>
              <c:f>'Nana-Mambéré TNT 2015-2022'!$L$11</c:f>
              <c:numCache/>
            </c:numRef>
          </c:val>
        </c:ser>
        <c:axId val="1057588636"/>
        <c:axId val="265977053"/>
      </c:barChart>
      <c:catAx>
        <c:axId val="1057588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5977053"/>
      </c:catAx>
      <c:valAx>
        <c:axId val="265977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7588636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'Haute-Kotto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2015-2022'!$J$4</c:f>
              <c:numCache/>
            </c:numRef>
          </c:val>
        </c:ser>
        <c:ser>
          <c:idx val="1"/>
          <c:order val="1"/>
          <c:tx>
            <c:strRef>
              <c:f>'Haute-Kotto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2015-2022'!$J$5</c:f>
              <c:numCache/>
            </c:numRef>
          </c:val>
        </c:ser>
        <c:ser>
          <c:idx val="2"/>
          <c:order val="2"/>
          <c:tx>
            <c:strRef>
              <c:f>'Haute-Kotto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2015-2022'!$J$6</c:f>
              <c:numCache/>
            </c:numRef>
          </c:val>
        </c:ser>
        <c:ser>
          <c:idx val="3"/>
          <c:order val="3"/>
          <c:tx>
            <c:strRef>
              <c:f>'Haute-Kotto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2015-2022'!$J$7</c:f>
              <c:numCache/>
            </c:numRef>
          </c:val>
        </c:ser>
        <c:ser>
          <c:idx val="4"/>
          <c:order val="4"/>
          <c:tx>
            <c:strRef>
              <c:f>'Haute-Kotto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2015-2022'!$J$8</c:f>
              <c:numCache/>
            </c:numRef>
          </c:val>
        </c:ser>
        <c:ser>
          <c:idx val="5"/>
          <c:order val="5"/>
          <c:tx>
            <c:strRef>
              <c:f>'Haute-Kotto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2015-2022'!$J$9</c:f>
              <c:numCache/>
            </c:numRef>
          </c:val>
        </c:ser>
        <c:ser>
          <c:idx val="6"/>
          <c:order val="6"/>
          <c:tx>
            <c:strRef>
              <c:f>'Haute-Kotto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2015-2022'!$J$10</c:f>
              <c:numCache/>
            </c:numRef>
          </c:val>
        </c:ser>
        <c:ser>
          <c:idx val="7"/>
          <c:order val="7"/>
          <c:tx>
            <c:strRef>
              <c:f>'Haute-Kotto TNT 2015-2022'!$I$11</c:f>
            </c:strRef>
          </c:tx>
          <c:val>
            <c:numRef>
              <c:f>'Haute-Kotto TNT 2015-2022'!$J$11</c:f>
              <c:numCache/>
            </c:numRef>
          </c:val>
        </c:ser>
        <c:axId val="173223705"/>
        <c:axId val="730889659"/>
      </c:barChart>
      <c:catAx>
        <c:axId val="173223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0889659"/>
      </c:catAx>
      <c:valAx>
        <c:axId val="73088965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223705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'Haute-Kotto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2015-2022'!$L$4</c:f>
              <c:numCache/>
            </c:numRef>
          </c:val>
        </c:ser>
        <c:ser>
          <c:idx val="1"/>
          <c:order val="1"/>
          <c:tx>
            <c:strRef>
              <c:f>'Haute-Kotto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2015-2022'!$L$5</c:f>
              <c:numCache/>
            </c:numRef>
          </c:val>
        </c:ser>
        <c:ser>
          <c:idx val="2"/>
          <c:order val="2"/>
          <c:tx>
            <c:strRef>
              <c:f>'Haute-Kotto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2015-2022'!$L$6</c:f>
              <c:numCache/>
            </c:numRef>
          </c:val>
        </c:ser>
        <c:ser>
          <c:idx val="3"/>
          <c:order val="3"/>
          <c:tx>
            <c:strRef>
              <c:f>'Haute-Kotto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2015-2022'!$L$7</c:f>
              <c:numCache/>
            </c:numRef>
          </c:val>
        </c:ser>
        <c:ser>
          <c:idx val="4"/>
          <c:order val="4"/>
          <c:tx>
            <c:strRef>
              <c:f>'Haute-Kotto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2015-2022'!$L$8</c:f>
              <c:numCache/>
            </c:numRef>
          </c:val>
        </c:ser>
        <c:ser>
          <c:idx val="5"/>
          <c:order val="5"/>
          <c:tx>
            <c:strRef>
              <c:f>'Haute-Kotto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2015-2022'!$L$9</c:f>
              <c:numCache/>
            </c:numRef>
          </c:val>
        </c:ser>
        <c:ser>
          <c:idx val="6"/>
          <c:order val="6"/>
          <c:tx>
            <c:strRef>
              <c:f>'Haute-Kotto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2015-2022'!$L$10</c:f>
              <c:numCache/>
            </c:numRef>
          </c:val>
        </c:ser>
        <c:ser>
          <c:idx val="7"/>
          <c:order val="7"/>
          <c:tx>
            <c:strRef>
              <c:f>'Haute-Kotto TNT 2015-2022'!$K$11</c:f>
            </c:strRef>
          </c:tx>
          <c:val>
            <c:numRef>
              <c:f>'Haute-Kotto TNT 2015-2022'!$L$11</c:f>
              <c:numCache/>
            </c:numRef>
          </c:val>
        </c:ser>
        <c:axId val="1081519113"/>
        <c:axId val="791158171"/>
      </c:barChart>
      <c:catAx>
        <c:axId val="1081519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1158171"/>
      </c:catAx>
      <c:valAx>
        <c:axId val="791158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1519113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'Haut-Mbomou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2015-2022'!$J$4</c:f>
              <c:numCache/>
            </c:numRef>
          </c:val>
        </c:ser>
        <c:ser>
          <c:idx val="1"/>
          <c:order val="1"/>
          <c:tx>
            <c:strRef>
              <c:f>'Haut-Mbomou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2015-2022'!$J$5</c:f>
              <c:numCache/>
            </c:numRef>
          </c:val>
        </c:ser>
        <c:ser>
          <c:idx val="2"/>
          <c:order val="2"/>
          <c:tx>
            <c:strRef>
              <c:f>'Haut-Mbomou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2015-2022'!$J$6</c:f>
              <c:numCache/>
            </c:numRef>
          </c:val>
        </c:ser>
        <c:ser>
          <c:idx val="3"/>
          <c:order val="3"/>
          <c:tx>
            <c:strRef>
              <c:f>'Haut-Mbomou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2015-2022'!$J$7</c:f>
              <c:numCache/>
            </c:numRef>
          </c:val>
        </c:ser>
        <c:ser>
          <c:idx val="4"/>
          <c:order val="4"/>
          <c:tx>
            <c:strRef>
              <c:f>'Haut-Mbomou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2015-2022'!$J$8</c:f>
              <c:numCache/>
            </c:numRef>
          </c:val>
        </c:ser>
        <c:ser>
          <c:idx val="5"/>
          <c:order val="5"/>
          <c:tx>
            <c:strRef>
              <c:f>'Haut-Mbomou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2015-2022'!$J$9</c:f>
              <c:numCache/>
            </c:numRef>
          </c:val>
        </c:ser>
        <c:ser>
          <c:idx val="6"/>
          <c:order val="6"/>
          <c:tx>
            <c:strRef>
              <c:f>'Haut-Mbomou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2015-2022'!$J$10</c:f>
              <c:numCache/>
            </c:numRef>
          </c:val>
        </c:ser>
        <c:ser>
          <c:idx val="7"/>
          <c:order val="7"/>
          <c:tx>
            <c:strRef>
              <c:f>'Haut-Mbomou TNT 2015-2022'!$I$11</c:f>
            </c:strRef>
          </c:tx>
          <c:val>
            <c:numRef>
              <c:f>'Haut-Mbomou TNT 2015-2022'!$J$11</c:f>
              <c:numCache/>
            </c:numRef>
          </c:val>
        </c:ser>
        <c:axId val="282364784"/>
        <c:axId val="1607288931"/>
      </c:barChart>
      <c:catAx>
        <c:axId val="28236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7288931"/>
      </c:catAx>
      <c:valAx>
        <c:axId val="160728893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2364784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'Haut-Mbomou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2015-2022'!$L$4</c:f>
              <c:numCache/>
            </c:numRef>
          </c:val>
        </c:ser>
        <c:ser>
          <c:idx val="1"/>
          <c:order val="1"/>
          <c:tx>
            <c:strRef>
              <c:f>'Haut-Mbomou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2015-2022'!$L$5</c:f>
              <c:numCache/>
            </c:numRef>
          </c:val>
        </c:ser>
        <c:ser>
          <c:idx val="2"/>
          <c:order val="2"/>
          <c:tx>
            <c:strRef>
              <c:f>'Haut-Mbomou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2015-2022'!$L$6</c:f>
              <c:numCache/>
            </c:numRef>
          </c:val>
        </c:ser>
        <c:ser>
          <c:idx val="3"/>
          <c:order val="3"/>
          <c:tx>
            <c:strRef>
              <c:f>'Haut-Mbomou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2015-2022'!$L$7</c:f>
              <c:numCache/>
            </c:numRef>
          </c:val>
        </c:ser>
        <c:ser>
          <c:idx val="4"/>
          <c:order val="4"/>
          <c:tx>
            <c:strRef>
              <c:f>'Haut-Mbomou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2015-2022'!$L$8</c:f>
              <c:numCache/>
            </c:numRef>
          </c:val>
        </c:ser>
        <c:ser>
          <c:idx val="5"/>
          <c:order val="5"/>
          <c:tx>
            <c:strRef>
              <c:f>'Haut-Mbomou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2015-2022'!$L$9</c:f>
              <c:numCache/>
            </c:numRef>
          </c:val>
        </c:ser>
        <c:ser>
          <c:idx val="6"/>
          <c:order val="6"/>
          <c:tx>
            <c:strRef>
              <c:f>'Haut-Mbomou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2015-2022'!$L$10</c:f>
              <c:numCache/>
            </c:numRef>
          </c:val>
        </c:ser>
        <c:ser>
          <c:idx val="7"/>
          <c:order val="7"/>
          <c:tx>
            <c:strRef>
              <c:f>'Haut-Mbomou TNT 2015-2022'!$K$11</c:f>
            </c:strRef>
          </c:tx>
          <c:val>
            <c:numRef>
              <c:f>'Haut-Mbomou TNT 2015-2022'!$L$11</c:f>
              <c:numCache/>
            </c:numRef>
          </c:val>
        </c:ser>
        <c:axId val="1027416768"/>
        <c:axId val="2087220164"/>
      </c:barChart>
      <c:catAx>
        <c:axId val="102741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7220164"/>
      </c:catAx>
      <c:valAx>
        <c:axId val="2087220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7416768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'Mbomou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2015-2022'!$J$4</c:f>
              <c:numCache/>
            </c:numRef>
          </c:val>
        </c:ser>
        <c:ser>
          <c:idx val="1"/>
          <c:order val="1"/>
          <c:tx>
            <c:strRef>
              <c:f>'Mbomou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2015-2022'!$J$5</c:f>
              <c:numCache/>
            </c:numRef>
          </c:val>
        </c:ser>
        <c:ser>
          <c:idx val="2"/>
          <c:order val="2"/>
          <c:tx>
            <c:strRef>
              <c:f>'Mbomou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2015-2022'!$J$6</c:f>
              <c:numCache/>
            </c:numRef>
          </c:val>
        </c:ser>
        <c:ser>
          <c:idx val="3"/>
          <c:order val="3"/>
          <c:tx>
            <c:strRef>
              <c:f>'Mbomou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2015-2022'!$J$7</c:f>
              <c:numCache/>
            </c:numRef>
          </c:val>
        </c:ser>
        <c:ser>
          <c:idx val="4"/>
          <c:order val="4"/>
          <c:tx>
            <c:strRef>
              <c:f>'Mbomou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2015-2022'!$J$8</c:f>
              <c:numCache/>
            </c:numRef>
          </c:val>
        </c:ser>
        <c:ser>
          <c:idx val="5"/>
          <c:order val="5"/>
          <c:tx>
            <c:strRef>
              <c:f>'Mbomou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2015-2022'!$J$9</c:f>
              <c:numCache/>
            </c:numRef>
          </c:val>
        </c:ser>
        <c:ser>
          <c:idx val="6"/>
          <c:order val="6"/>
          <c:tx>
            <c:strRef>
              <c:f>'Mbomou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2015-2022'!$J$10</c:f>
              <c:numCache/>
            </c:numRef>
          </c:val>
        </c:ser>
        <c:ser>
          <c:idx val="7"/>
          <c:order val="7"/>
          <c:tx>
            <c:strRef>
              <c:f>'Mbomou TNT 2015-2022'!$I$11</c:f>
            </c:strRef>
          </c:tx>
          <c:val>
            <c:numRef>
              <c:f>'Mbomou TNT 2015-2022'!$J$11</c:f>
              <c:numCache/>
            </c:numRef>
          </c:val>
        </c:ser>
        <c:axId val="1420355940"/>
        <c:axId val="1811721351"/>
      </c:barChart>
      <c:catAx>
        <c:axId val="1420355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1721351"/>
      </c:catAx>
      <c:valAx>
        <c:axId val="18117213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0355940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'Mbomou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2015-2022'!$L$4</c:f>
              <c:numCache/>
            </c:numRef>
          </c:val>
        </c:ser>
        <c:ser>
          <c:idx val="1"/>
          <c:order val="1"/>
          <c:tx>
            <c:strRef>
              <c:f>'Mbomou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2015-2022'!$L$5</c:f>
              <c:numCache/>
            </c:numRef>
          </c:val>
        </c:ser>
        <c:ser>
          <c:idx val="2"/>
          <c:order val="2"/>
          <c:tx>
            <c:strRef>
              <c:f>'Mbomou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2015-2022'!$L$6</c:f>
              <c:numCache/>
            </c:numRef>
          </c:val>
        </c:ser>
        <c:ser>
          <c:idx val="3"/>
          <c:order val="3"/>
          <c:tx>
            <c:strRef>
              <c:f>'Mbomou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2015-2022'!$L$7</c:f>
              <c:numCache/>
            </c:numRef>
          </c:val>
        </c:ser>
        <c:ser>
          <c:idx val="4"/>
          <c:order val="4"/>
          <c:tx>
            <c:strRef>
              <c:f>'Mbomou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2015-2022'!$L$8</c:f>
              <c:numCache/>
            </c:numRef>
          </c:val>
        </c:ser>
        <c:ser>
          <c:idx val="5"/>
          <c:order val="5"/>
          <c:tx>
            <c:strRef>
              <c:f>'Mbomou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2015-2022'!$L$9</c:f>
              <c:numCache/>
            </c:numRef>
          </c:val>
        </c:ser>
        <c:ser>
          <c:idx val="6"/>
          <c:order val="6"/>
          <c:tx>
            <c:strRef>
              <c:f>'Mbomou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2015-2022'!$L$10</c:f>
              <c:numCache/>
            </c:numRef>
          </c:val>
        </c:ser>
        <c:ser>
          <c:idx val="7"/>
          <c:order val="7"/>
          <c:tx>
            <c:strRef>
              <c:f>'Mbomou TNT 2015-2022'!$K$11</c:f>
            </c:strRef>
          </c:tx>
          <c:val>
            <c:numRef>
              <c:f>'Mbomou TNT 2015-2022'!$L$11</c:f>
              <c:numCache/>
            </c:numRef>
          </c:val>
        </c:ser>
        <c:axId val="2116031022"/>
        <c:axId val="188856148"/>
      </c:barChart>
      <c:catAx>
        <c:axId val="2116031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856148"/>
      </c:catAx>
      <c:valAx>
        <c:axId val="188856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6031022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'Ouaka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2015-2022'!$J$4</c:f>
              <c:numCache/>
            </c:numRef>
          </c:val>
        </c:ser>
        <c:ser>
          <c:idx val="1"/>
          <c:order val="1"/>
          <c:tx>
            <c:strRef>
              <c:f>'Ouaka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2015-2022'!$J$5</c:f>
              <c:numCache/>
            </c:numRef>
          </c:val>
        </c:ser>
        <c:ser>
          <c:idx val="2"/>
          <c:order val="2"/>
          <c:tx>
            <c:strRef>
              <c:f>'Ouaka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2015-2022'!$J$6</c:f>
              <c:numCache/>
            </c:numRef>
          </c:val>
        </c:ser>
        <c:ser>
          <c:idx val="3"/>
          <c:order val="3"/>
          <c:tx>
            <c:strRef>
              <c:f>'Ouaka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2015-2022'!$J$7</c:f>
              <c:numCache/>
            </c:numRef>
          </c:val>
        </c:ser>
        <c:ser>
          <c:idx val="4"/>
          <c:order val="4"/>
          <c:tx>
            <c:strRef>
              <c:f>'Ouaka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2015-2022'!$J$8</c:f>
              <c:numCache/>
            </c:numRef>
          </c:val>
        </c:ser>
        <c:ser>
          <c:idx val="5"/>
          <c:order val="5"/>
          <c:tx>
            <c:strRef>
              <c:f>'Ouaka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2015-2022'!$J$9</c:f>
              <c:numCache/>
            </c:numRef>
          </c:val>
        </c:ser>
        <c:ser>
          <c:idx val="6"/>
          <c:order val="6"/>
          <c:tx>
            <c:strRef>
              <c:f>'Ouaka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2015-2022'!$J$10</c:f>
              <c:numCache/>
            </c:numRef>
          </c:val>
        </c:ser>
        <c:ser>
          <c:idx val="7"/>
          <c:order val="7"/>
          <c:tx>
            <c:strRef>
              <c:f>'Ouaka TNT 2015-2022'!$I$11</c:f>
            </c:strRef>
          </c:tx>
          <c:val>
            <c:numRef>
              <c:f>'Ouaka TNT 2015-2022'!$J$11</c:f>
              <c:numCache/>
            </c:numRef>
          </c:val>
        </c:ser>
        <c:axId val="1827468006"/>
        <c:axId val="1268207199"/>
      </c:barChart>
      <c:catAx>
        <c:axId val="1827468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8207199"/>
      </c:catAx>
      <c:valAx>
        <c:axId val="126820719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7468006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'Ouaka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2015-2022'!$L$4</c:f>
              <c:numCache/>
            </c:numRef>
          </c:val>
        </c:ser>
        <c:ser>
          <c:idx val="1"/>
          <c:order val="1"/>
          <c:tx>
            <c:strRef>
              <c:f>'Ouaka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2015-2022'!$L$5</c:f>
              <c:numCache/>
            </c:numRef>
          </c:val>
        </c:ser>
        <c:ser>
          <c:idx val="2"/>
          <c:order val="2"/>
          <c:tx>
            <c:strRef>
              <c:f>'Ouaka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2015-2022'!$L$6</c:f>
              <c:numCache/>
            </c:numRef>
          </c:val>
        </c:ser>
        <c:ser>
          <c:idx val="3"/>
          <c:order val="3"/>
          <c:tx>
            <c:strRef>
              <c:f>'Ouaka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2015-2022'!$L$7</c:f>
              <c:numCache/>
            </c:numRef>
          </c:val>
        </c:ser>
        <c:ser>
          <c:idx val="4"/>
          <c:order val="4"/>
          <c:tx>
            <c:strRef>
              <c:f>'Ouaka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2015-2022'!$L$8</c:f>
              <c:numCache/>
            </c:numRef>
          </c:val>
        </c:ser>
        <c:ser>
          <c:idx val="5"/>
          <c:order val="5"/>
          <c:tx>
            <c:strRef>
              <c:f>'Ouaka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2015-2022'!$L$9</c:f>
              <c:numCache/>
            </c:numRef>
          </c:val>
        </c:ser>
        <c:ser>
          <c:idx val="6"/>
          <c:order val="6"/>
          <c:tx>
            <c:strRef>
              <c:f>'Ouaka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'Ouaka TNT 2015-2022'!$L$10</c:f>
              <c:numCache/>
            </c:numRef>
          </c:val>
        </c:ser>
        <c:ser>
          <c:idx val="7"/>
          <c:order val="7"/>
          <c:tx>
            <c:strRef>
              <c:f>'Ouaka TNT 2015-2022'!$K$11</c:f>
            </c:strRef>
          </c:tx>
          <c:val>
            <c:numRef>
              <c:f>'Ouaka TNT 2015-2022'!$L$11</c:f>
              <c:numCache/>
            </c:numRef>
          </c:val>
        </c:ser>
        <c:axId val="1632362690"/>
        <c:axId val="1372607201"/>
      </c:barChart>
      <c:catAx>
        <c:axId val="1632362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2607201"/>
      </c:catAx>
      <c:valAx>
        <c:axId val="1372607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2362690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'Vakaga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2015-2022'!$J$4</c:f>
              <c:numCache/>
            </c:numRef>
          </c:val>
        </c:ser>
        <c:ser>
          <c:idx val="1"/>
          <c:order val="1"/>
          <c:tx>
            <c:strRef>
              <c:f>'Vakaga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2015-2022'!$J$5</c:f>
              <c:numCache/>
            </c:numRef>
          </c:val>
        </c:ser>
        <c:ser>
          <c:idx val="2"/>
          <c:order val="2"/>
          <c:tx>
            <c:strRef>
              <c:f>'Vakaga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2015-2022'!$J$6</c:f>
              <c:numCache/>
            </c:numRef>
          </c:val>
        </c:ser>
        <c:ser>
          <c:idx val="3"/>
          <c:order val="3"/>
          <c:tx>
            <c:strRef>
              <c:f>'Vakaga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2015-2022'!$J$7</c:f>
              <c:numCache/>
            </c:numRef>
          </c:val>
        </c:ser>
        <c:ser>
          <c:idx val="4"/>
          <c:order val="4"/>
          <c:tx>
            <c:strRef>
              <c:f>'Vakaga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2015-2022'!$J$8</c:f>
              <c:numCache/>
            </c:numRef>
          </c:val>
        </c:ser>
        <c:ser>
          <c:idx val="5"/>
          <c:order val="5"/>
          <c:tx>
            <c:strRef>
              <c:f>'Vakaga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2015-2022'!$J$9</c:f>
              <c:numCache/>
            </c:numRef>
          </c:val>
        </c:ser>
        <c:ser>
          <c:idx val="6"/>
          <c:order val="6"/>
          <c:tx>
            <c:strRef>
              <c:f>'Vakaga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2015-2022'!$J$10</c:f>
              <c:numCache/>
            </c:numRef>
          </c:val>
        </c:ser>
        <c:ser>
          <c:idx val="7"/>
          <c:order val="7"/>
          <c:tx>
            <c:strRef>
              <c:f>'Vakaga TNT 2015-2022'!$I$11</c:f>
            </c:strRef>
          </c:tx>
          <c:val>
            <c:numRef>
              <c:f>'Vakaga TNT 2015-2022'!$J$11</c:f>
              <c:numCache/>
            </c:numRef>
          </c:val>
        </c:ser>
        <c:axId val="1447617504"/>
        <c:axId val="263224462"/>
      </c:barChart>
      <c:catAx>
        <c:axId val="144761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3224462"/>
      </c:catAx>
      <c:valAx>
        <c:axId val="26322446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7617504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'Vakaga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2015-2022'!$L$4</c:f>
              <c:numCache/>
            </c:numRef>
          </c:val>
        </c:ser>
        <c:ser>
          <c:idx val="1"/>
          <c:order val="1"/>
          <c:tx>
            <c:strRef>
              <c:f>'Vakaga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2015-2022'!$L$5</c:f>
              <c:numCache/>
            </c:numRef>
          </c:val>
        </c:ser>
        <c:ser>
          <c:idx val="2"/>
          <c:order val="2"/>
          <c:tx>
            <c:strRef>
              <c:f>'Vakaga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2015-2022'!$L$6</c:f>
              <c:numCache/>
            </c:numRef>
          </c:val>
        </c:ser>
        <c:ser>
          <c:idx val="3"/>
          <c:order val="3"/>
          <c:tx>
            <c:strRef>
              <c:f>'Vakaga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2015-2022'!$L$7</c:f>
              <c:numCache/>
            </c:numRef>
          </c:val>
        </c:ser>
        <c:ser>
          <c:idx val="4"/>
          <c:order val="4"/>
          <c:tx>
            <c:strRef>
              <c:f>'Vakaga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2015-2022'!$L$8</c:f>
              <c:numCache/>
            </c:numRef>
          </c:val>
        </c:ser>
        <c:ser>
          <c:idx val="5"/>
          <c:order val="5"/>
          <c:tx>
            <c:strRef>
              <c:f>'Vakaga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2015-2022'!$L$9</c:f>
              <c:numCache/>
            </c:numRef>
          </c:val>
        </c:ser>
        <c:ser>
          <c:idx val="6"/>
          <c:order val="6"/>
          <c:tx>
            <c:strRef>
              <c:f>'Vakaga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'Vakaga TNT 2015-2022'!$L$10</c:f>
              <c:numCache/>
            </c:numRef>
          </c:val>
        </c:ser>
        <c:ser>
          <c:idx val="7"/>
          <c:order val="7"/>
          <c:tx>
            <c:strRef>
              <c:f>'Vakaga TNT 2015-2022'!$K$11</c:f>
            </c:strRef>
          </c:tx>
          <c:val>
            <c:numRef>
              <c:f>'Vakaga TNT 2015-2022'!$L$11</c:f>
              <c:numCache/>
            </c:numRef>
          </c:val>
        </c:ser>
        <c:axId val="1590201622"/>
        <c:axId val="587043552"/>
      </c:barChart>
      <c:catAx>
        <c:axId val="1590201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7043552"/>
      </c:catAx>
      <c:valAx>
        <c:axId val="587043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0201622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'Bamingui-Bangoran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2015-2022'!$J$4</c:f>
              <c:numCache/>
            </c:numRef>
          </c:val>
        </c:ser>
        <c:ser>
          <c:idx val="1"/>
          <c:order val="1"/>
          <c:tx>
            <c:strRef>
              <c:f>'Bamingui-Bangoran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2015-2022'!$J$5</c:f>
              <c:numCache/>
            </c:numRef>
          </c:val>
        </c:ser>
        <c:ser>
          <c:idx val="2"/>
          <c:order val="2"/>
          <c:tx>
            <c:strRef>
              <c:f>'Bamingui-Bangoran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2015-2022'!$J$6</c:f>
              <c:numCache/>
            </c:numRef>
          </c:val>
        </c:ser>
        <c:ser>
          <c:idx val="3"/>
          <c:order val="3"/>
          <c:tx>
            <c:strRef>
              <c:f>'Bamingui-Bangoran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2015-2022'!$J$7</c:f>
              <c:numCache/>
            </c:numRef>
          </c:val>
        </c:ser>
        <c:ser>
          <c:idx val="4"/>
          <c:order val="4"/>
          <c:tx>
            <c:strRef>
              <c:f>'Bamingui-Bangoran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2015-2022'!$J$8</c:f>
              <c:numCache/>
            </c:numRef>
          </c:val>
        </c:ser>
        <c:ser>
          <c:idx val="5"/>
          <c:order val="5"/>
          <c:tx>
            <c:strRef>
              <c:f>'Bamingui-Bangoran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2015-2022'!$J$9</c:f>
              <c:numCache/>
            </c:numRef>
          </c:val>
        </c:ser>
        <c:ser>
          <c:idx val="6"/>
          <c:order val="6"/>
          <c:tx>
            <c:strRef>
              <c:f>'Bamingui-Bangoran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2015-2022'!$J$10</c:f>
              <c:numCache/>
            </c:numRef>
          </c:val>
        </c:ser>
        <c:ser>
          <c:idx val="7"/>
          <c:order val="7"/>
          <c:tx>
            <c:strRef>
              <c:f>'Bamingui-Bangoran TNT 2015-2022'!$I$11</c:f>
            </c:strRef>
          </c:tx>
          <c:val>
            <c:numRef>
              <c:f>'Bamingui-Bangoran TNT 2015-2022'!$J$11</c:f>
              <c:numCache/>
            </c:numRef>
          </c:val>
        </c:ser>
        <c:axId val="1097692393"/>
        <c:axId val="561207509"/>
      </c:barChart>
      <c:catAx>
        <c:axId val="1097692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1207509"/>
      </c:catAx>
      <c:valAx>
        <c:axId val="5612075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7692393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'Bamingui-Bangoran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2015-2022'!$L$4</c:f>
              <c:numCache/>
            </c:numRef>
          </c:val>
        </c:ser>
        <c:ser>
          <c:idx val="1"/>
          <c:order val="1"/>
          <c:tx>
            <c:strRef>
              <c:f>'Bamingui-Bangoran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2015-2022'!$L$5</c:f>
              <c:numCache/>
            </c:numRef>
          </c:val>
        </c:ser>
        <c:ser>
          <c:idx val="2"/>
          <c:order val="2"/>
          <c:tx>
            <c:strRef>
              <c:f>'Bamingui-Bangoran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2015-2022'!$L$6</c:f>
              <c:numCache/>
            </c:numRef>
          </c:val>
        </c:ser>
        <c:ser>
          <c:idx val="3"/>
          <c:order val="3"/>
          <c:tx>
            <c:strRef>
              <c:f>'Bamingui-Bangoran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2015-2022'!$L$7</c:f>
              <c:numCache/>
            </c:numRef>
          </c:val>
        </c:ser>
        <c:ser>
          <c:idx val="4"/>
          <c:order val="4"/>
          <c:tx>
            <c:strRef>
              <c:f>'Bamingui-Bangoran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2015-2022'!$L$8</c:f>
              <c:numCache/>
            </c:numRef>
          </c:val>
        </c:ser>
        <c:ser>
          <c:idx val="5"/>
          <c:order val="5"/>
          <c:tx>
            <c:strRef>
              <c:f>'Bamingui-Bangoran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2015-2022'!$L$9</c:f>
              <c:numCache/>
            </c:numRef>
          </c:val>
        </c:ser>
        <c:ser>
          <c:idx val="6"/>
          <c:order val="6"/>
          <c:tx>
            <c:strRef>
              <c:f>'Bamingui-Bangoran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2015-2022'!$L$10</c:f>
              <c:numCache/>
            </c:numRef>
          </c:val>
        </c:ser>
        <c:ser>
          <c:idx val="7"/>
          <c:order val="7"/>
          <c:tx>
            <c:strRef>
              <c:f>'Bamingui-Bangoran TNT 2015-2022'!$K$11</c:f>
            </c:strRef>
          </c:tx>
          <c:val>
            <c:numRef>
              <c:f>'Bamingui-Bangoran TNT 2015-2022'!$L$11</c:f>
              <c:numCache/>
            </c:numRef>
          </c:val>
        </c:ser>
        <c:axId val="34864757"/>
        <c:axId val="698305098"/>
      </c:barChart>
      <c:catAx>
        <c:axId val="34864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8305098"/>
      </c:catAx>
      <c:valAx>
        <c:axId val="698305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864757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'Ombella MPoko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2015-2022'!$J$4</c:f>
              <c:numCache/>
            </c:numRef>
          </c:val>
        </c:ser>
        <c:ser>
          <c:idx val="1"/>
          <c:order val="1"/>
          <c:tx>
            <c:strRef>
              <c:f>'Ombella MPoko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2015-2022'!$J$5</c:f>
              <c:numCache/>
            </c:numRef>
          </c:val>
        </c:ser>
        <c:ser>
          <c:idx val="2"/>
          <c:order val="2"/>
          <c:tx>
            <c:strRef>
              <c:f>'Ombella MPoko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2015-2022'!$J$6</c:f>
              <c:numCache/>
            </c:numRef>
          </c:val>
        </c:ser>
        <c:ser>
          <c:idx val="3"/>
          <c:order val="3"/>
          <c:tx>
            <c:strRef>
              <c:f>'Ombella MPoko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2015-2022'!$J$7</c:f>
              <c:numCache/>
            </c:numRef>
          </c:val>
        </c:ser>
        <c:ser>
          <c:idx val="4"/>
          <c:order val="4"/>
          <c:tx>
            <c:strRef>
              <c:f>'Ombella MPoko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2015-2022'!$J$8</c:f>
              <c:numCache/>
            </c:numRef>
          </c:val>
        </c:ser>
        <c:ser>
          <c:idx val="5"/>
          <c:order val="5"/>
          <c:tx>
            <c:strRef>
              <c:f>'Ombella MPoko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2015-2022'!$J$9</c:f>
              <c:numCache/>
            </c:numRef>
          </c:val>
        </c:ser>
        <c:ser>
          <c:idx val="6"/>
          <c:order val="6"/>
          <c:tx>
            <c:strRef>
              <c:f>'Ombella MPoko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2015-2022'!$J$10</c:f>
              <c:numCache/>
            </c:numRef>
          </c:val>
        </c:ser>
        <c:ser>
          <c:idx val="7"/>
          <c:order val="7"/>
          <c:tx>
            <c:strRef>
              <c:f>'Ombella MPoko TNT 2015-2022'!$I$11</c:f>
            </c:strRef>
          </c:tx>
          <c:val>
            <c:numRef>
              <c:f>'Ombella MPoko TNT 2015-2022'!$J$11</c:f>
              <c:numCache/>
            </c:numRef>
          </c:val>
        </c:ser>
        <c:axId val="214591231"/>
        <c:axId val="1377117788"/>
      </c:barChart>
      <c:catAx>
        <c:axId val="21459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7117788"/>
      </c:catAx>
      <c:valAx>
        <c:axId val="137711778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591231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'Ombella MPoko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2015-2022'!$L$4</c:f>
              <c:numCache/>
            </c:numRef>
          </c:val>
        </c:ser>
        <c:ser>
          <c:idx val="1"/>
          <c:order val="1"/>
          <c:tx>
            <c:strRef>
              <c:f>'Ombella MPoko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2015-2022'!$L$5</c:f>
              <c:numCache/>
            </c:numRef>
          </c:val>
        </c:ser>
        <c:ser>
          <c:idx val="2"/>
          <c:order val="2"/>
          <c:tx>
            <c:strRef>
              <c:f>'Ombella MPoko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2015-2022'!$L$6</c:f>
              <c:numCache/>
            </c:numRef>
          </c:val>
        </c:ser>
        <c:ser>
          <c:idx val="3"/>
          <c:order val="3"/>
          <c:tx>
            <c:strRef>
              <c:f>'Ombella MPoko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2015-2022'!$L$7</c:f>
              <c:numCache/>
            </c:numRef>
          </c:val>
        </c:ser>
        <c:ser>
          <c:idx val="4"/>
          <c:order val="4"/>
          <c:tx>
            <c:strRef>
              <c:f>'Ombella MPoko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2015-2022'!$L$8</c:f>
              <c:numCache/>
            </c:numRef>
          </c:val>
        </c:ser>
        <c:ser>
          <c:idx val="5"/>
          <c:order val="5"/>
          <c:tx>
            <c:strRef>
              <c:f>'Ombella MPoko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2015-2022'!$L$9</c:f>
              <c:numCache/>
            </c:numRef>
          </c:val>
        </c:ser>
        <c:ser>
          <c:idx val="6"/>
          <c:order val="6"/>
          <c:tx>
            <c:strRef>
              <c:f>'Ombella MPoko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2015-2022'!$L$10</c:f>
              <c:numCache/>
            </c:numRef>
          </c:val>
        </c:ser>
        <c:ser>
          <c:idx val="7"/>
          <c:order val="7"/>
          <c:tx>
            <c:strRef>
              <c:f>'Ombella MPoko TNT 2015-2022'!$K$11</c:f>
            </c:strRef>
          </c:tx>
          <c:val>
            <c:numRef>
              <c:f>'Ombella MPoko TNT 2015-2022'!$L$11</c:f>
              <c:numCache/>
            </c:numRef>
          </c:val>
        </c:ser>
        <c:axId val="1452785832"/>
        <c:axId val="592535254"/>
      </c:barChart>
      <c:catAx>
        <c:axId val="1452785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2535254"/>
      </c:catAx>
      <c:valAx>
        <c:axId val="592535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2785832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'Basse-Kotto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2015-2022'!$J$4</c:f>
              <c:numCache/>
            </c:numRef>
          </c:val>
        </c:ser>
        <c:ser>
          <c:idx val="1"/>
          <c:order val="1"/>
          <c:tx>
            <c:strRef>
              <c:f>'Basse-Kotto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2015-2022'!$J$5</c:f>
              <c:numCache/>
            </c:numRef>
          </c:val>
        </c:ser>
        <c:ser>
          <c:idx val="2"/>
          <c:order val="2"/>
          <c:tx>
            <c:strRef>
              <c:f>'Basse-Kotto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2015-2022'!$J$6</c:f>
              <c:numCache/>
            </c:numRef>
          </c:val>
        </c:ser>
        <c:ser>
          <c:idx val="3"/>
          <c:order val="3"/>
          <c:tx>
            <c:strRef>
              <c:f>'Basse-Kotto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2015-2022'!$J$7</c:f>
              <c:numCache/>
            </c:numRef>
          </c:val>
        </c:ser>
        <c:ser>
          <c:idx val="4"/>
          <c:order val="4"/>
          <c:tx>
            <c:strRef>
              <c:f>'Basse-Kotto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2015-2022'!$J$8</c:f>
              <c:numCache/>
            </c:numRef>
          </c:val>
        </c:ser>
        <c:ser>
          <c:idx val="5"/>
          <c:order val="5"/>
          <c:tx>
            <c:strRef>
              <c:f>'Basse-Kotto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2015-2022'!$J$9</c:f>
              <c:numCache/>
            </c:numRef>
          </c:val>
        </c:ser>
        <c:ser>
          <c:idx val="6"/>
          <c:order val="6"/>
          <c:tx>
            <c:strRef>
              <c:f>'Basse-Kotto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2015-2022'!$J$10</c:f>
              <c:numCache/>
            </c:numRef>
          </c:val>
        </c:ser>
        <c:ser>
          <c:idx val="7"/>
          <c:order val="7"/>
          <c:tx>
            <c:strRef>
              <c:f>'Basse-Kotto TNT 2015-2022'!$I$11</c:f>
            </c:strRef>
          </c:tx>
          <c:val>
            <c:numRef>
              <c:f>'Basse-Kotto TNT 2015-2022'!$J$11</c:f>
              <c:numCache/>
            </c:numRef>
          </c:val>
        </c:ser>
        <c:axId val="1068570905"/>
        <c:axId val="1818025773"/>
      </c:barChart>
      <c:catAx>
        <c:axId val="1068570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8025773"/>
      </c:catAx>
      <c:valAx>
        <c:axId val="181802577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8570905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'Basse-Kotto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2015-2022'!$L$4</c:f>
              <c:numCache/>
            </c:numRef>
          </c:val>
        </c:ser>
        <c:ser>
          <c:idx val="1"/>
          <c:order val="1"/>
          <c:tx>
            <c:strRef>
              <c:f>'Basse-Kotto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2015-2022'!$L$5</c:f>
              <c:numCache/>
            </c:numRef>
          </c:val>
        </c:ser>
        <c:ser>
          <c:idx val="2"/>
          <c:order val="2"/>
          <c:tx>
            <c:strRef>
              <c:f>'Basse-Kotto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2015-2022'!$L$6</c:f>
              <c:numCache/>
            </c:numRef>
          </c:val>
        </c:ser>
        <c:ser>
          <c:idx val="3"/>
          <c:order val="3"/>
          <c:tx>
            <c:strRef>
              <c:f>'Basse-Kotto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2015-2022'!$L$7</c:f>
              <c:numCache/>
            </c:numRef>
          </c:val>
        </c:ser>
        <c:ser>
          <c:idx val="4"/>
          <c:order val="4"/>
          <c:tx>
            <c:strRef>
              <c:f>'Basse-Kotto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2015-2022'!$L$8</c:f>
              <c:numCache/>
            </c:numRef>
          </c:val>
        </c:ser>
        <c:ser>
          <c:idx val="5"/>
          <c:order val="5"/>
          <c:tx>
            <c:strRef>
              <c:f>'Basse-Kotto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2015-2022'!$L$9</c:f>
              <c:numCache/>
            </c:numRef>
          </c:val>
        </c:ser>
        <c:ser>
          <c:idx val="6"/>
          <c:order val="6"/>
          <c:tx>
            <c:strRef>
              <c:f>'Basse-Kotto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2015-2022'!$L$10</c:f>
              <c:numCache/>
            </c:numRef>
          </c:val>
        </c:ser>
        <c:ser>
          <c:idx val="7"/>
          <c:order val="7"/>
          <c:tx>
            <c:strRef>
              <c:f>'Basse-Kotto TNT 2015-2022'!$K$11</c:f>
            </c:strRef>
          </c:tx>
          <c:val>
            <c:numRef>
              <c:f>'Basse-Kotto TNT 2015-2022'!$L$11</c:f>
              <c:numCache/>
            </c:numRef>
          </c:val>
        </c:ser>
        <c:axId val="1677345175"/>
        <c:axId val="1158954752"/>
      </c:barChart>
      <c:catAx>
        <c:axId val="167734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8954752"/>
      </c:catAx>
      <c:valAx>
        <c:axId val="1158954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7345175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'Bangui TNT 2015-2022'!$I$4</c:f>
            </c:strRef>
          </c:tx>
          <c:spPr>
            <a:solidFill>
              <a:srgbClr val="ED757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4CCC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2015-2022'!$J$4</c:f>
              <c:numCache/>
            </c:numRef>
          </c:val>
        </c:ser>
        <c:ser>
          <c:idx val="1"/>
          <c:order val="1"/>
          <c:tx>
            <c:strRef>
              <c:f>'Bangui TNT 2015-2022'!$I$5</c:f>
            </c:strRef>
          </c:tx>
          <c:spPr>
            <a:solidFill>
              <a:srgbClr val="C6565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2015-2022'!$J$5</c:f>
              <c:numCache/>
            </c:numRef>
          </c:val>
        </c:ser>
        <c:ser>
          <c:idx val="2"/>
          <c:order val="2"/>
          <c:tx>
            <c:strRef>
              <c:f>'Bangui TNT 2015-2022'!$I$6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2015-2022'!$J$6</c:f>
              <c:numCache/>
            </c:numRef>
          </c:val>
        </c:ser>
        <c:ser>
          <c:idx val="3"/>
          <c:order val="3"/>
          <c:tx>
            <c:strRef>
              <c:f>'Bangui TNT 2015-2022'!$I$7</c:f>
            </c:strRef>
          </c:tx>
          <c:spPr>
            <a:solidFill>
              <a:srgbClr val="B2474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2015-2022'!$J$7</c:f>
              <c:numCache/>
            </c:numRef>
          </c:val>
        </c:ser>
        <c:ser>
          <c:idx val="4"/>
          <c:order val="4"/>
          <c:tx>
            <c:strRef>
              <c:f>'Bangui TNT 2015-2022'!$I$8</c:f>
            </c:strRef>
          </c:tx>
          <c:spPr>
            <a:solidFill>
              <a:srgbClr val="9F38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2015-2022'!$J$8</c:f>
              <c:numCache/>
            </c:numRef>
          </c:val>
        </c:ser>
        <c:ser>
          <c:idx val="5"/>
          <c:order val="5"/>
          <c:tx>
            <c:strRef>
              <c:f>'Bangui TNT 2015-2022'!$I$9</c:f>
            </c:strRef>
          </c:tx>
          <c:spPr>
            <a:solidFill>
              <a:srgbClr val="8B292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2015-2022'!$J$9</c:f>
              <c:numCache/>
            </c:numRef>
          </c:val>
        </c:ser>
        <c:ser>
          <c:idx val="6"/>
          <c:order val="6"/>
          <c:tx>
            <c:strRef>
              <c:f>'Bangui TNT 2015-2022'!$I$10</c:f>
            </c:strRef>
          </c:tx>
          <c:spPr>
            <a:solidFill>
              <a:srgbClr val="781A1A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2015-2022'!$J$10</c:f>
              <c:numCache/>
            </c:numRef>
          </c:val>
        </c:ser>
        <c:ser>
          <c:idx val="7"/>
          <c:order val="7"/>
          <c:tx>
            <c:strRef>
              <c:f>'Bangui TNT 2015-2022'!$I$11</c:f>
            </c:strRef>
          </c:tx>
          <c:val>
            <c:numRef>
              <c:f>'Bangui TNT 2015-2022'!$J$11</c:f>
              <c:numCache/>
            </c:numRef>
          </c:val>
        </c:ser>
        <c:axId val="173466477"/>
        <c:axId val="314904510"/>
      </c:barChart>
      <c:catAx>
        <c:axId val="173466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    2016   2017    2018    2019     2020     2021    2022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4904510"/>
      </c:catAx>
      <c:valAx>
        <c:axId val="31490451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466477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Degradation (2015-2022)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'Bangui TNT 2015-2022'!$K$4</c:f>
            </c:strRef>
          </c:tx>
          <c:spPr>
            <a:solidFill>
              <a:srgbClr val="F0BA3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CE5C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2015-2022'!$L$4</c:f>
              <c:numCache/>
            </c:numRef>
          </c:val>
        </c:ser>
        <c:ser>
          <c:idx val="1"/>
          <c:order val="1"/>
          <c:tx>
            <c:strRef>
              <c:f>'Bangui TNT 2015-2022'!$K$5</c:f>
            </c:strRef>
          </c:tx>
          <c:spPr>
            <a:solidFill>
              <a:srgbClr val="DEA83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EA83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2015-2022'!$L$5</c:f>
              <c:numCache/>
            </c:numRef>
          </c:val>
        </c:ser>
        <c:ser>
          <c:idx val="2"/>
          <c:order val="2"/>
          <c:tx>
            <c:strRef>
              <c:f>'Bangui TNT 2015-2022'!$K$6</c:f>
            </c:strRef>
          </c:tx>
          <c:spPr>
            <a:solidFill>
              <a:srgbClr val="CD962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D962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2015-2022'!$L$6</c:f>
              <c:numCache/>
            </c:numRef>
          </c:val>
        </c:ser>
        <c:ser>
          <c:idx val="3"/>
          <c:order val="3"/>
          <c:tx>
            <c:strRef>
              <c:f>'Bangui TNT 2015-2022'!$K$7</c:f>
            </c:strRef>
          </c:tx>
          <c:spPr>
            <a:solidFill>
              <a:srgbClr val="BC852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C852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2015-2022'!$L$7</c:f>
              <c:numCache/>
            </c:numRef>
          </c:val>
        </c:ser>
        <c:ser>
          <c:idx val="4"/>
          <c:order val="4"/>
          <c:tx>
            <c:strRef>
              <c:f>'Bangui TNT 2015-2022'!$K$8</c:f>
            </c:strRef>
          </c:tx>
          <c:spPr>
            <a:solidFill>
              <a:srgbClr val="AB731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B731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2015-2022'!$L$8</c:f>
              <c:numCache/>
            </c:numRef>
          </c:val>
        </c:ser>
        <c:ser>
          <c:idx val="5"/>
          <c:order val="5"/>
          <c:tx>
            <c:strRef>
              <c:f>'Bangui TNT 2015-2022'!$K$9</c:f>
            </c:strRef>
          </c:tx>
          <c:spPr>
            <a:solidFill>
              <a:srgbClr val="9A621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A621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2015-2022'!$L$9</c:f>
              <c:numCache/>
            </c:numRef>
          </c:val>
        </c:ser>
        <c:ser>
          <c:idx val="6"/>
          <c:order val="6"/>
          <c:tx>
            <c:strRef>
              <c:f>'Bangui TNT 2015-2022'!$K$10</c:f>
            </c:strRef>
          </c:tx>
          <c:spPr>
            <a:solidFill>
              <a:srgbClr val="89500C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9500C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2015-2022'!$L$10</c:f>
              <c:numCache/>
            </c:numRef>
          </c:val>
        </c:ser>
        <c:ser>
          <c:idx val="7"/>
          <c:order val="7"/>
          <c:tx>
            <c:strRef>
              <c:f>'Bangui TNT 2015-2022'!$K$11</c:f>
            </c:strRef>
          </c:tx>
          <c:val>
            <c:numRef>
              <c:f>'Bangui TNT 2015-2022'!$L$11</c:f>
              <c:numCache/>
            </c:numRef>
          </c:val>
        </c:ser>
        <c:axId val="592754293"/>
        <c:axId val="578840313"/>
      </c:barChart>
      <c:catAx>
        <c:axId val="592754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 2016 2017 2018 2019 2020  2021 2022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8840313"/>
      </c:catAx>
      <c:valAx>
        <c:axId val="578840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2754293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'Mbomou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'Mbomou TNT 2023'!$J$4</c:f>
              <c:numCache/>
            </c:numRef>
          </c:val>
        </c:ser>
        <c:ser>
          <c:idx val="1"/>
          <c:order val="1"/>
          <c:tx>
            <c:strRef>
              <c:f>'Mbomou TNT 2023'!$K$4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'Mbomou TNT 2023'!$L$4</c:f>
              <c:numCache/>
            </c:numRef>
          </c:val>
        </c:ser>
        <c:axId val="286398458"/>
        <c:axId val="1085304777"/>
      </c:barChart>
      <c:catAx>
        <c:axId val="28639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5304777"/>
      </c:catAx>
      <c:valAx>
        <c:axId val="10853047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6398458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'Haut-Mbomou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'Haut-Mbomou TNT 2023'!$J$4</c:f>
              <c:numCache/>
            </c:numRef>
          </c:val>
        </c:ser>
        <c:ser>
          <c:idx val="1"/>
          <c:order val="1"/>
          <c:tx>
            <c:strRef>
              <c:f>'Haut-Mbomou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'Haut-Mbomou TNT 2023'!$L$4</c:f>
              <c:numCache/>
            </c:numRef>
          </c:val>
        </c:ser>
        <c:axId val="1577715704"/>
        <c:axId val="1074530265"/>
      </c:barChart>
      <c:catAx>
        <c:axId val="1577715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4530265"/>
      </c:catAx>
      <c:valAx>
        <c:axId val="107453026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77715704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'Ombella MPoko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'Ombella MPoko TNT 2023'!$J$4</c:f>
              <c:numCache/>
            </c:numRef>
          </c:val>
        </c:ser>
        <c:ser>
          <c:idx val="1"/>
          <c:order val="1"/>
          <c:tx>
            <c:strRef>
              <c:f>'Ombella MPoko TNT 2023'!$K$4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'Ombella MPoko TNT 2023'!$L$4</c:f>
              <c:numCache/>
            </c:numRef>
          </c:val>
        </c:ser>
        <c:axId val="2083384204"/>
        <c:axId val="1693345120"/>
      </c:barChart>
      <c:catAx>
        <c:axId val="2083384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3345120"/>
      </c:catAx>
      <c:valAx>
        <c:axId val="169334512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3384204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'Nana-Mambéré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'Nana-Mambéré TNT 2023'!$J$4</c:f>
              <c:numCache/>
            </c:numRef>
          </c:val>
        </c:ser>
        <c:ser>
          <c:idx val="1"/>
          <c:order val="1"/>
          <c:tx>
            <c:strRef>
              <c:f>'Nana-Mambéré TNT 2023'!$K$4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val>
            <c:numRef>
              <c:f>'Nana-Mambéré TNT 2023'!$L$4</c:f>
              <c:numCache/>
            </c:numRef>
          </c:val>
        </c:ser>
        <c:axId val="897727847"/>
        <c:axId val="1558830740"/>
      </c:barChart>
      <c:catAx>
        <c:axId val="897727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8830740"/>
      </c:catAx>
      <c:valAx>
        <c:axId val="155883074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7727847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TNT 2023'!$K$4</c:f>
            </c:strRef>
          </c:tx>
          <c:cat>
            <c:strRef>
              <c:f>'Ouham TNT 2023'!$J$4</c:f>
            </c:strRef>
          </c:cat>
          <c:val>
            <c:numRef>
              <c:f>'Ouham TNT 2023'!$L$4</c:f>
              <c:numCache/>
            </c:numRef>
          </c:val>
        </c:ser>
        <c:axId val="1982865750"/>
        <c:axId val="436371690"/>
      </c:barChart>
      <c:catAx>
        <c:axId val="1982865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6371690"/>
      </c:catAx>
      <c:valAx>
        <c:axId val="4363716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82865750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'Kémo TNT 2023'!$K$4</c:f>
            </c:strRef>
          </c:tx>
          <c:cat>
            <c:strRef>
              <c:f>'Kémo TNT 2023'!$J$4</c:f>
            </c:strRef>
          </c:cat>
          <c:val>
            <c:numRef>
              <c:f>'Kémo TNT 2023'!$L$4</c:f>
              <c:numCache/>
            </c:numRef>
          </c:val>
        </c:ser>
        <c:axId val="985226929"/>
        <c:axId val="1017619946"/>
      </c:barChart>
      <c:catAx>
        <c:axId val="9852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7619946"/>
      </c:catAx>
      <c:valAx>
        <c:axId val="10176199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5226929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'Nana-Gribizi TNT 2023'!$K$4</c:f>
            </c:strRef>
          </c:tx>
          <c:cat>
            <c:strRef>
              <c:f>'Nana-Gribizi TNT 2023'!$J$4</c:f>
            </c:strRef>
          </c:cat>
          <c:val>
            <c:numRef>
              <c:f>'Nana-Gribizi TNT 2023'!$L$4</c:f>
              <c:numCache/>
            </c:numRef>
          </c:val>
        </c:ser>
        <c:axId val="544490457"/>
        <c:axId val="1166456763"/>
      </c:barChart>
      <c:catAx>
        <c:axId val="544490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6456763"/>
      </c:catAx>
      <c:valAx>
        <c:axId val="11664567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44490457"/>
      </c:valAx>
    </c:plotArea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'Lobaye TNT 2023'!$K$4</c:f>
            </c:strRef>
          </c:tx>
          <c:cat>
            <c:strRef>
              <c:f>'Lobaye TNT 2023'!$J$4</c:f>
            </c:strRef>
          </c:cat>
          <c:val>
            <c:numRef>
              <c:f>'Lobaye TNT 2023'!$L$4</c:f>
              <c:numCache/>
            </c:numRef>
          </c:val>
        </c:ser>
        <c:axId val="1870898874"/>
        <c:axId val="1444363205"/>
      </c:barChart>
      <c:catAx>
        <c:axId val="1870898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4363205"/>
      </c:catAx>
      <c:valAx>
        <c:axId val="144436320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70898874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'Vakaga TNT 2023'!$K$4</c:f>
            </c:strRef>
          </c:tx>
          <c:cat>
            <c:strRef>
              <c:f>'Vakaga TNT 2023'!$J$4</c:f>
            </c:strRef>
          </c:cat>
          <c:val>
            <c:numRef>
              <c:f>'Vakaga TNT 2023'!$L$4</c:f>
              <c:numCache/>
            </c:numRef>
          </c:val>
        </c:ser>
        <c:axId val="188163549"/>
        <c:axId val="1068608365"/>
      </c:barChart>
      <c:catAx>
        <c:axId val="188163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8608365"/>
      </c:catAx>
      <c:valAx>
        <c:axId val="106860836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163549"/>
      </c:valAx>
    </c:plotArea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'Ouham Pendé TNT 2023'!$K$4</c:f>
            </c:strRef>
          </c:tx>
          <c:cat>
            <c:strRef>
              <c:f>'Ouham Pendé TNT 2023'!$J$4</c:f>
            </c:strRef>
          </c:cat>
          <c:val>
            <c:numRef>
              <c:f>'Ouham Pendé TNT 2023'!$L$4</c:f>
              <c:numCache/>
            </c:numRef>
          </c:val>
        </c:ser>
        <c:axId val="1167044383"/>
        <c:axId val="362730449"/>
      </c:barChart>
      <c:catAx>
        <c:axId val="116704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2730449"/>
      </c:catAx>
      <c:valAx>
        <c:axId val="3627304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67044383"/>
      </c:valAx>
    </c:plotArea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'Ouaka TNT 2023'!$K$4</c:f>
            </c:strRef>
          </c:tx>
          <c:cat>
            <c:strRef>
              <c:f>'Ouaka TNT 2023'!$J$4</c:f>
            </c:strRef>
          </c:cat>
          <c:val>
            <c:numRef>
              <c:f>'Ouaka TNT 2023'!$L$4</c:f>
              <c:numCache/>
            </c:numRef>
          </c:val>
        </c:ser>
        <c:axId val="1383576096"/>
        <c:axId val="1512299338"/>
      </c:barChart>
      <c:catAx>
        <c:axId val="138357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2299338"/>
      </c:catAx>
      <c:valAx>
        <c:axId val="15122993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83576096"/>
      </c:valAx>
    </c:plotArea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'Basse-Kotto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'Basse-Kotto TNT 2023'!$J$4</c:f>
              <c:numCache/>
            </c:numRef>
          </c:val>
        </c:ser>
        <c:ser>
          <c:idx val="1"/>
          <c:order val="1"/>
          <c:tx>
            <c:strRef>
              <c:f>'Basse-Kotto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'Basse-Kotto TNT 2023'!$L$4</c:f>
              <c:numCache/>
            </c:numRef>
          </c:val>
        </c:ser>
        <c:axId val="1102661768"/>
        <c:axId val="1544651727"/>
      </c:barChart>
      <c:catAx>
        <c:axId val="110266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4651727"/>
      </c:catAx>
      <c:valAx>
        <c:axId val="154465172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2661768"/>
      </c:valAx>
    </c:plotArea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'Bangui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'Bangui TNT 2023'!$J$4</c:f>
              <c:numCache/>
            </c:numRef>
          </c:val>
        </c:ser>
        <c:ser>
          <c:idx val="1"/>
          <c:order val="1"/>
          <c:tx>
            <c:strRef>
              <c:f>'Bangui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'Bangui TNT 2023'!$L$4</c:f>
              <c:numCache/>
            </c:numRef>
          </c:val>
        </c:ser>
        <c:axId val="377505721"/>
        <c:axId val="1119304548"/>
      </c:barChart>
      <c:catAx>
        <c:axId val="377505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9304548"/>
      </c:catAx>
      <c:valAx>
        <c:axId val="111930454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7505721"/>
      </c:valAx>
    </c:plotArea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'Bamingui-Bangoran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'Bamingui-Bangoran TNT 2023'!$J$4</c:f>
              <c:numCache/>
            </c:numRef>
          </c:val>
        </c:ser>
        <c:ser>
          <c:idx val="1"/>
          <c:order val="1"/>
          <c:tx>
            <c:strRef>
              <c:f>'Bamingui-Bangoran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'Bamingui-Bangoran TNT 2023'!$L$4</c:f>
              <c:numCache/>
            </c:numRef>
          </c:val>
        </c:ser>
        <c:axId val="1399302059"/>
        <c:axId val="790932424"/>
      </c:barChart>
      <c:catAx>
        <c:axId val="1399302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0932424"/>
      </c:catAx>
      <c:valAx>
        <c:axId val="79093242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9302059"/>
      </c:valAx>
    </c:plotArea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'Sangha-Mbaéré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'Sangha-Mbaéré TNT 2023'!$J$4</c:f>
              <c:numCache/>
            </c:numRef>
          </c:val>
        </c:ser>
        <c:ser>
          <c:idx val="1"/>
          <c:order val="1"/>
          <c:tx>
            <c:strRef>
              <c:f>'Sangha-Mbaéré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'Sangha-Mbaéré TNT 2023'!$L$4</c:f>
              <c:numCache/>
            </c:numRef>
          </c:val>
        </c:ser>
        <c:axId val="1787020936"/>
        <c:axId val="1287323082"/>
      </c:barChart>
      <c:catAx>
        <c:axId val="178702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7323082"/>
      </c:catAx>
      <c:valAx>
        <c:axId val="128732308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7020936"/>
      </c:valAx>
    </c:plotArea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'Mambéré-Kadéï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'Mambéré-Kadéï TNT 2023'!$J$4</c:f>
              <c:numCache/>
            </c:numRef>
          </c:val>
        </c:ser>
        <c:ser>
          <c:idx val="1"/>
          <c:order val="1"/>
          <c:tx>
            <c:strRef>
              <c:f>'Mambéré-Kadéï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'Mambéré-Kadéï TNT 2023'!$L$4</c:f>
              <c:numCache/>
            </c:numRef>
          </c:val>
        </c:ser>
        <c:axId val="538075260"/>
        <c:axId val="937133389"/>
      </c:barChart>
      <c:catAx>
        <c:axId val="538075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7133389"/>
      </c:catAx>
      <c:valAx>
        <c:axId val="93713338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8075260"/>
      </c:valAx>
    </c:plotArea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Deforestation and degradation (2023)</a:t>
            </a:r>
          </a:p>
        </c:rich>
      </c:tx>
      <c:layout>
        <c:manualLayout>
          <c:xMode val="edge"/>
          <c:yMode val="edge"/>
          <c:x val="0.0308550185873606"/>
          <c:y val="0.0469879518072289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'Haute-Kotto TNT 2023'!$I$4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'Haute-Kotto TNT 2023'!$J$4</c:f>
              <c:numCache/>
            </c:numRef>
          </c:val>
        </c:ser>
        <c:ser>
          <c:idx val="1"/>
          <c:order val="1"/>
          <c:tx>
            <c:strRef>
              <c:f>'Haute-Kotto TNT 2023'!$K$4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'Haute-Kotto TNT 2023'!$L$4</c:f>
              <c:numCache/>
            </c:numRef>
          </c:val>
        </c:ser>
        <c:axId val="799382091"/>
        <c:axId val="1198105122"/>
      </c:barChart>
      <c:catAx>
        <c:axId val="799382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8105122"/>
      </c:catAx>
      <c:valAx>
        <c:axId val="11981051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Area (Ha)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938209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495</xdr:row>
      <xdr:rowOff>38100</xdr:rowOff>
    </xdr:from>
    <xdr:ext cx="5715000" cy="4914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0</xdr:row>
      <xdr:rowOff>47625</xdr:rowOff>
    </xdr:from>
    <xdr:ext cx="5124450" cy="3162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352425</xdr:colOff>
      <xdr:row>11</xdr:row>
      <xdr:rowOff>219075</xdr:rowOff>
    </xdr:from>
    <xdr:ext cx="5076825" cy="3019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352425</xdr:colOff>
      <xdr:row>2</xdr:row>
      <xdr:rowOff>76200</xdr:rowOff>
    </xdr:from>
    <xdr:ext cx="5076825" cy="2638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657225</xdr:colOff>
      <xdr:row>2</xdr:row>
      <xdr:rowOff>76200</xdr:rowOff>
    </xdr:from>
    <xdr:ext cx="5076825" cy="2638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1</xdr:row>
      <xdr:rowOff>57150</xdr:rowOff>
    </xdr:from>
    <xdr:ext cx="5124450" cy="3162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200025</xdr:colOff>
      <xdr:row>1</xdr:row>
      <xdr:rowOff>57150</xdr:rowOff>
    </xdr:from>
    <xdr:ext cx="5124450" cy="3162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1</xdr:row>
      <xdr:rowOff>57150</xdr:rowOff>
    </xdr:from>
    <xdr:ext cx="5124450" cy="3162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20</xdr:row>
      <xdr:rowOff>76200</xdr:rowOff>
    </xdr:from>
    <xdr:ext cx="6991350" cy="38957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19050</xdr:rowOff>
    </xdr:from>
    <xdr:ext cx="4743450" cy="3752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647700</xdr:colOff>
      <xdr:row>1</xdr:row>
      <xdr:rowOff>19050</xdr:rowOff>
    </xdr:from>
    <xdr:ext cx="5715000" cy="37528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571500</xdr:colOff>
      <xdr:row>1</xdr:row>
      <xdr:rowOff>19050</xdr:rowOff>
    </xdr:from>
    <xdr:ext cx="5715000" cy="37528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85725</xdr:rowOff>
    </xdr:from>
    <xdr:ext cx="4581525" cy="37528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247650</xdr:colOff>
      <xdr:row>0</xdr:row>
      <xdr:rowOff>9525</xdr:rowOff>
    </xdr:from>
    <xdr:ext cx="5715000" cy="37528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9525</xdr:colOff>
      <xdr:row>0</xdr:row>
      <xdr:rowOff>0</xdr:rowOff>
    </xdr:from>
    <xdr:ext cx="5715000" cy="37814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17</xdr:row>
      <xdr:rowOff>180975</xdr:rowOff>
    </xdr:from>
    <xdr:ext cx="5715000" cy="45434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771525</xdr:colOff>
      <xdr:row>17</xdr:row>
      <xdr:rowOff>180975</xdr:rowOff>
    </xdr:from>
    <xdr:ext cx="5715000" cy="45434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1</xdr:row>
      <xdr:rowOff>9525</xdr:rowOff>
    </xdr:from>
    <xdr:ext cx="5124450" cy="316230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438150</xdr:colOff>
      <xdr:row>1</xdr:row>
      <xdr:rowOff>9525</xdr:rowOff>
    </xdr:from>
    <xdr:ext cx="5124450" cy="3162300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0</xdr:row>
      <xdr:rowOff>133350</xdr:rowOff>
    </xdr:from>
    <xdr:ext cx="5124450" cy="316230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66675</xdr:rowOff>
    </xdr:from>
    <xdr:ext cx="5124450" cy="316230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0</xdr:row>
      <xdr:rowOff>66675</xdr:rowOff>
    </xdr:from>
    <xdr:ext cx="5124450" cy="316230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5124450" cy="316230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0</xdr:row>
      <xdr:rowOff>95250</xdr:rowOff>
    </xdr:from>
    <xdr:ext cx="5124450" cy="316230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5124450" cy="316230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5124450" cy="316230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5124450" cy="316230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5124450" cy="316230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0</xdr:row>
      <xdr:rowOff>76200</xdr:rowOff>
    </xdr:from>
    <xdr:ext cx="5124450" cy="316230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0</xdr:row>
      <xdr:rowOff>38100</xdr:rowOff>
    </xdr:from>
    <xdr:ext cx="5124450" cy="3162300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0</xdr:row>
      <xdr:rowOff>95250</xdr:rowOff>
    </xdr:from>
    <xdr:ext cx="5124450" cy="316230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0</xdr:row>
      <xdr:rowOff>133350</xdr:rowOff>
    </xdr:from>
    <xdr:ext cx="5124450" cy="316230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0</xdr:row>
      <xdr:rowOff>76200</xdr:rowOff>
    </xdr:from>
    <xdr:ext cx="5124450" cy="316230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0</xdr:row>
      <xdr:rowOff>76200</xdr:rowOff>
    </xdr:from>
    <xdr:ext cx="5124450" cy="316230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0</xdr:row>
      <xdr:rowOff>85725</xdr:rowOff>
    </xdr:from>
    <xdr:ext cx="5124450" cy="316230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0</xdr:row>
      <xdr:rowOff>152400</xdr:rowOff>
    </xdr:from>
    <xdr:ext cx="5124450" cy="316230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K37" displayName="Summary_Stats" name="Summary_Stats" id="1">
  <tableColumns count="11">
    <tableColumn name="ISO" id="1"/>
    <tableColumn name="Change" id="2"/>
    <tableColumn name="Year" id="3"/>
    <tableColumn name="Area (ha)" id="4"/>
    <tableColumn name="MOE" id="5"/>
    <tableColumn name="MOE (lower)" id="6"/>
    <tableColumn name="MOE (upper)" id="7"/>
    <tableColumn name="Total Error (%)" id="8"/>
    <tableColumn name="% of Forest" id="9"/>
    <tableColumn name="% of Area" id="10"/>
    <tableColumn name="Annual Rate" id="11"/>
  </tableColumns>
  <tableStyleInfo name="National Summary 2015-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37.0"/>
    <col customWidth="1" min="3" max="3" width="16.88"/>
    <col customWidth="1" min="10" max="10" width="12.0"/>
    <col customWidth="1" min="12" max="12" width="20.63"/>
    <col customWidth="1" min="15" max="15" width="33.63"/>
    <col customWidth="1" min="16" max="16" width="33.13"/>
    <col customWidth="1" min="18" max="18" width="15.75"/>
  </cols>
  <sheetData>
    <row r="1">
      <c r="A1" s="1" t="s">
        <v>0</v>
      </c>
      <c r="P1" s="2"/>
    </row>
    <row r="2">
      <c r="P2" s="2"/>
    </row>
    <row r="3">
      <c r="A3" s="3" t="s">
        <v>1</v>
      </c>
      <c r="P3" s="2"/>
    </row>
    <row r="4">
      <c r="A4" s="3" t="s">
        <v>2</v>
      </c>
      <c r="P4" s="2"/>
    </row>
    <row r="5">
      <c r="A5" s="3" t="s">
        <v>3</v>
      </c>
      <c r="P5" s="2"/>
    </row>
    <row r="6">
      <c r="P6" s="2"/>
    </row>
    <row r="7">
      <c r="A7" s="3" t="s">
        <v>4</v>
      </c>
      <c r="P7" s="2"/>
    </row>
    <row r="8">
      <c r="A8" s="3" t="s">
        <v>5</v>
      </c>
      <c r="P8" s="2"/>
    </row>
    <row r="9">
      <c r="A9" s="3" t="s">
        <v>6</v>
      </c>
      <c r="P9" s="2"/>
    </row>
    <row r="10">
      <c r="G10" s="1" t="s">
        <v>7</v>
      </c>
      <c r="P10" s="2"/>
    </row>
    <row r="11">
      <c r="A11" s="1" t="s">
        <v>8</v>
      </c>
      <c r="B11" s="1" t="s">
        <v>9</v>
      </c>
      <c r="C11" s="1"/>
      <c r="G11" s="4" t="s">
        <v>10</v>
      </c>
      <c r="H11" s="4" t="s">
        <v>11</v>
      </c>
      <c r="I11" s="4" t="s">
        <v>12</v>
      </c>
      <c r="J11" s="4" t="s">
        <v>13</v>
      </c>
      <c r="K11" s="4" t="s">
        <v>14</v>
      </c>
      <c r="L11" s="5" t="s">
        <v>15</v>
      </c>
      <c r="M11" s="6" t="s">
        <v>16</v>
      </c>
      <c r="N11" s="6" t="s">
        <v>17</v>
      </c>
      <c r="O11" s="7" t="s">
        <v>9</v>
      </c>
      <c r="P11" s="7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</row>
    <row r="12">
      <c r="A12" s="3" t="s">
        <v>27</v>
      </c>
      <c r="B12" s="3" t="s">
        <v>28</v>
      </c>
      <c r="C12" s="1"/>
      <c r="G12" s="8">
        <v>1.0</v>
      </c>
      <c r="H12" s="9" t="s">
        <v>29</v>
      </c>
      <c r="I12" s="10">
        <v>1.0</v>
      </c>
      <c r="J12" s="10">
        <v>1.0</v>
      </c>
      <c r="K12" s="10">
        <v>1.0</v>
      </c>
      <c r="L12" s="11" t="s">
        <v>30</v>
      </c>
      <c r="M12" s="12" t="s">
        <v>31</v>
      </c>
      <c r="N12" s="12" t="s">
        <v>32</v>
      </c>
      <c r="O12" s="13" t="s">
        <v>33</v>
      </c>
      <c r="P12" s="14" t="s">
        <v>34</v>
      </c>
      <c r="Q12" s="15" t="s">
        <v>35</v>
      </c>
      <c r="R12" s="16" t="s">
        <v>36</v>
      </c>
      <c r="S12" s="16" t="s">
        <v>37</v>
      </c>
      <c r="T12" s="16" t="s">
        <v>37</v>
      </c>
      <c r="U12" s="16" t="s">
        <v>37</v>
      </c>
      <c r="V12" s="16" t="s">
        <v>37</v>
      </c>
      <c r="W12" s="16" t="s">
        <v>37</v>
      </c>
      <c r="X12" s="16" t="s">
        <v>37</v>
      </c>
    </row>
    <row r="13">
      <c r="A13" s="3" t="s">
        <v>38</v>
      </c>
      <c r="B13" s="3" t="s">
        <v>39</v>
      </c>
      <c r="C13" s="1"/>
      <c r="G13" s="17">
        <v>2.0</v>
      </c>
      <c r="H13" s="9" t="s">
        <v>29</v>
      </c>
      <c r="I13" s="10">
        <v>2.0</v>
      </c>
      <c r="J13" s="10">
        <v>2.0</v>
      </c>
      <c r="K13" s="10">
        <v>2.0</v>
      </c>
      <c r="L13" s="11" t="s">
        <v>40</v>
      </c>
      <c r="M13" s="12" t="s">
        <v>41</v>
      </c>
      <c r="N13" s="12" t="s">
        <v>42</v>
      </c>
      <c r="O13" s="13" t="s">
        <v>43</v>
      </c>
      <c r="P13" s="18" t="s">
        <v>44</v>
      </c>
      <c r="Q13" s="16" t="s">
        <v>45</v>
      </c>
      <c r="R13" s="16" t="s">
        <v>46</v>
      </c>
      <c r="S13" s="16" t="s">
        <v>37</v>
      </c>
      <c r="T13" s="16" t="s">
        <v>37</v>
      </c>
      <c r="U13" s="16" t="s">
        <v>37</v>
      </c>
      <c r="V13" s="16"/>
      <c r="W13" s="16"/>
      <c r="X13" s="16" t="s">
        <v>37</v>
      </c>
    </row>
    <row r="14">
      <c r="A14" s="3" t="s">
        <v>47</v>
      </c>
      <c r="B14" s="3" t="s">
        <v>48</v>
      </c>
      <c r="C14" s="1"/>
      <c r="G14" s="19">
        <v>3.0</v>
      </c>
      <c r="H14" s="9" t="s">
        <v>29</v>
      </c>
      <c r="I14" s="10">
        <v>3.0</v>
      </c>
      <c r="J14" s="10">
        <v>3.0</v>
      </c>
      <c r="K14" s="10">
        <v>3.0</v>
      </c>
      <c r="L14" s="11" t="s">
        <v>49</v>
      </c>
      <c r="M14" s="12" t="s">
        <v>50</v>
      </c>
      <c r="N14" s="12" t="s">
        <v>51</v>
      </c>
      <c r="O14" s="13" t="s">
        <v>52</v>
      </c>
      <c r="P14" s="18" t="s">
        <v>53</v>
      </c>
      <c r="Q14" s="16" t="s">
        <v>54</v>
      </c>
      <c r="R14" s="20" t="s">
        <v>55</v>
      </c>
      <c r="S14" s="16" t="s">
        <v>37</v>
      </c>
      <c r="T14" s="16" t="s">
        <v>37</v>
      </c>
      <c r="U14" s="16" t="s">
        <v>37</v>
      </c>
      <c r="V14" s="16" t="s">
        <v>37</v>
      </c>
      <c r="W14" s="16" t="s">
        <v>37</v>
      </c>
      <c r="X14" s="16" t="s">
        <v>37</v>
      </c>
    </row>
    <row r="15">
      <c r="A15" s="3" t="s">
        <v>56</v>
      </c>
      <c r="B15" s="3" t="s">
        <v>57</v>
      </c>
      <c r="C15" s="1"/>
      <c r="G15" s="21">
        <v>4.0</v>
      </c>
      <c r="H15" s="9" t="s">
        <v>29</v>
      </c>
      <c r="I15" s="10">
        <v>4.0</v>
      </c>
      <c r="J15" s="10">
        <v>4.0</v>
      </c>
      <c r="K15" s="10">
        <v>4.0</v>
      </c>
      <c r="L15" s="11" t="s">
        <v>58</v>
      </c>
      <c r="M15" s="12" t="s">
        <v>59</v>
      </c>
      <c r="N15" s="12" t="s">
        <v>60</v>
      </c>
      <c r="O15" s="13" t="s">
        <v>61</v>
      </c>
      <c r="P15" s="18" t="s">
        <v>62</v>
      </c>
      <c r="Q15" s="16" t="s">
        <v>63</v>
      </c>
      <c r="R15" s="16" t="s">
        <v>64</v>
      </c>
      <c r="S15" s="16" t="s">
        <v>37</v>
      </c>
      <c r="T15" s="16" t="s">
        <v>37</v>
      </c>
      <c r="U15" s="16" t="s">
        <v>37</v>
      </c>
      <c r="V15" s="16"/>
      <c r="W15" s="16"/>
      <c r="X15" s="16"/>
    </row>
    <row r="16">
      <c r="A16" s="3" t="s">
        <v>65</v>
      </c>
      <c r="B16" s="3" t="s">
        <v>66</v>
      </c>
      <c r="C16" s="1"/>
      <c r="G16" s="22">
        <v>5.0</v>
      </c>
      <c r="H16" s="9" t="s">
        <v>29</v>
      </c>
      <c r="I16" s="23">
        <v>1.0</v>
      </c>
      <c r="J16" s="23">
        <v>5.0</v>
      </c>
      <c r="K16" s="23">
        <v>5.0</v>
      </c>
      <c r="L16" s="24" t="s">
        <v>67</v>
      </c>
      <c r="M16" s="12" t="s">
        <v>68</v>
      </c>
      <c r="N16" s="12" t="s">
        <v>69</v>
      </c>
      <c r="O16" s="13" t="s">
        <v>70</v>
      </c>
      <c r="P16" s="18" t="s">
        <v>71</v>
      </c>
      <c r="Q16" s="16" t="s">
        <v>72</v>
      </c>
      <c r="R16" s="16" t="s">
        <v>73</v>
      </c>
      <c r="S16" s="16"/>
      <c r="T16" s="16" t="s">
        <v>37</v>
      </c>
      <c r="U16" s="16" t="s">
        <v>37</v>
      </c>
      <c r="V16" s="16"/>
      <c r="W16" s="16" t="s">
        <v>37</v>
      </c>
      <c r="X16" s="16" t="s">
        <v>37</v>
      </c>
    </row>
    <row r="17">
      <c r="A17" s="3" t="s">
        <v>74</v>
      </c>
      <c r="B17" s="3" t="s">
        <v>75</v>
      </c>
      <c r="C17" s="1"/>
      <c r="G17" s="25">
        <v>6.0</v>
      </c>
      <c r="H17" s="9" t="s">
        <v>29</v>
      </c>
      <c r="I17" s="23">
        <v>1.0</v>
      </c>
      <c r="J17" s="23">
        <v>6.0</v>
      </c>
      <c r="K17" s="23">
        <v>6.0</v>
      </c>
      <c r="L17" s="24" t="s">
        <v>76</v>
      </c>
      <c r="M17" s="12" t="s">
        <v>77</v>
      </c>
      <c r="N17" s="12" t="s">
        <v>78</v>
      </c>
      <c r="O17" s="13" t="s">
        <v>79</v>
      </c>
      <c r="P17" s="18" t="s">
        <v>80</v>
      </c>
      <c r="Q17" s="16" t="s">
        <v>81</v>
      </c>
      <c r="R17" s="16" t="s">
        <v>82</v>
      </c>
      <c r="S17" s="16"/>
      <c r="T17" s="16" t="s">
        <v>37</v>
      </c>
      <c r="U17" s="16" t="s">
        <v>37</v>
      </c>
      <c r="V17" s="16"/>
      <c r="W17" s="16" t="s">
        <v>37</v>
      </c>
      <c r="X17" s="16"/>
    </row>
    <row r="18">
      <c r="A18" s="3" t="s">
        <v>83</v>
      </c>
      <c r="B18" s="3" t="s">
        <v>84</v>
      </c>
      <c r="C18" s="1"/>
      <c r="G18" s="26">
        <v>7.0</v>
      </c>
      <c r="H18" s="9" t="s">
        <v>29</v>
      </c>
      <c r="I18" s="23">
        <v>5.0</v>
      </c>
      <c r="J18" s="23">
        <v>7.0</v>
      </c>
      <c r="K18" s="23">
        <v>7.0</v>
      </c>
      <c r="L18" s="24" t="s">
        <v>85</v>
      </c>
      <c r="M18" s="12" t="s">
        <v>86</v>
      </c>
      <c r="N18" s="12" t="s">
        <v>85</v>
      </c>
      <c r="O18" s="13" t="s">
        <v>87</v>
      </c>
      <c r="P18" s="18" t="s">
        <v>88</v>
      </c>
      <c r="Q18" s="16" t="s">
        <v>89</v>
      </c>
      <c r="R18" s="16" t="s">
        <v>90</v>
      </c>
      <c r="S18" s="16"/>
      <c r="T18" s="16" t="s">
        <v>37</v>
      </c>
      <c r="U18" s="16" t="s">
        <v>37</v>
      </c>
      <c r="V18" s="16" t="s">
        <v>37</v>
      </c>
      <c r="W18" s="16" t="s">
        <v>37</v>
      </c>
      <c r="X18" s="16" t="s">
        <v>37</v>
      </c>
    </row>
    <row r="19">
      <c r="A19" s="3" t="s">
        <v>91</v>
      </c>
      <c r="B19" s="3" t="s">
        <v>92</v>
      </c>
      <c r="C19" s="1"/>
      <c r="G19" s="27">
        <v>8.0</v>
      </c>
      <c r="H19" s="9" t="s">
        <v>29</v>
      </c>
      <c r="I19" s="10">
        <v>6.0</v>
      </c>
      <c r="J19" s="10">
        <v>8.0</v>
      </c>
      <c r="K19" s="10">
        <v>8.0</v>
      </c>
      <c r="L19" s="11" t="s">
        <v>93</v>
      </c>
      <c r="M19" s="12" t="s">
        <v>94</v>
      </c>
      <c r="N19" s="12" t="s">
        <v>95</v>
      </c>
      <c r="O19" s="13" t="s">
        <v>96</v>
      </c>
      <c r="P19" s="28" t="s">
        <v>97</v>
      </c>
      <c r="Q19" s="29" t="s">
        <v>98</v>
      </c>
      <c r="R19" s="16" t="s">
        <v>99</v>
      </c>
      <c r="S19" s="16" t="s">
        <v>37</v>
      </c>
      <c r="T19" s="16" t="s">
        <v>37</v>
      </c>
      <c r="U19" s="16" t="s">
        <v>37</v>
      </c>
      <c r="V19" s="16" t="s">
        <v>37</v>
      </c>
      <c r="W19" s="16" t="s">
        <v>37</v>
      </c>
      <c r="X19" s="16" t="s">
        <v>37</v>
      </c>
    </row>
    <row r="20">
      <c r="A20" s="3" t="s">
        <v>100</v>
      </c>
      <c r="B20" s="3" t="s">
        <v>101</v>
      </c>
      <c r="C20" s="1"/>
      <c r="G20" s="30">
        <v>9.0</v>
      </c>
      <c r="H20" s="9" t="s">
        <v>29</v>
      </c>
      <c r="I20" s="10">
        <v>7.0</v>
      </c>
      <c r="J20" s="10">
        <v>9.0</v>
      </c>
      <c r="K20" s="10">
        <v>9.0</v>
      </c>
      <c r="L20" s="11" t="s">
        <v>102</v>
      </c>
      <c r="M20" s="12" t="s">
        <v>103</v>
      </c>
      <c r="N20" s="12" t="s">
        <v>104</v>
      </c>
      <c r="O20" s="13" t="s">
        <v>105</v>
      </c>
      <c r="P20" s="18" t="s">
        <v>106</v>
      </c>
      <c r="Q20" s="16" t="s">
        <v>107</v>
      </c>
      <c r="R20" s="16" t="s">
        <v>108</v>
      </c>
      <c r="S20" s="16" t="s">
        <v>37</v>
      </c>
      <c r="T20" s="16" t="s">
        <v>37</v>
      </c>
      <c r="U20" s="16" t="s">
        <v>37</v>
      </c>
      <c r="V20" s="16" t="s">
        <v>37</v>
      </c>
      <c r="W20" s="16" t="s">
        <v>37</v>
      </c>
      <c r="X20" s="16" t="s">
        <v>37</v>
      </c>
    </row>
    <row r="21">
      <c r="A21" s="3" t="s">
        <v>109</v>
      </c>
      <c r="B21" s="3" t="s">
        <v>110</v>
      </c>
      <c r="C21" s="1"/>
      <c r="G21" s="31">
        <v>10.0</v>
      </c>
      <c r="H21" s="9" t="s">
        <v>29</v>
      </c>
      <c r="I21" s="10" t="s">
        <v>37</v>
      </c>
      <c r="J21" s="10">
        <v>10.0</v>
      </c>
      <c r="K21" s="10" t="s">
        <v>37</v>
      </c>
      <c r="L21" s="11" t="s">
        <v>111</v>
      </c>
      <c r="M21" s="12" t="s">
        <v>112</v>
      </c>
      <c r="N21" s="12" t="s">
        <v>113</v>
      </c>
      <c r="O21" s="13" t="s">
        <v>114</v>
      </c>
      <c r="P21" s="18" t="s">
        <v>115</v>
      </c>
      <c r="Q21" s="16" t="s">
        <v>116</v>
      </c>
      <c r="R21" s="16" t="s">
        <v>117</v>
      </c>
      <c r="S21" s="16" t="s">
        <v>37</v>
      </c>
      <c r="T21" s="16" t="s">
        <v>37</v>
      </c>
      <c r="U21" s="16" t="s">
        <v>37</v>
      </c>
      <c r="V21" s="16" t="s">
        <v>37</v>
      </c>
      <c r="W21" s="16" t="s">
        <v>37</v>
      </c>
      <c r="X21" s="16" t="s">
        <v>37</v>
      </c>
    </row>
    <row r="22">
      <c r="A22" s="3" t="s">
        <v>118</v>
      </c>
      <c r="B22" s="3" t="s">
        <v>119</v>
      </c>
      <c r="C22" s="1"/>
      <c r="G22" s="32">
        <v>11.0</v>
      </c>
      <c r="H22" s="9" t="s">
        <v>29</v>
      </c>
      <c r="I22" s="10">
        <v>8.0</v>
      </c>
      <c r="J22" s="10">
        <v>11.0</v>
      </c>
      <c r="K22" s="10">
        <v>10.0</v>
      </c>
      <c r="L22" s="11" t="s">
        <v>120</v>
      </c>
      <c r="M22" s="12" t="s">
        <v>121</v>
      </c>
      <c r="N22" s="12" t="s">
        <v>122</v>
      </c>
      <c r="O22" s="13" t="s">
        <v>123</v>
      </c>
      <c r="P22" s="18" t="s">
        <v>124</v>
      </c>
      <c r="Q22" s="16" t="s">
        <v>125</v>
      </c>
      <c r="R22" s="16" t="s">
        <v>126</v>
      </c>
      <c r="S22" s="16" t="s">
        <v>37</v>
      </c>
      <c r="T22" s="16" t="s">
        <v>37</v>
      </c>
      <c r="U22" s="16" t="s">
        <v>37</v>
      </c>
      <c r="V22" s="16" t="s">
        <v>37</v>
      </c>
      <c r="W22" s="16"/>
      <c r="X22" s="16"/>
    </row>
    <row r="23">
      <c r="A23" s="3" t="s">
        <v>127</v>
      </c>
      <c r="B23" s="3" t="s">
        <v>128</v>
      </c>
      <c r="C23" s="1"/>
      <c r="G23" s="33">
        <v>12.0</v>
      </c>
      <c r="H23" s="34" t="s">
        <v>129</v>
      </c>
      <c r="I23" s="10">
        <v>9.0</v>
      </c>
      <c r="J23" s="35">
        <v>12.0</v>
      </c>
      <c r="K23" s="10">
        <v>11.0</v>
      </c>
      <c r="L23" s="11" t="s">
        <v>130</v>
      </c>
      <c r="M23" s="12" t="s">
        <v>131</v>
      </c>
      <c r="N23" s="12" t="s">
        <v>132</v>
      </c>
      <c r="O23" s="36" t="s">
        <v>133</v>
      </c>
      <c r="P23" s="18" t="s">
        <v>134</v>
      </c>
      <c r="Q23" s="16" t="s">
        <v>135</v>
      </c>
      <c r="R23" s="16" t="s">
        <v>136</v>
      </c>
      <c r="S23" s="16" t="s">
        <v>37</v>
      </c>
      <c r="T23" s="16" t="s">
        <v>37</v>
      </c>
      <c r="U23" s="16" t="s">
        <v>37</v>
      </c>
      <c r="V23" s="16" t="s">
        <v>37</v>
      </c>
      <c r="W23" s="16" t="s">
        <v>37</v>
      </c>
      <c r="X23" s="16" t="s">
        <v>37</v>
      </c>
    </row>
    <row r="24">
      <c r="A24" s="1"/>
      <c r="B24" s="1"/>
      <c r="C24" s="1"/>
      <c r="G24" s="37">
        <v>13.0</v>
      </c>
      <c r="H24" s="34" t="s">
        <v>129</v>
      </c>
      <c r="I24" s="10">
        <v>10.0</v>
      </c>
      <c r="J24" s="35">
        <v>13.0</v>
      </c>
      <c r="K24" s="10">
        <v>12.0</v>
      </c>
      <c r="L24" s="11" t="s">
        <v>137</v>
      </c>
      <c r="M24" s="12" t="s">
        <v>138</v>
      </c>
      <c r="N24" s="12" t="s">
        <v>139</v>
      </c>
      <c r="O24" s="13" t="s">
        <v>140</v>
      </c>
      <c r="P24" s="18" t="s">
        <v>141</v>
      </c>
      <c r="Q24" s="16" t="s">
        <v>142</v>
      </c>
      <c r="R24" s="16" t="s">
        <v>143</v>
      </c>
      <c r="S24" s="16" t="s">
        <v>37</v>
      </c>
      <c r="T24" s="16" t="s">
        <v>37</v>
      </c>
      <c r="U24" s="16" t="s">
        <v>37</v>
      </c>
      <c r="V24" s="16" t="s">
        <v>37</v>
      </c>
      <c r="W24" s="16" t="s">
        <v>37</v>
      </c>
      <c r="X24" s="16" t="s">
        <v>37</v>
      </c>
    </row>
    <row r="25">
      <c r="A25" s="1" t="s">
        <v>144</v>
      </c>
      <c r="B25" s="1" t="s">
        <v>9</v>
      </c>
      <c r="C25" s="1" t="s">
        <v>145</v>
      </c>
      <c r="G25" s="38">
        <v>14.0</v>
      </c>
      <c r="H25" s="34" t="s">
        <v>129</v>
      </c>
      <c r="I25" s="10">
        <v>11.0</v>
      </c>
      <c r="J25" s="35">
        <v>14.0</v>
      </c>
      <c r="K25" s="10">
        <v>13.0</v>
      </c>
      <c r="L25" s="11" t="s">
        <v>146</v>
      </c>
      <c r="M25" s="12" t="s">
        <v>147</v>
      </c>
      <c r="N25" s="12" t="s">
        <v>148</v>
      </c>
      <c r="O25" s="13" t="s">
        <v>149</v>
      </c>
      <c r="P25" s="18" t="s">
        <v>150</v>
      </c>
      <c r="Q25" s="16" t="s">
        <v>151</v>
      </c>
      <c r="R25" s="16" t="s">
        <v>152</v>
      </c>
      <c r="S25" s="16" t="s">
        <v>37</v>
      </c>
      <c r="T25" s="16" t="s">
        <v>37</v>
      </c>
      <c r="U25" s="16" t="s">
        <v>37</v>
      </c>
      <c r="V25" s="16" t="s">
        <v>37</v>
      </c>
      <c r="W25" s="16" t="s">
        <v>37</v>
      </c>
      <c r="X25" s="16" t="s">
        <v>37</v>
      </c>
    </row>
    <row r="26">
      <c r="A26" s="3" t="s">
        <v>153</v>
      </c>
      <c r="B26" s="3" t="s">
        <v>154</v>
      </c>
      <c r="C26" s="3" t="s">
        <v>155</v>
      </c>
      <c r="G26" s="39">
        <v>15.0</v>
      </c>
      <c r="H26" s="34" t="s">
        <v>129</v>
      </c>
      <c r="I26" s="10">
        <v>12.0</v>
      </c>
      <c r="J26" s="35">
        <v>15.0</v>
      </c>
      <c r="K26" s="10">
        <v>14.0</v>
      </c>
      <c r="L26" s="11" t="s">
        <v>156</v>
      </c>
      <c r="M26" s="12" t="s">
        <v>157</v>
      </c>
      <c r="N26" s="12" t="s">
        <v>158</v>
      </c>
      <c r="O26" s="13" t="s">
        <v>159</v>
      </c>
      <c r="P26" s="18" t="s">
        <v>160</v>
      </c>
      <c r="Q26" s="16" t="s">
        <v>161</v>
      </c>
      <c r="R26" s="16" t="s">
        <v>162</v>
      </c>
      <c r="S26" s="16" t="s">
        <v>37</v>
      </c>
      <c r="T26" s="16" t="s">
        <v>37</v>
      </c>
      <c r="U26" s="16" t="s">
        <v>37</v>
      </c>
      <c r="V26" s="16" t="s">
        <v>37</v>
      </c>
      <c r="W26" s="16" t="s">
        <v>37</v>
      </c>
      <c r="X26" s="16" t="s">
        <v>37</v>
      </c>
    </row>
    <row r="27" ht="15.75" customHeight="1">
      <c r="A27" s="3" t="s">
        <v>163</v>
      </c>
      <c r="B27" s="3" t="s">
        <v>164</v>
      </c>
      <c r="C27" s="3" t="s">
        <v>165</v>
      </c>
      <c r="G27" s="40">
        <v>16.0</v>
      </c>
      <c r="H27" s="34" t="s">
        <v>129</v>
      </c>
      <c r="I27" s="10">
        <v>13.0</v>
      </c>
      <c r="J27" s="35">
        <v>16.0</v>
      </c>
      <c r="K27" s="10">
        <v>15.0</v>
      </c>
      <c r="L27" s="11" t="s">
        <v>166</v>
      </c>
      <c r="M27" s="13" t="s">
        <v>167</v>
      </c>
      <c r="N27" s="13" t="s">
        <v>168</v>
      </c>
      <c r="O27" s="13" t="s">
        <v>169</v>
      </c>
      <c r="P27" s="18" t="s">
        <v>170</v>
      </c>
      <c r="Q27" s="16" t="s">
        <v>171</v>
      </c>
      <c r="R27" s="16" t="s">
        <v>172</v>
      </c>
      <c r="S27" s="16" t="s">
        <v>37</v>
      </c>
      <c r="T27" s="16" t="s">
        <v>37</v>
      </c>
      <c r="U27" s="16" t="s">
        <v>37</v>
      </c>
      <c r="V27" s="16" t="s">
        <v>37</v>
      </c>
      <c r="W27" s="16" t="s">
        <v>37</v>
      </c>
      <c r="X27" s="16" t="s">
        <v>37</v>
      </c>
    </row>
    <row r="28" ht="15.75" customHeight="1">
      <c r="A28" s="3" t="s">
        <v>173</v>
      </c>
      <c r="B28" s="3" t="s">
        <v>174</v>
      </c>
      <c r="C28" s="3" t="s">
        <v>165</v>
      </c>
      <c r="G28" s="41">
        <v>17.0</v>
      </c>
      <c r="H28" s="34" t="s">
        <v>129</v>
      </c>
      <c r="I28" s="10">
        <v>14.0</v>
      </c>
      <c r="J28" s="35">
        <v>17.0</v>
      </c>
      <c r="K28" s="10">
        <v>16.0</v>
      </c>
      <c r="L28" s="11" t="s">
        <v>175</v>
      </c>
      <c r="M28" s="12" t="s">
        <v>176</v>
      </c>
      <c r="N28" s="12" t="s">
        <v>177</v>
      </c>
      <c r="O28" s="13" t="s">
        <v>178</v>
      </c>
      <c r="P28" s="18" t="s">
        <v>179</v>
      </c>
      <c r="Q28" s="16" t="s">
        <v>180</v>
      </c>
      <c r="R28" s="16" t="s">
        <v>181</v>
      </c>
      <c r="S28" s="16" t="s">
        <v>37</v>
      </c>
      <c r="T28" s="16" t="s">
        <v>37</v>
      </c>
      <c r="U28" s="16" t="s">
        <v>37</v>
      </c>
      <c r="V28" s="16" t="s">
        <v>37</v>
      </c>
      <c r="W28" s="16" t="s">
        <v>37</v>
      </c>
      <c r="X28" s="16" t="s">
        <v>37</v>
      </c>
    </row>
    <row r="29" ht="15.75" customHeight="1">
      <c r="A29" s="3" t="s">
        <v>182</v>
      </c>
      <c r="B29" s="3" t="s">
        <v>183</v>
      </c>
      <c r="C29" s="3" t="s">
        <v>155</v>
      </c>
      <c r="G29" s="42">
        <v>18.0</v>
      </c>
      <c r="H29" s="34" t="s">
        <v>129</v>
      </c>
      <c r="I29" s="10">
        <v>15.0</v>
      </c>
      <c r="J29" s="35">
        <v>18.0</v>
      </c>
      <c r="K29" s="10">
        <v>17.0</v>
      </c>
      <c r="L29" s="11" t="s">
        <v>184</v>
      </c>
      <c r="M29" s="12" t="s">
        <v>185</v>
      </c>
      <c r="N29" s="12" t="s">
        <v>186</v>
      </c>
      <c r="O29" s="13" t="s">
        <v>187</v>
      </c>
      <c r="P29" s="18" t="s">
        <v>188</v>
      </c>
      <c r="Q29" s="16" t="s">
        <v>189</v>
      </c>
      <c r="R29" s="16" t="s">
        <v>190</v>
      </c>
      <c r="S29" s="16" t="s">
        <v>37</v>
      </c>
      <c r="T29" s="16" t="s">
        <v>37</v>
      </c>
      <c r="U29" s="16" t="s">
        <v>37</v>
      </c>
      <c r="V29" s="16" t="s">
        <v>37</v>
      </c>
      <c r="W29" s="16" t="s">
        <v>37</v>
      </c>
      <c r="X29" s="43" t="s">
        <v>37</v>
      </c>
    </row>
    <row r="30" ht="15.75" customHeight="1">
      <c r="A30" s="3" t="s">
        <v>191</v>
      </c>
      <c r="B30" s="3" t="s">
        <v>192</v>
      </c>
      <c r="C30" s="3" t="s">
        <v>155</v>
      </c>
      <c r="G30" s="44"/>
      <c r="H30" s="45"/>
      <c r="I30" s="29"/>
      <c r="J30" s="46"/>
      <c r="K30" s="29"/>
      <c r="L30" s="47"/>
      <c r="M30" s="46"/>
      <c r="N30" s="46"/>
      <c r="O30" s="47"/>
      <c r="P30" s="48"/>
      <c r="Q30" s="29"/>
      <c r="R30" s="49"/>
      <c r="S30" s="29"/>
      <c r="T30" s="29"/>
      <c r="U30" s="29"/>
      <c r="V30" s="29"/>
      <c r="W30" s="29"/>
      <c r="X30" s="29"/>
    </row>
    <row r="31" ht="15.75" customHeight="1">
      <c r="A31" s="3" t="s">
        <v>193</v>
      </c>
      <c r="B31" s="3" t="s">
        <v>194</v>
      </c>
      <c r="C31" s="3" t="s">
        <v>155</v>
      </c>
      <c r="P31" s="50"/>
    </row>
    <row r="32" ht="15.75" customHeight="1">
      <c r="A32" s="3" t="s">
        <v>195</v>
      </c>
      <c r="B32" s="3" t="s">
        <v>196</v>
      </c>
      <c r="C32" s="3" t="s">
        <v>155</v>
      </c>
      <c r="P32" s="2"/>
    </row>
    <row r="33" ht="15.75" customHeight="1">
      <c r="A33" s="3" t="s">
        <v>197</v>
      </c>
      <c r="B33" s="3" t="s">
        <v>198</v>
      </c>
      <c r="C33" s="3" t="s">
        <v>199</v>
      </c>
      <c r="P33" s="2"/>
    </row>
    <row r="34" ht="15.75" customHeight="1">
      <c r="A34" s="3" t="s">
        <v>200</v>
      </c>
      <c r="B34" s="3" t="s">
        <v>201</v>
      </c>
      <c r="C34" s="3" t="s">
        <v>199</v>
      </c>
      <c r="P34" s="2"/>
    </row>
    <row r="35" ht="15.75" customHeight="1">
      <c r="A35" s="3" t="s">
        <v>202</v>
      </c>
      <c r="B35" s="3" t="s">
        <v>203</v>
      </c>
      <c r="C35" s="3" t="s">
        <v>204</v>
      </c>
      <c r="P35" s="2"/>
    </row>
    <row r="36" ht="15.75" customHeight="1">
      <c r="A36" s="3" t="s">
        <v>205</v>
      </c>
      <c r="B36" s="3" t="s">
        <v>206</v>
      </c>
      <c r="C36" s="3" t="s">
        <v>207</v>
      </c>
      <c r="P36" s="2"/>
    </row>
    <row r="37" ht="15.75" customHeight="1">
      <c r="A37" s="3" t="s">
        <v>208</v>
      </c>
      <c r="B37" s="3" t="s">
        <v>209</v>
      </c>
      <c r="C37" s="3" t="s">
        <v>210</v>
      </c>
      <c r="P37" s="2"/>
    </row>
    <row r="38" ht="15.75" customHeight="1">
      <c r="A38" s="3" t="s">
        <v>211</v>
      </c>
      <c r="B38" s="3" t="s">
        <v>212</v>
      </c>
      <c r="C38" s="3" t="s">
        <v>213</v>
      </c>
      <c r="P38" s="2"/>
    </row>
    <row r="39" ht="15.75" customHeight="1">
      <c r="A39" s="3" t="s">
        <v>214</v>
      </c>
      <c r="B39" s="3" t="s">
        <v>215</v>
      </c>
      <c r="C39" s="3" t="s">
        <v>216</v>
      </c>
      <c r="P39" s="2"/>
    </row>
    <row r="40" ht="15.75" customHeight="1">
      <c r="A40" s="3" t="s">
        <v>217</v>
      </c>
      <c r="B40" s="3" t="s">
        <v>218</v>
      </c>
      <c r="C40" s="3" t="s">
        <v>219</v>
      </c>
      <c r="P40" s="2"/>
    </row>
    <row r="41" ht="15.75" customHeight="1">
      <c r="A41" s="3" t="s">
        <v>220</v>
      </c>
      <c r="B41" s="3" t="s">
        <v>221</v>
      </c>
      <c r="C41" s="3" t="s">
        <v>219</v>
      </c>
      <c r="P41" s="2"/>
    </row>
    <row r="42" ht="15.75" customHeight="1">
      <c r="A42" s="3" t="s">
        <v>222</v>
      </c>
      <c r="B42" s="3" t="s">
        <v>223</v>
      </c>
      <c r="C42" s="3" t="s">
        <v>219</v>
      </c>
      <c r="P42" s="2"/>
    </row>
    <row r="43" ht="15.75" customHeight="1">
      <c r="A43" s="3" t="s">
        <v>224</v>
      </c>
      <c r="B43" s="3" t="s">
        <v>225</v>
      </c>
      <c r="C43" s="3" t="s">
        <v>219</v>
      </c>
      <c r="P43" s="2"/>
    </row>
    <row r="44" ht="15.75" customHeight="1">
      <c r="A44" s="3" t="s">
        <v>226</v>
      </c>
      <c r="B44" s="3" t="s">
        <v>227</v>
      </c>
      <c r="C44" s="3" t="s">
        <v>219</v>
      </c>
      <c r="P44" s="2"/>
    </row>
    <row r="45" ht="15.75" customHeight="1">
      <c r="A45" s="3" t="s">
        <v>228</v>
      </c>
      <c r="B45" s="3" t="s">
        <v>229</v>
      </c>
      <c r="C45" s="3" t="s">
        <v>219</v>
      </c>
      <c r="P45" s="2"/>
    </row>
    <row r="46" ht="15.75" customHeight="1">
      <c r="A46" s="3" t="s">
        <v>230</v>
      </c>
      <c r="B46" s="3" t="s">
        <v>231</v>
      </c>
      <c r="C46" s="3" t="s">
        <v>219</v>
      </c>
      <c r="P46" s="2"/>
    </row>
    <row r="47" ht="15.75" customHeight="1">
      <c r="A47" s="3" t="s">
        <v>232</v>
      </c>
      <c r="B47" s="3" t="s">
        <v>233</v>
      </c>
      <c r="C47" s="3" t="s">
        <v>219</v>
      </c>
      <c r="P47" s="2"/>
    </row>
    <row r="48" ht="15.75" customHeight="1">
      <c r="A48" s="3" t="s">
        <v>234</v>
      </c>
      <c r="B48" s="3" t="s">
        <v>235</v>
      </c>
      <c r="C48" s="3" t="s">
        <v>219</v>
      </c>
      <c r="P48" s="2"/>
    </row>
    <row r="49" ht="15.75" customHeight="1">
      <c r="A49" s="3" t="s">
        <v>236</v>
      </c>
      <c r="B49" s="3" t="s">
        <v>237</v>
      </c>
      <c r="C49" s="3" t="s">
        <v>219</v>
      </c>
      <c r="P49" s="2"/>
    </row>
    <row r="50" ht="15.75" customHeight="1">
      <c r="A50" s="3" t="s">
        <v>238</v>
      </c>
      <c r="B50" s="3" t="s">
        <v>239</v>
      </c>
      <c r="C50" s="3" t="s">
        <v>240</v>
      </c>
      <c r="P50" s="2"/>
    </row>
    <row r="51" ht="15.75" customHeight="1">
      <c r="A51" s="3" t="s">
        <v>241</v>
      </c>
      <c r="B51" s="3" t="s">
        <v>242</v>
      </c>
      <c r="C51" s="3" t="s">
        <v>243</v>
      </c>
      <c r="P51" s="2"/>
    </row>
    <row r="52" ht="15.75" customHeight="1">
      <c r="A52" s="3" t="s">
        <v>244</v>
      </c>
      <c r="B52" s="3" t="s">
        <v>245</v>
      </c>
      <c r="C52" s="3" t="s">
        <v>246</v>
      </c>
      <c r="P52" s="2"/>
    </row>
    <row r="53" ht="15.75" customHeight="1">
      <c r="A53" s="3" t="s">
        <v>247</v>
      </c>
      <c r="B53" s="3" t="s">
        <v>248</v>
      </c>
      <c r="C53" s="3" t="s">
        <v>249</v>
      </c>
      <c r="P53" s="2"/>
    </row>
    <row r="54" ht="15.75" customHeight="1">
      <c r="A54" s="3" t="s">
        <v>250</v>
      </c>
      <c r="B54" s="3" t="s">
        <v>251</v>
      </c>
      <c r="C54" s="3" t="s">
        <v>252</v>
      </c>
      <c r="P54" s="2"/>
    </row>
    <row r="55" ht="15.75" customHeight="1">
      <c r="A55" s="3" t="s">
        <v>253</v>
      </c>
      <c r="B55" s="3" t="s">
        <v>254</v>
      </c>
      <c r="C55" s="3" t="s">
        <v>255</v>
      </c>
      <c r="P55" s="2"/>
    </row>
    <row r="56" ht="15.75" customHeight="1">
      <c r="A56" s="3" t="s">
        <v>256</v>
      </c>
      <c r="B56" s="3" t="s">
        <v>257</v>
      </c>
      <c r="C56" s="3" t="s">
        <v>258</v>
      </c>
      <c r="P56" s="2"/>
    </row>
    <row r="57" ht="15.75" customHeight="1">
      <c r="A57" s="3" t="s">
        <v>259</v>
      </c>
      <c r="B57" s="3" t="s">
        <v>260</v>
      </c>
      <c r="C57" s="3" t="s">
        <v>261</v>
      </c>
      <c r="P57" s="2"/>
    </row>
    <row r="58" ht="15.75" customHeight="1">
      <c r="A58" s="3" t="s">
        <v>262</v>
      </c>
      <c r="B58" s="3" t="s">
        <v>263</v>
      </c>
      <c r="C58" s="3" t="s">
        <v>264</v>
      </c>
      <c r="P58" s="2"/>
    </row>
    <row r="59" ht="15.75" customHeight="1">
      <c r="A59" s="3" t="s">
        <v>265</v>
      </c>
      <c r="B59" s="3" t="s">
        <v>266</v>
      </c>
      <c r="C59" s="3" t="s">
        <v>264</v>
      </c>
      <c r="P59" s="2"/>
    </row>
    <row r="60" ht="15.75" customHeight="1">
      <c r="A60" s="3" t="s">
        <v>267</v>
      </c>
      <c r="B60" s="3" t="s">
        <v>268</v>
      </c>
      <c r="C60" s="3" t="s">
        <v>264</v>
      </c>
      <c r="P60" s="2"/>
    </row>
    <row r="61" ht="15.75" customHeight="1">
      <c r="A61" s="3" t="s">
        <v>269</v>
      </c>
      <c r="B61" s="3" t="s">
        <v>270</v>
      </c>
      <c r="C61" s="3" t="s">
        <v>264</v>
      </c>
      <c r="P61" s="2"/>
    </row>
    <row r="62" ht="15.75" customHeight="1">
      <c r="A62" s="3" t="s">
        <v>271</v>
      </c>
      <c r="B62" s="3" t="s">
        <v>272</v>
      </c>
      <c r="C62" s="3" t="s">
        <v>264</v>
      </c>
      <c r="P62" s="2"/>
    </row>
    <row r="63" ht="15.75" customHeight="1">
      <c r="A63" s="3" t="s">
        <v>273</v>
      </c>
      <c r="B63" s="3" t="s">
        <v>274</v>
      </c>
      <c r="C63" s="3" t="s">
        <v>264</v>
      </c>
      <c r="P63" s="2"/>
    </row>
    <row r="64" ht="15.75" customHeight="1">
      <c r="A64" s="3" t="s">
        <v>275</v>
      </c>
      <c r="B64" s="3" t="s">
        <v>276</v>
      </c>
      <c r="C64" s="3" t="s">
        <v>264</v>
      </c>
      <c r="P64" s="2"/>
    </row>
    <row r="65" ht="15.75" customHeight="1">
      <c r="A65" s="3" t="s">
        <v>277</v>
      </c>
      <c r="B65" s="3" t="s">
        <v>278</v>
      </c>
      <c r="C65" s="3" t="s">
        <v>279</v>
      </c>
      <c r="P65" s="2"/>
    </row>
    <row r="66" ht="15.75" customHeight="1">
      <c r="A66" s="3" t="s">
        <v>280</v>
      </c>
      <c r="B66" s="3" t="s">
        <v>281</v>
      </c>
      <c r="C66" s="3" t="s">
        <v>279</v>
      </c>
      <c r="P66" s="2"/>
    </row>
    <row r="67" ht="15.75" customHeight="1">
      <c r="A67" s="3" t="s">
        <v>282</v>
      </c>
      <c r="B67" s="3" t="s">
        <v>283</v>
      </c>
      <c r="C67" s="3" t="s">
        <v>279</v>
      </c>
      <c r="P67" s="2"/>
    </row>
    <row r="68" ht="15.75" customHeight="1">
      <c r="A68" s="3" t="s">
        <v>284</v>
      </c>
      <c r="B68" s="3" t="s">
        <v>285</v>
      </c>
      <c r="C68" s="3" t="s">
        <v>279</v>
      </c>
      <c r="P68" s="2"/>
    </row>
    <row r="69" ht="15.75" customHeight="1">
      <c r="A69" s="3" t="s">
        <v>286</v>
      </c>
      <c r="B69" s="3" t="s">
        <v>287</v>
      </c>
      <c r="C69" s="3" t="s">
        <v>279</v>
      </c>
      <c r="P69" s="2"/>
    </row>
    <row r="70" ht="15.75" customHeight="1">
      <c r="A70" s="3" t="s">
        <v>288</v>
      </c>
      <c r="B70" s="3" t="s">
        <v>289</v>
      </c>
      <c r="C70" s="3" t="s">
        <v>279</v>
      </c>
      <c r="P70" s="2"/>
    </row>
    <row r="71" ht="15.75" customHeight="1">
      <c r="A71" s="3" t="s">
        <v>290</v>
      </c>
      <c r="B71" s="3" t="s">
        <v>291</v>
      </c>
      <c r="C71" s="3" t="s">
        <v>279</v>
      </c>
      <c r="P71" s="2"/>
    </row>
    <row r="72" ht="15.75" customHeight="1">
      <c r="A72" s="3" t="s">
        <v>292</v>
      </c>
      <c r="B72" s="3" t="s">
        <v>293</v>
      </c>
      <c r="C72" s="3" t="s">
        <v>264</v>
      </c>
      <c r="P72" s="2"/>
    </row>
    <row r="73" ht="15.75" customHeight="1">
      <c r="A73" s="3" t="s">
        <v>294</v>
      </c>
      <c r="B73" s="3" t="s">
        <v>295</v>
      </c>
      <c r="C73" s="3" t="s">
        <v>279</v>
      </c>
      <c r="P73" s="2"/>
    </row>
    <row r="74" ht="15.75" customHeight="1">
      <c r="A74" s="3" t="s">
        <v>296</v>
      </c>
      <c r="B74" s="3" t="s">
        <v>297</v>
      </c>
      <c r="C74" s="3" t="s">
        <v>298</v>
      </c>
      <c r="P74" s="2"/>
    </row>
    <row r="75" ht="15.75" customHeight="1">
      <c r="A75" s="3" t="s">
        <v>299</v>
      </c>
      <c r="B75" s="3" t="s">
        <v>300</v>
      </c>
      <c r="C75" s="3" t="s">
        <v>301</v>
      </c>
      <c r="P75" s="2"/>
    </row>
    <row r="76" ht="15.75" customHeight="1">
      <c r="A76" s="3" t="s">
        <v>302</v>
      </c>
      <c r="B76" s="3" t="s">
        <v>303</v>
      </c>
      <c r="C76" s="3" t="s">
        <v>304</v>
      </c>
      <c r="P76" s="2"/>
    </row>
    <row r="77" ht="15.75" customHeight="1">
      <c r="A77" s="3" t="s">
        <v>305</v>
      </c>
      <c r="B77" s="3" t="s">
        <v>306</v>
      </c>
      <c r="C77" s="3" t="s">
        <v>307</v>
      </c>
      <c r="P77" s="2"/>
    </row>
    <row r="78" ht="15.75" customHeight="1">
      <c r="A78" s="3" t="s">
        <v>308</v>
      </c>
      <c r="B78" s="3" t="s">
        <v>309</v>
      </c>
      <c r="C78" s="3" t="s">
        <v>310</v>
      </c>
      <c r="P78" s="2"/>
    </row>
    <row r="79" ht="15.75" customHeight="1">
      <c r="A79" s="3" t="s">
        <v>311</v>
      </c>
      <c r="B79" s="3" t="s">
        <v>312</v>
      </c>
      <c r="C79" s="3" t="s">
        <v>313</v>
      </c>
      <c r="P79" s="2"/>
    </row>
    <row r="80" ht="15.75" customHeight="1">
      <c r="A80" s="3" t="s">
        <v>85</v>
      </c>
      <c r="B80" s="3" t="s">
        <v>314</v>
      </c>
      <c r="C80" s="3" t="s">
        <v>315</v>
      </c>
      <c r="P80" s="2"/>
    </row>
    <row r="81" ht="15.75" customHeight="1">
      <c r="A81" s="3" t="s">
        <v>316</v>
      </c>
      <c r="B81" s="3" t="s">
        <v>317</v>
      </c>
      <c r="C81" s="3" t="s">
        <v>318</v>
      </c>
      <c r="P81" s="2"/>
    </row>
    <row r="82" ht="15.75" customHeight="1">
      <c r="A82" s="3" t="s">
        <v>319</v>
      </c>
      <c r="B82" s="3" t="s">
        <v>320</v>
      </c>
      <c r="C82" s="3" t="s">
        <v>321</v>
      </c>
      <c r="P82" s="2"/>
    </row>
    <row r="83" ht="15.75" customHeight="1">
      <c r="A83" s="3" t="s">
        <v>322</v>
      </c>
      <c r="B83" s="3" t="s">
        <v>323</v>
      </c>
      <c r="C83" s="3" t="s">
        <v>324</v>
      </c>
      <c r="P83" s="2"/>
    </row>
    <row r="84" ht="15.75" customHeight="1">
      <c r="A84" s="3" t="s">
        <v>325</v>
      </c>
      <c r="B84" s="3" t="s">
        <v>326</v>
      </c>
      <c r="C84" s="3" t="s">
        <v>327</v>
      </c>
      <c r="P84" s="2"/>
    </row>
    <row r="85" ht="15.75" customHeight="1">
      <c r="A85" s="3" t="s">
        <v>328</v>
      </c>
      <c r="B85" s="3" t="s">
        <v>329</v>
      </c>
      <c r="C85" s="3" t="s">
        <v>330</v>
      </c>
      <c r="P85" s="2"/>
    </row>
    <row r="86" ht="15.75" customHeight="1">
      <c r="A86" s="3" t="s">
        <v>331</v>
      </c>
      <c r="B86" s="3" t="s">
        <v>332</v>
      </c>
      <c r="C86" s="3" t="s">
        <v>333</v>
      </c>
      <c r="P86" s="2"/>
    </row>
    <row r="87" ht="15.75" customHeight="1">
      <c r="A87" s="3" t="s">
        <v>334</v>
      </c>
      <c r="B87" s="3" t="s">
        <v>335</v>
      </c>
      <c r="C87" s="3" t="s">
        <v>336</v>
      </c>
      <c r="P87" s="2"/>
    </row>
    <row r="88" ht="15.75" customHeight="1">
      <c r="A88" s="3" t="s">
        <v>337</v>
      </c>
      <c r="B88" s="3" t="s">
        <v>338</v>
      </c>
      <c r="C88" s="3" t="s">
        <v>339</v>
      </c>
      <c r="P88" s="2"/>
    </row>
    <row r="89" ht="15.75" customHeight="1">
      <c r="A89" s="3" t="s">
        <v>340</v>
      </c>
      <c r="B89" s="3" t="s">
        <v>341</v>
      </c>
      <c r="C89" s="3" t="s">
        <v>342</v>
      </c>
      <c r="P89" s="2"/>
    </row>
    <row r="90" ht="15.75" customHeight="1">
      <c r="A90" s="3" t="s">
        <v>343</v>
      </c>
      <c r="B90" s="3" t="s">
        <v>344</v>
      </c>
      <c r="C90" s="3" t="s">
        <v>345</v>
      </c>
      <c r="P90" s="2"/>
    </row>
    <row r="91" ht="15.75" customHeight="1">
      <c r="A91" s="3" t="s">
        <v>186</v>
      </c>
      <c r="B91" s="3" t="s">
        <v>346</v>
      </c>
      <c r="C91" s="3" t="s">
        <v>347</v>
      </c>
      <c r="P91" s="2"/>
    </row>
    <row r="92" ht="15.75" customHeight="1">
      <c r="A92" s="3" t="s">
        <v>348</v>
      </c>
      <c r="B92" s="3" t="s">
        <v>349</v>
      </c>
      <c r="C92" s="3" t="s">
        <v>350</v>
      </c>
      <c r="P92" s="2"/>
    </row>
    <row r="93" ht="15.75" customHeight="1">
      <c r="A93" s="3" t="s">
        <v>351</v>
      </c>
      <c r="B93" s="3" t="s">
        <v>352</v>
      </c>
      <c r="C93" s="3" t="s">
        <v>353</v>
      </c>
      <c r="P93" s="2"/>
    </row>
    <row r="94" ht="15.75" customHeight="1">
      <c r="A94" s="3" t="s">
        <v>354</v>
      </c>
      <c r="B94" s="3" t="s">
        <v>355</v>
      </c>
      <c r="C94" s="3" t="s">
        <v>356</v>
      </c>
      <c r="P94" s="2"/>
    </row>
    <row r="95" ht="15.75" customHeight="1">
      <c r="A95" s="3" t="s">
        <v>357</v>
      </c>
      <c r="B95" s="3" t="s">
        <v>358</v>
      </c>
      <c r="C95" s="3" t="s">
        <v>359</v>
      </c>
      <c r="P95" s="2"/>
    </row>
    <row r="96" ht="15.75" customHeight="1">
      <c r="A96" s="3" t="s">
        <v>360</v>
      </c>
      <c r="B96" s="3" t="s">
        <v>361</v>
      </c>
      <c r="C96" s="3" t="s">
        <v>362</v>
      </c>
      <c r="P96" s="2"/>
    </row>
    <row r="97" ht="15.75" customHeight="1">
      <c r="A97" s="3" t="s">
        <v>363</v>
      </c>
      <c r="B97" s="3" t="s">
        <v>364</v>
      </c>
      <c r="C97" s="3" t="s">
        <v>365</v>
      </c>
      <c r="P97" s="2"/>
    </row>
    <row r="98" ht="15.75" customHeight="1">
      <c r="A98" s="3" t="s">
        <v>366</v>
      </c>
      <c r="B98" s="3" t="s">
        <v>367</v>
      </c>
      <c r="C98" s="3" t="s">
        <v>368</v>
      </c>
      <c r="P98" s="2"/>
    </row>
    <row r="99" ht="15.75" customHeight="1">
      <c r="A99" s="3" t="s">
        <v>369</v>
      </c>
      <c r="B99" s="3" t="s">
        <v>370</v>
      </c>
      <c r="C99" s="3" t="s">
        <v>371</v>
      </c>
      <c r="P99" s="2"/>
    </row>
    <row r="100" ht="15.75" customHeight="1">
      <c r="A100" s="3" t="s">
        <v>372</v>
      </c>
      <c r="B100" s="3" t="s">
        <v>373</v>
      </c>
      <c r="C100" s="3" t="s">
        <v>374</v>
      </c>
      <c r="P100" s="2"/>
    </row>
    <row r="101" ht="15.75" customHeight="1">
      <c r="A101" s="3" t="s">
        <v>375</v>
      </c>
      <c r="B101" s="3" t="s">
        <v>376</v>
      </c>
      <c r="C101" s="3" t="s">
        <v>377</v>
      </c>
      <c r="P101" s="2"/>
    </row>
    <row r="102" ht="15.75" customHeight="1">
      <c r="A102" s="3" t="s">
        <v>378</v>
      </c>
      <c r="B102" s="3" t="s">
        <v>379</v>
      </c>
      <c r="C102" s="3" t="s">
        <v>380</v>
      </c>
      <c r="P102" s="2"/>
    </row>
    <row r="103" ht="15.75" customHeight="1">
      <c r="A103" s="3" t="s">
        <v>381</v>
      </c>
      <c r="B103" s="3" t="s">
        <v>382</v>
      </c>
      <c r="C103" s="3" t="s">
        <v>383</v>
      </c>
      <c r="P103" s="2"/>
    </row>
    <row r="104" ht="15.75" customHeight="1">
      <c r="A104" s="3" t="s">
        <v>384</v>
      </c>
      <c r="B104" s="3" t="s">
        <v>385</v>
      </c>
      <c r="C104" s="3" t="s">
        <v>386</v>
      </c>
      <c r="P104" s="2"/>
    </row>
    <row r="105" ht="15.75" customHeight="1">
      <c r="A105" s="3" t="s">
        <v>387</v>
      </c>
      <c r="B105" s="3" t="s">
        <v>388</v>
      </c>
      <c r="C105" s="3" t="s">
        <v>389</v>
      </c>
      <c r="P105" s="2"/>
    </row>
    <row r="106" ht="15.75" customHeight="1">
      <c r="A106" s="3" t="s">
        <v>390</v>
      </c>
      <c r="B106" s="3" t="s">
        <v>391</v>
      </c>
      <c r="C106" s="3" t="s">
        <v>392</v>
      </c>
      <c r="P106" s="2"/>
    </row>
    <row r="107" ht="15.75" customHeight="1">
      <c r="A107" s="3" t="s">
        <v>393</v>
      </c>
      <c r="B107" s="3" t="s">
        <v>394</v>
      </c>
      <c r="C107" s="3" t="s">
        <v>395</v>
      </c>
      <c r="P107" s="2"/>
    </row>
    <row r="108" ht="15.75" customHeight="1">
      <c r="A108" s="3" t="s">
        <v>396</v>
      </c>
      <c r="B108" s="3" t="s">
        <v>397</v>
      </c>
      <c r="C108" s="3" t="s">
        <v>398</v>
      </c>
      <c r="P108" s="2"/>
    </row>
    <row r="109" ht="15.75" customHeight="1">
      <c r="A109" s="3" t="s">
        <v>399</v>
      </c>
      <c r="B109" s="3" t="s">
        <v>400</v>
      </c>
      <c r="C109" s="3" t="s">
        <v>401</v>
      </c>
      <c r="P109" s="2"/>
    </row>
    <row r="110" ht="15.75" customHeight="1">
      <c r="A110" s="3" t="s">
        <v>402</v>
      </c>
      <c r="B110" s="3" t="s">
        <v>403</v>
      </c>
      <c r="C110" s="3" t="s">
        <v>404</v>
      </c>
      <c r="P110" s="2"/>
    </row>
    <row r="111" ht="15.75" customHeight="1">
      <c r="A111" s="3" t="s">
        <v>405</v>
      </c>
      <c r="B111" s="3" t="s">
        <v>406</v>
      </c>
      <c r="C111" s="3" t="s">
        <v>407</v>
      </c>
      <c r="P111" s="2"/>
    </row>
    <row r="112" ht="15.75" customHeight="1">
      <c r="A112" s="3" t="s">
        <v>408</v>
      </c>
      <c r="B112" s="3" t="s">
        <v>409</v>
      </c>
      <c r="C112" s="3" t="s">
        <v>410</v>
      </c>
      <c r="P112" s="2"/>
    </row>
    <row r="113" ht="15.75" customHeight="1">
      <c r="A113" s="3" t="s">
        <v>411</v>
      </c>
      <c r="B113" s="3" t="s">
        <v>412</v>
      </c>
      <c r="C113" s="3" t="s">
        <v>413</v>
      </c>
      <c r="P113" s="2"/>
    </row>
    <row r="114" ht="15.75" customHeight="1">
      <c r="A114" s="3" t="s">
        <v>414</v>
      </c>
      <c r="B114" s="3" t="s">
        <v>415</v>
      </c>
      <c r="C114" s="3" t="s">
        <v>416</v>
      </c>
      <c r="P114" s="2"/>
    </row>
    <row r="115" ht="15.75" customHeight="1">
      <c r="A115" s="3" t="s">
        <v>417</v>
      </c>
      <c r="B115" s="3" t="s">
        <v>418</v>
      </c>
      <c r="C115" s="3" t="s">
        <v>419</v>
      </c>
      <c r="P115" s="2"/>
    </row>
    <row r="116" ht="15.75" customHeight="1">
      <c r="A116" s="3" t="s">
        <v>420</v>
      </c>
      <c r="B116" s="3" t="s">
        <v>421</v>
      </c>
      <c r="C116" s="3" t="s">
        <v>422</v>
      </c>
      <c r="P116" s="2"/>
    </row>
    <row r="117" ht="15.75" customHeight="1">
      <c r="A117" s="3" t="s">
        <v>423</v>
      </c>
      <c r="B117" s="3" t="s">
        <v>424</v>
      </c>
      <c r="C117" s="3" t="s">
        <v>425</v>
      </c>
      <c r="P117" s="2"/>
    </row>
    <row r="118" ht="15.75" customHeight="1">
      <c r="A118" s="3" t="s">
        <v>426</v>
      </c>
      <c r="B118" s="3" t="s">
        <v>427</v>
      </c>
      <c r="C118" s="3" t="s">
        <v>428</v>
      </c>
      <c r="P118" s="2"/>
    </row>
    <row r="119" ht="15.75" customHeight="1">
      <c r="A119" s="3" t="s">
        <v>429</v>
      </c>
      <c r="B119" s="3" t="s">
        <v>430</v>
      </c>
      <c r="C119" s="3" t="s">
        <v>431</v>
      </c>
      <c r="P119" s="2"/>
    </row>
    <row r="120" ht="15.75" customHeight="1">
      <c r="A120" s="3" t="s">
        <v>432</v>
      </c>
      <c r="B120" s="3" t="s">
        <v>433</v>
      </c>
      <c r="C120" s="3" t="s">
        <v>434</v>
      </c>
      <c r="P120" s="2"/>
    </row>
    <row r="121" ht="15.75" customHeight="1">
      <c r="A121" s="3" t="s">
        <v>435</v>
      </c>
      <c r="B121" s="3" t="s">
        <v>436</v>
      </c>
      <c r="C121" s="3" t="s">
        <v>437</v>
      </c>
      <c r="P121" s="2"/>
    </row>
    <row r="122" ht="15.75" customHeight="1">
      <c r="A122" s="3" t="s">
        <v>438</v>
      </c>
      <c r="B122" s="3" t="s">
        <v>439</v>
      </c>
      <c r="C122" s="3" t="s">
        <v>440</v>
      </c>
      <c r="P122" s="2"/>
    </row>
    <row r="123" ht="15.75" customHeight="1">
      <c r="A123" s="3" t="s">
        <v>441</v>
      </c>
      <c r="B123" s="3" t="s">
        <v>215</v>
      </c>
      <c r="C123" s="3" t="s">
        <v>216</v>
      </c>
      <c r="P123" s="2"/>
    </row>
    <row r="124" ht="15.75" customHeight="1">
      <c r="A124" s="3" t="s">
        <v>442</v>
      </c>
      <c r="B124" s="3" t="s">
        <v>443</v>
      </c>
      <c r="C124" s="3" t="s">
        <v>243</v>
      </c>
      <c r="P124" s="2"/>
    </row>
    <row r="125" ht="15.75" customHeight="1">
      <c r="A125" s="3" t="s">
        <v>444</v>
      </c>
      <c r="B125" s="3" t="s">
        <v>445</v>
      </c>
      <c r="C125" s="3" t="s">
        <v>246</v>
      </c>
      <c r="P125" s="2"/>
    </row>
    <row r="126" ht="15.75" customHeight="1">
      <c r="A126" s="3" t="s">
        <v>446</v>
      </c>
      <c r="B126" s="3" t="s">
        <v>447</v>
      </c>
      <c r="C126" s="3" t="s">
        <v>255</v>
      </c>
      <c r="P126" s="2"/>
    </row>
    <row r="127" ht="15.75" customHeight="1">
      <c r="A127" s="3" t="s">
        <v>448</v>
      </c>
      <c r="B127" s="3" t="s">
        <v>449</v>
      </c>
      <c r="C127" s="3" t="s">
        <v>450</v>
      </c>
      <c r="P127" s="2"/>
    </row>
    <row r="128" ht="15.75" customHeight="1">
      <c r="A128" s="3" t="s">
        <v>451</v>
      </c>
      <c r="B128" s="3" t="s">
        <v>452</v>
      </c>
      <c r="C128" s="3" t="s">
        <v>261</v>
      </c>
      <c r="P128" s="2"/>
    </row>
    <row r="129" ht="15.75" customHeight="1">
      <c r="A129" s="3" t="s">
        <v>453</v>
      </c>
      <c r="B129" s="3" t="s">
        <v>454</v>
      </c>
      <c r="C129" s="3" t="s">
        <v>455</v>
      </c>
      <c r="P129" s="2"/>
    </row>
    <row r="130" ht="15.75" customHeight="1">
      <c r="A130" s="3" t="s">
        <v>456</v>
      </c>
      <c r="B130" s="3" t="s">
        <v>457</v>
      </c>
      <c r="C130" s="3" t="s">
        <v>458</v>
      </c>
      <c r="P130" s="2"/>
    </row>
    <row r="131" ht="15.75" customHeight="1">
      <c r="A131" s="3" t="s">
        <v>459</v>
      </c>
      <c r="B131" s="3" t="s">
        <v>460</v>
      </c>
      <c r="C131" s="3" t="s">
        <v>461</v>
      </c>
      <c r="P131" s="2"/>
    </row>
    <row r="132" ht="15.75" customHeight="1">
      <c r="A132" s="3" t="s">
        <v>462</v>
      </c>
      <c r="B132" s="3" t="s">
        <v>463</v>
      </c>
      <c r="C132" s="3" t="s">
        <v>216</v>
      </c>
      <c r="P132" s="2"/>
    </row>
    <row r="133" ht="15.75" customHeight="1">
      <c r="A133" s="3" t="s">
        <v>464</v>
      </c>
      <c r="B133" s="3" t="s">
        <v>465</v>
      </c>
      <c r="C133" s="3" t="s">
        <v>450</v>
      </c>
      <c r="P133" s="2"/>
    </row>
    <row r="134" ht="15.75" customHeight="1">
      <c r="A134" s="3" t="s">
        <v>466</v>
      </c>
      <c r="B134" s="3" t="s">
        <v>467</v>
      </c>
      <c r="C134" s="3" t="s">
        <v>468</v>
      </c>
      <c r="P134" s="2"/>
    </row>
    <row r="135" ht="15.75" customHeight="1">
      <c r="P135" s="2"/>
    </row>
    <row r="136" ht="15.75" customHeight="1">
      <c r="A136" s="51"/>
      <c r="P136" s="2"/>
    </row>
    <row r="137" ht="15.75" customHeight="1">
      <c r="A137" s="51"/>
      <c r="P137" s="2"/>
    </row>
    <row r="138" ht="15.75" customHeight="1">
      <c r="A138" s="52"/>
      <c r="P138" s="2"/>
    </row>
    <row r="139" ht="15.75" customHeight="1">
      <c r="A139" s="52"/>
      <c r="P139" s="2"/>
    </row>
    <row r="140">
      <c r="P140" s="2"/>
    </row>
    <row r="141">
      <c r="P141" s="2"/>
    </row>
    <row r="142">
      <c r="P142" s="2"/>
    </row>
    <row r="143">
      <c r="P143" s="2"/>
    </row>
    <row r="144">
      <c r="P144" s="2"/>
    </row>
    <row r="145">
      <c r="P145" s="2"/>
    </row>
    <row r="146">
      <c r="P146" s="2"/>
    </row>
    <row r="147">
      <c r="P147" s="2"/>
    </row>
    <row r="148">
      <c r="P148" s="2"/>
    </row>
    <row r="149">
      <c r="P149" s="2"/>
    </row>
    <row r="150">
      <c r="P150" s="2"/>
    </row>
    <row r="151">
      <c r="P151" s="2"/>
    </row>
    <row r="152">
      <c r="P152" s="2"/>
    </row>
    <row r="153">
      <c r="P153" s="2"/>
    </row>
    <row r="154">
      <c r="P154" s="2"/>
    </row>
    <row r="155">
      <c r="P155" s="2"/>
    </row>
    <row r="156">
      <c r="P156" s="2"/>
    </row>
    <row r="157">
      <c r="P157" s="2"/>
    </row>
    <row r="158">
      <c r="P158" s="2"/>
    </row>
    <row r="159">
      <c r="P159" s="2"/>
    </row>
    <row r="160">
      <c r="P160" s="2"/>
    </row>
    <row r="161">
      <c r="P161" s="2"/>
    </row>
    <row r="162">
      <c r="P162" s="2"/>
    </row>
    <row r="163">
      <c r="P163" s="2"/>
    </row>
    <row r="164">
      <c r="P164" s="2"/>
    </row>
    <row r="165">
      <c r="P165" s="2"/>
    </row>
    <row r="166">
      <c r="P166" s="2"/>
    </row>
    <row r="167">
      <c r="P167" s="2"/>
    </row>
    <row r="168">
      <c r="P168" s="2"/>
    </row>
    <row r="169">
      <c r="P169" s="2"/>
    </row>
    <row r="170">
      <c r="P170" s="2"/>
    </row>
    <row r="171">
      <c r="P171" s="2"/>
    </row>
    <row r="172">
      <c r="P172" s="2"/>
    </row>
    <row r="173">
      <c r="P173" s="2"/>
    </row>
    <row r="174">
      <c r="P174" s="2"/>
    </row>
    <row r="175">
      <c r="P175" s="2"/>
    </row>
    <row r="176">
      <c r="P176" s="2"/>
    </row>
    <row r="177">
      <c r="P177" s="2"/>
    </row>
    <row r="178">
      <c r="P178" s="2"/>
    </row>
    <row r="179">
      <c r="P179" s="2"/>
    </row>
    <row r="180">
      <c r="P180" s="2"/>
    </row>
    <row r="181">
      <c r="P181" s="2"/>
    </row>
    <row r="182">
      <c r="P182" s="2"/>
    </row>
    <row r="183">
      <c r="P183" s="2"/>
    </row>
    <row r="184">
      <c r="P184" s="2"/>
    </row>
    <row r="185">
      <c r="P185" s="2"/>
    </row>
    <row r="186">
      <c r="P186" s="2"/>
    </row>
    <row r="187">
      <c r="P187" s="2"/>
    </row>
    <row r="188">
      <c r="P188" s="2"/>
    </row>
    <row r="189">
      <c r="P189" s="2"/>
    </row>
    <row r="190">
      <c r="P190" s="2"/>
    </row>
    <row r="191">
      <c r="P191" s="2"/>
    </row>
    <row r="192">
      <c r="P192" s="2"/>
    </row>
    <row r="193">
      <c r="P193" s="2"/>
    </row>
    <row r="194">
      <c r="P194" s="2"/>
    </row>
    <row r="195">
      <c r="P195" s="2"/>
    </row>
    <row r="196">
      <c r="P196" s="2"/>
    </row>
    <row r="197">
      <c r="P197" s="2"/>
    </row>
    <row r="198">
      <c r="P198" s="2"/>
    </row>
    <row r="199">
      <c r="P199" s="2"/>
    </row>
    <row r="200">
      <c r="P200" s="2"/>
    </row>
    <row r="201">
      <c r="P201" s="2"/>
    </row>
    <row r="202">
      <c r="P202" s="2"/>
    </row>
    <row r="203">
      <c r="P203" s="2"/>
    </row>
    <row r="204">
      <c r="P204" s="2"/>
    </row>
    <row r="205">
      <c r="P205" s="2"/>
    </row>
    <row r="206">
      <c r="P206" s="2"/>
    </row>
    <row r="207">
      <c r="P207" s="2"/>
    </row>
    <row r="208">
      <c r="P208" s="2"/>
    </row>
    <row r="209">
      <c r="P209" s="2"/>
    </row>
    <row r="210">
      <c r="P210" s="2"/>
    </row>
    <row r="211">
      <c r="P211" s="2"/>
    </row>
    <row r="212">
      <c r="P212" s="2"/>
    </row>
    <row r="213">
      <c r="P213" s="2"/>
    </row>
    <row r="214">
      <c r="P214" s="2"/>
    </row>
    <row r="215">
      <c r="P215" s="2"/>
    </row>
    <row r="216">
      <c r="P216" s="2"/>
    </row>
    <row r="217">
      <c r="P217" s="2"/>
    </row>
    <row r="218">
      <c r="P218" s="2"/>
    </row>
    <row r="219">
      <c r="P219" s="2"/>
    </row>
    <row r="220">
      <c r="P220" s="2"/>
    </row>
    <row r="221">
      <c r="P221" s="2"/>
    </row>
    <row r="222">
      <c r="P222" s="2"/>
    </row>
    <row r="223">
      <c r="P223" s="2"/>
    </row>
    <row r="224">
      <c r="P224" s="2"/>
    </row>
    <row r="225">
      <c r="P225" s="2"/>
    </row>
    <row r="226">
      <c r="P226" s="2"/>
    </row>
    <row r="227">
      <c r="P227" s="2"/>
    </row>
    <row r="228">
      <c r="P228" s="2"/>
    </row>
    <row r="229">
      <c r="P229" s="2"/>
    </row>
    <row r="230">
      <c r="P230" s="2"/>
    </row>
    <row r="231">
      <c r="P231" s="2"/>
    </row>
    <row r="232">
      <c r="P232" s="2"/>
    </row>
    <row r="233">
      <c r="P233" s="2"/>
    </row>
    <row r="234">
      <c r="P234" s="2"/>
    </row>
    <row r="235">
      <c r="P235" s="2"/>
    </row>
    <row r="236">
      <c r="P236" s="2"/>
    </row>
    <row r="237">
      <c r="P237" s="2"/>
    </row>
    <row r="238">
      <c r="P238" s="2"/>
    </row>
    <row r="239">
      <c r="P239" s="2"/>
    </row>
    <row r="240">
      <c r="P240" s="2"/>
    </row>
    <row r="241">
      <c r="P241" s="2"/>
    </row>
    <row r="242">
      <c r="P242" s="2"/>
    </row>
    <row r="243">
      <c r="P243" s="2"/>
    </row>
    <row r="244">
      <c r="P244" s="2"/>
    </row>
    <row r="245">
      <c r="P245" s="2"/>
    </row>
    <row r="246">
      <c r="P246" s="2"/>
    </row>
    <row r="247">
      <c r="P247" s="2"/>
    </row>
    <row r="248">
      <c r="P248" s="2"/>
    </row>
    <row r="249">
      <c r="P249" s="2"/>
    </row>
    <row r="250">
      <c r="P250" s="2"/>
    </row>
    <row r="251">
      <c r="P251" s="2"/>
    </row>
    <row r="252">
      <c r="P252" s="2"/>
    </row>
    <row r="253">
      <c r="P253" s="2"/>
    </row>
    <row r="254">
      <c r="P254" s="2"/>
    </row>
    <row r="255">
      <c r="P255" s="2"/>
    </row>
    <row r="256">
      <c r="P256" s="2"/>
    </row>
    <row r="257">
      <c r="P257" s="2"/>
    </row>
    <row r="258">
      <c r="P258" s="2"/>
    </row>
    <row r="259">
      <c r="P259" s="2"/>
    </row>
    <row r="260">
      <c r="P260" s="2"/>
    </row>
    <row r="261">
      <c r="P261" s="2"/>
    </row>
    <row r="262">
      <c r="P262" s="2"/>
    </row>
    <row r="263">
      <c r="P263" s="2"/>
    </row>
    <row r="264">
      <c r="P264" s="2"/>
    </row>
    <row r="265">
      <c r="P265" s="2"/>
    </row>
    <row r="266">
      <c r="P266" s="2"/>
    </row>
    <row r="267">
      <c r="P267" s="2"/>
    </row>
    <row r="268">
      <c r="P268" s="2"/>
    </row>
    <row r="269">
      <c r="P269" s="2"/>
    </row>
    <row r="270">
      <c r="P270" s="2"/>
    </row>
    <row r="271">
      <c r="P271" s="2"/>
    </row>
    <row r="272">
      <c r="P272" s="2"/>
    </row>
    <row r="273">
      <c r="P273" s="2"/>
    </row>
    <row r="274">
      <c r="P274" s="2"/>
    </row>
    <row r="275">
      <c r="P275" s="2"/>
    </row>
    <row r="276">
      <c r="P276" s="2"/>
    </row>
    <row r="277">
      <c r="P277" s="2"/>
    </row>
    <row r="278">
      <c r="P278" s="2"/>
    </row>
    <row r="279">
      <c r="P279" s="2"/>
    </row>
    <row r="280">
      <c r="P280" s="2"/>
    </row>
    <row r="281">
      <c r="P281" s="2"/>
    </row>
    <row r="282">
      <c r="P282" s="2"/>
    </row>
    <row r="283">
      <c r="P283" s="2"/>
    </row>
    <row r="284">
      <c r="P284" s="2"/>
    </row>
    <row r="285">
      <c r="P285" s="2"/>
    </row>
    <row r="286">
      <c r="P286" s="2"/>
    </row>
    <row r="287">
      <c r="P287" s="2"/>
    </row>
    <row r="288">
      <c r="P288" s="2"/>
    </row>
    <row r="289">
      <c r="P289" s="2"/>
    </row>
    <row r="290">
      <c r="P290" s="2"/>
    </row>
    <row r="291">
      <c r="P291" s="2"/>
    </row>
    <row r="292">
      <c r="P292" s="2"/>
    </row>
    <row r="293">
      <c r="P293" s="2"/>
    </row>
    <row r="294">
      <c r="P294" s="2"/>
    </row>
    <row r="295">
      <c r="P295" s="2"/>
    </row>
    <row r="296">
      <c r="P296" s="2"/>
    </row>
    <row r="297">
      <c r="P297" s="2"/>
    </row>
    <row r="298">
      <c r="P298" s="2"/>
    </row>
    <row r="299">
      <c r="P299" s="2"/>
    </row>
    <row r="300">
      <c r="P300" s="2"/>
    </row>
    <row r="301">
      <c r="P301" s="2"/>
    </row>
    <row r="302">
      <c r="P302" s="2"/>
    </row>
    <row r="303">
      <c r="P303" s="2"/>
    </row>
    <row r="304">
      <c r="P304" s="2"/>
    </row>
    <row r="305">
      <c r="P305" s="2"/>
    </row>
    <row r="306">
      <c r="P306" s="2"/>
    </row>
    <row r="307">
      <c r="P307" s="2"/>
    </row>
    <row r="308">
      <c r="P308" s="2"/>
    </row>
    <row r="309">
      <c r="P309" s="2"/>
    </row>
    <row r="310">
      <c r="P310" s="2"/>
    </row>
    <row r="311">
      <c r="P311" s="2"/>
    </row>
    <row r="312">
      <c r="P312" s="2"/>
    </row>
    <row r="313">
      <c r="P313" s="2"/>
    </row>
    <row r="314">
      <c r="P314" s="2"/>
    </row>
    <row r="315">
      <c r="P315" s="2"/>
    </row>
    <row r="316">
      <c r="P316" s="2"/>
    </row>
    <row r="317">
      <c r="P317" s="2"/>
    </row>
    <row r="318">
      <c r="P318" s="2"/>
    </row>
    <row r="319">
      <c r="P319" s="2"/>
    </row>
    <row r="320">
      <c r="P320" s="2"/>
    </row>
    <row r="321">
      <c r="P321" s="2"/>
    </row>
    <row r="322">
      <c r="P322" s="2"/>
    </row>
    <row r="323">
      <c r="P323" s="2"/>
    </row>
    <row r="324">
      <c r="P324" s="2"/>
    </row>
    <row r="325">
      <c r="P325" s="2"/>
    </row>
    <row r="326">
      <c r="P326" s="2"/>
    </row>
    <row r="327">
      <c r="P327" s="2"/>
    </row>
    <row r="328">
      <c r="P328" s="2"/>
    </row>
    <row r="329">
      <c r="P329" s="2"/>
    </row>
    <row r="330">
      <c r="P330" s="2"/>
    </row>
    <row r="331">
      <c r="P331" s="2"/>
    </row>
    <row r="332">
      <c r="P332" s="2"/>
    </row>
    <row r="333">
      <c r="P333" s="2"/>
    </row>
    <row r="334">
      <c r="P334" s="2"/>
    </row>
    <row r="335">
      <c r="P335" s="2"/>
    </row>
    <row r="336">
      <c r="P336" s="2"/>
    </row>
    <row r="337">
      <c r="P337" s="2"/>
    </row>
    <row r="338">
      <c r="P338" s="2"/>
    </row>
    <row r="339">
      <c r="P339" s="2"/>
    </row>
    <row r="340">
      <c r="P340" s="2"/>
    </row>
    <row r="341">
      <c r="P341" s="2"/>
    </row>
    <row r="342">
      <c r="P342" s="2"/>
    </row>
    <row r="343">
      <c r="P343" s="2"/>
    </row>
    <row r="344">
      <c r="P344" s="2"/>
    </row>
    <row r="345">
      <c r="P345" s="2"/>
    </row>
    <row r="346">
      <c r="P346" s="2"/>
    </row>
    <row r="347">
      <c r="P347" s="2"/>
    </row>
    <row r="348">
      <c r="P348" s="2"/>
    </row>
    <row r="349">
      <c r="P349" s="2"/>
    </row>
    <row r="350">
      <c r="P350" s="2"/>
    </row>
    <row r="351">
      <c r="P351" s="2"/>
    </row>
    <row r="352">
      <c r="P352" s="2"/>
    </row>
    <row r="353">
      <c r="P353" s="2"/>
    </row>
    <row r="354">
      <c r="P354" s="2"/>
    </row>
    <row r="355">
      <c r="P355" s="2"/>
    </row>
    <row r="356">
      <c r="P356" s="2"/>
    </row>
    <row r="357">
      <c r="P357" s="2"/>
    </row>
    <row r="358">
      <c r="P358" s="2"/>
    </row>
    <row r="359">
      <c r="P359" s="2"/>
    </row>
    <row r="360">
      <c r="P360" s="2"/>
    </row>
    <row r="361">
      <c r="P361" s="2"/>
    </row>
    <row r="362">
      <c r="P362" s="2"/>
    </row>
    <row r="363">
      <c r="P363" s="2"/>
    </row>
    <row r="364">
      <c r="P364" s="2"/>
    </row>
    <row r="365">
      <c r="P365" s="2"/>
    </row>
    <row r="366">
      <c r="P366" s="2"/>
    </row>
    <row r="367">
      <c r="P367" s="2"/>
    </row>
    <row r="368">
      <c r="P368" s="2"/>
    </row>
    <row r="369">
      <c r="P369" s="2"/>
    </row>
    <row r="370">
      <c r="P370" s="2"/>
    </row>
    <row r="371">
      <c r="P371" s="2"/>
    </row>
    <row r="372">
      <c r="P372" s="2"/>
    </row>
    <row r="373">
      <c r="P373" s="2"/>
    </row>
    <row r="374">
      <c r="P374" s="2"/>
    </row>
    <row r="375">
      <c r="P375" s="2"/>
    </row>
    <row r="376">
      <c r="P376" s="2"/>
    </row>
    <row r="377">
      <c r="P377" s="2"/>
    </row>
    <row r="378">
      <c r="P378" s="2"/>
    </row>
    <row r="379">
      <c r="P379" s="2"/>
    </row>
    <row r="380">
      <c r="P380" s="2"/>
    </row>
    <row r="381">
      <c r="P381" s="2"/>
    </row>
    <row r="382">
      <c r="P382" s="2"/>
    </row>
    <row r="383">
      <c r="P383" s="2"/>
    </row>
    <row r="384">
      <c r="P384" s="2"/>
    </row>
    <row r="385">
      <c r="P385" s="2"/>
    </row>
    <row r="386">
      <c r="P386" s="2"/>
    </row>
    <row r="387">
      <c r="P387" s="2"/>
    </row>
    <row r="388">
      <c r="P388" s="2"/>
    </row>
    <row r="389">
      <c r="P389" s="2"/>
    </row>
    <row r="390">
      <c r="P390" s="2"/>
    </row>
    <row r="391">
      <c r="P391" s="2"/>
    </row>
    <row r="392">
      <c r="P392" s="2"/>
    </row>
    <row r="393">
      <c r="P393" s="2"/>
    </row>
    <row r="394">
      <c r="P394" s="2"/>
    </row>
    <row r="395">
      <c r="P395" s="2"/>
    </row>
    <row r="396">
      <c r="P396" s="2"/>
    </row>
    <row r="397">
      <c r="P397" s="2"/>
    </row>
    <row r="398">
      <c r="P398" s="2"/>
    </row>
    <row r="399">
      <c r="P399" s="2"/>
    </row>
    <row r="400">
      <c r="P400" s="2"/>
    </row>
    <row r="401">
      <c r="P401" s="2"/>
    </row>
    <row r="402">
      <c r="P402" s="2"/>
    </row>
    <row r="403">
      <c r="P403" s="2"/>
    </row>
    <row r="404">
      <c r="P404" s="2"/>
    </row>
    <row r="405">
      <c r="P405" s="2"/>
    </row>
    <row r="406">
      <c r="P406" s="2"/>
    </row>
    <row r="407">
      <c r="P407" s="2"/>
    </row>
    <row r="408">
      <c r="P408" s="2"/>
    </row>
    <row r="409">
      <c r="P409" s="2"/>
    </row>
    <row r="410">
      <c r="P410" s="2"/>
    </row>
    <row r="411">
      <c r="P411" s="2"/>
    </row>
    <row r="412">
      <c r="P412" s="2"/>
    </row>
    <row r="413">
      <c r="P413" s="2"/>
    </row>
    <row r="414">
      <c r="P414" s="2"/>
    </row>
    <row r="415">
      <c r="P415" s="2"/>
    </row>
    <row r="416">
      <c r="P416" s="2"/>
    </row>
    <row r="417">
      <c r="P417" s="2"/>
    </row>
    <row r="418">
      <c r="P418" s="2"/>
    </row>
    <row r="419">
      <c r="P419" s="2"/>
    </row>
    <row r="420">
      <c r="P420" s="2"/>
    </row>
    <row r="421">
      <c r="P421" s="2"/>
    </row>
    <row r="422">
      <c r="P422" s="2"/>
    </row>
    <row r="423">
      <c r="P423" s="2"/>
    </row>
    <row r="424">
      <c r="P424" s="2"/>
    </row>
    <row r="425">
      <c r="P425" s="2"/>
    </row>
    <row r="426">
      <c r="P426" s="2"/>
    </row>
    <row r="427">
      <c r="P427" s="2"/>
    </row>
    <row r="428">
      <c r="P428" s="2"/>
    </row>
    <row r="429">
      <c r="P429" s="2"/>
    </row>
    <row r="430">
      <c r="P430" s="2"/>
    </row>
    <row r="431">
      <c r="P431" s="2"/>
    </row>
    <row r="432">
      <c r="P432" s="2"/>
    </row>
    <row r="433">
      <c r="P433" s="2"/>
    </row>
    <row r="434">
      <c r="P434" s="2"/>
    </row>
    <row r="435">
      <c r="P435" s="2"/>
    </row>
    <row r="436">
      <c r="P436" s="2"/>
    </row>
    <row r="437">
      <c r="P437" s="2"/>
    </row>
    <row r="438">
      <c r="P438" s="2"/>
    </row>
    <row r="439">
      <c r="P439" s="2"/>
    </row>
    <row r="440">
      <c r="P440" s="2"/>
    </row>
    <row r="441">
      <c r="P441" s="2"/>
    </row>
    <row r="442">
      <c r="P442" s="2"/>
    </row>
    <row r="443">
      <c r="P443" s="2"/>
    </row>
    <row r="444">
      <c r="P444" s="2"/>
    </row>
    <row r="445">
      <c r="P445" s="2"/>
    </row>
    <row r="446">
      <c r="P446" s="2"/>
    </row>
    <row r="447">
      <c r="P447" s="2"/>
    </row>
    <row r="448">
      <c r="P448" s="2"/>
    </row>
    <row r="449">
      <c r="P449" s="2"/>
    </row>
    <row r="450">
      <c r="P450" s="2"/>
    </row>
    <row r="451">
      <c r="P451" s="2"/>
    </row>
    <row r="452">
      <c r="P452" s="2"/>
    </row>
    <row r="453">
      <c r="P453" s="2"/>
    </row>
    <row r="454">
      <c r="P454" s="2"/>
    </row>
    <row r="455">
      <c r="P455" s="2"/>
    </row>
    <row r="456">
      <c r="P456" s="2"/>
    </row>
    <row r="457">
      <c r="P457" s="2"/>
    </row>
    <row r="458">
      <c r="P458" s="2"/>
    </row>
    <row r="459">
      <c r="P459" s="2"/>
    </row>
    <row r="460">
      <c r="P460" s="2"/>
    </row>
    <row r="461">
      <c r="P461" s="2"/>
    </row>
    <row r="462">
      <c r="P462" s="2"/>
    </row>
    <row r="463">
      <c r="P463" s="2"/>
    </row>
    <row r="464">
      <c r="P464" s="2"/>
    </row>
    <row r="465">
      <c r="P465" s="2"/>
    </row>
    <row r="466">
      <c r="P466" s="2"/>
    </row>
    <row r="467">
      <c r="P467" s="2"/>
    </row>
    <row r="468">
      <c r="P468" s="2"/>
    </row>
    <row r="469">
      <c r="P469" s="2"/>
    </row>
    <row r="470">
      <c r="P470" s="2"/>
    </row>
    <row r="471">
      <c r="P471" s="2"/>
    </row>
    <row r="472">
      <c r="P472" s="2"/>
    </row>
    <row r="473">
      <c r="P473" s="2"/>
    </row>
    <row r="474">
      <c r="P474" s="2"/>
    </row>
    <row r="475">
      <c r="P475" s="2"/>
    </row>
    <row r="476">
      <c r="P476" s="2"/>
    </row>
    <row r="477">
      <c r="P477" s="2"/>
    </row>
    <row r="478">
      <c r="P478" s="2"/>
    </row>
    <row r="479">
      <c r="P479" s="2"/>
    </row>
    <row r="480">
      <c r="P480" s="2"/>
    </row>
    <row r="481">
      <c r="P481" s="2"/>
    </row>
    <row r="482">
      <c r="P482" s="2"/>
    </row>
    <row r="483">
      <c r="P483" s="2"/>
    </row>
    <row r="484">
      <c r="P484" s="2"/>
    </row>
    <row r="485">
      <c r="P485" s="2"/>
    </row>
    <row r="486">
      <c r="P486" s="2"/>
    </row>
    <row r="487">
      <c r="P487" s="2"/>
    </row>
    <row r="488">
      <c r="P488" s="2"/>
    </row>
    <row r="489">
      <c r="P489" s="2"/>
    </row>
    <row r="490">
      <c r="P490" s="2"/>
    </row>
    <row r="491">
      <c r="P491" s="2"/>
    </row>
    <row r="492">
      <c r="P492" s="2"/>
    </row>
    <row r="493">
      <c r="P493" s="2"/>
    </row>
    <row r="494">
      <c r="P494" s="2"/>
    </row>
    <row r="495">
      <c r="P495" s="2"/>
    </row>
    <row r="496">
      <c r="P496" s="2"/>
    </row>
    <row r="497">
      <c r="P497" s="2"/>
    </row>
    <row r="498">
      <c r="P498" s="2"/>
    </row>
    <row r="499">
      <c r="P499" s="2"/>
    </row>
    <row r="500">
      <c r="P500" s="2"/>
    </row>
    <row r="501">
      <c r="P501" s="2"/>
    </row>
    <row r="502">
      <c r="P502" s="2"/>
    </row>
    <row r="503">
      <c r="P503" s="2"/>
    </row>
    <row r="504">
      <c r="P504" s="2"/>
    </row>
    <row r="505">
      <c r="P505" s="2"/>
    </row>
    <row r="506">
      <c r="P506" s="2"/>
    </row>
    <row r="507">
      <c r="P507" s="2"/>
    </row>
    <row r="508">
      <c r="P508" s="2"/>
    </row>
    <row r="509">
      <c r="P509" s="2"/>
    </row>
    <row r="510">
      <c r="P510" s="2"/>
    </row>
    <row r="511">
      <c r="P511" s="2"/>
    </row>
    <row r="512">
      <c r="P512" s="2"/>
    </row>
    <row r="513">
      <c r="P513" s="2"/>
    </row>
    <row r="514">
      <c r="P514" s="2"/>
    </row>
    <row r="515">
      <c r="P515" s="2"/>
    </row>
    <row r="516">
      <c r="P516" s="2"/>
    </row>
    <row r="517">
      <c r="P517" s="2"/>
    </row>
    <row r="518">
      <c r="P518" s="2"/>
    </row>
    <row r="519">
      <c r="P519" s="2"/>
    </row>
    <row r="520">
      <c r="P520" s="2"/>
    </row>
    <row r="521">
      <c r="P521" s="2"/>
    </row>
    <row r="522">
      <c r="P522" s="2"/>
    </row>
    <row r="523">
      <c r="P523" s="2"/>
    </row>
    <row r="524">
      <c r="P524" s="2"/>
    </row>
    <row r="525">
      <c r="P525" s="2"/>
    </row>
    <row r="526">
      <c r="P526" s="2"/>
    </row>
    <row r="527">
      <c r="P527" s="2"/>
    </row>
    <row r="528">
      <c r="P528" s="2"/>
    </row>
    <row r="529">
      <c r="P529" s="2"/>
    </row>
    <row r="530">
      <c r="P530" s="2"/>
    </row>
    <row r="531">
      <c r="P531" s="2"/>
    </row>
    <row r="532">
      <c r="P532" s="2"/>
    </row>
    <row r="533">
      <c r="P533" s="2"/>
    </row>
    <row r="534">
      <c r="P534" s="2"/>
    </row>
    <row r="535">
      <c r="P535" s="2"/>
    </row>
    <row r="536">
      <c r="P536" s="2"/>
    </row>
    <row r="537">
      <c r="P537" s="2"/>
    </row>
    <row r="538">
      <c r="P538" s="2"/>
    </row>
    <row r="539">
      <c r="P539" s="2"/>
    </row>
    <row r="540">
      <c r="P540" s="2"/>
    </row>
    <row r="541">
      <c r="P541" s="2"/>
    </row>
    <row r="542">
      <c r="P542" s="2"/>
    </row>
    <row r="543">
      <c r="P543" s="2"/>
    </row>
    <row r="544">
      <c r="P544" s="2"/>
    </row>
    <row r="545">
      <c r="P545" s="2"/>
    </row>
    <row r="546">
      <c r="P546" s="2"/>
    </row>
    <row r="547">
      <c r="P547" s="2"/>
    </row>
    <row r="548">
      <c r="P548" s="2"/>
    </row>
    <row r="549">
      <c r="P549" s="2"/>
    </row>
    <row r="550">
      <c r="P550" s="2"/>
    </row>
    <row r="551">
      <c r="P551" s="2"/>
    </row>
    <row r="552">
      <c r="P552" s="2"/>
    </row>
    <row r="553">
      <c r="P553" s="2"/>
    </row>
    <row r="554">
      <c r="P554" s="2"/>
    </row>
    <row r="555">
      <c r="P555" s="2"/>
    </row>
    <row r="556">
      <c r="P556" s="2"/>
    </row>
    <row r="557">
      <c r="P557" s="2"/>
    </row>
    <row r="558">
      <c r="P558" s="2"/>
    </row>
    <row r="559">
      <c r="P559" s="2"/>
    </row>
    <row r="560">
      <c r="P560" s="2"/>
    </row>
    <row r="561">
      <c r="P561" s="2"/>
    </row>
    <row r="562">
      <c r="P562" s="2"/>
    </row>
    <row r="563">
      <c r="P563" s="2"/>
    </row>
    <row r="564">
      <c r="P564" s="2"/>
    </row>
    <row r="565">
      <c r="P565" s="2"/>
    </row>
    <row r="566">
      <c r="P566" s="2"/>
    </row>
    <row r="567">
      <c r="P567" s="2"/>
    </row>
    <row r="568">
      <c r="P568" s="2"/>
    </row>
    <row r="569">
      <c r="P569" s="2"/>
    </row>
    <row r="570">
      <c r="P570" s="2"/>
    </row>
    <row r="571">
      <c r="P571" s="2"/>
    </row>
    <row r="572">
      <c r="P572" s="2"/>
    </row>
    <row r="573">
      <c r="P573" s="2"/>
    </row>
    <row r="574">
      <c r="P574" s="2"/>
    </row>
    <row r="575">
      <c r="P575" s="2"/>
    </row>
    <row r="576">
      <c r="P576" s="2"/>
    </row>
    <row r="577">
      <c r="P577" s="2"/>
    </row>
    <row r="578">
      <c r="P578" s="2"/>
    </row>
    <row r="579">
      <c r="P579" s="2"/>
    </row>
    <row r="580">
      <c r="P580" s="2"/>
    </row>
    <row r="581">
      <c r="P581" s="2"/>
    </row>
    <row r="582">
      <c r="P582" s="2"/>
    </row>
    <row r="583">
      <c r="P583" s="2"/>
    </row>
    <row r="584">
      <c r="P584" s="2"/>
    </row>
    <row r="585">
      <c r="P585" s="2"/>
    </row>
    <row r="586">
      <c r="P586" s="2"/>
    </row>
    <row r="587">
      <c r="P587" s="2"/>
    </row>
    <row r="588">
      <c r="P588" s="2"/>
    </row>
    <row r="589">
      <c r="P589" s="2"/>
    </row>
    <row r="590">
      <c r="P590" s="2"/>
    </row>
    <row r="591">
      <c r="P591" s="2"/>
    </row>
    <row r="592">
      <c r="P592" s="2"/>
    </row>
    <row r="593">
      <c r="P593" s="2"/>
    </row>
    <row r="594">
      <c r="P594" s="2"/>
    </row>
    <row r="595">
      <c r="P595" s="2"/>
    </row>
    <row r="596">
      <c r="P596" s="2"/>
    </row>
    <row r="597">
      <c r="P597" s="2"/>
    </row>
    <row r="598">
      <c r="P598" s="2"/>
    </row>
    <row r="599">
      <c r="P599" s="2"/>
    </row>
    <row r="600">
      <c r="P600" s="2"/>
    </row>
    <row r="601">
      <c r="P601" s="2"/>
    </row>
    <row r="602">
      <c r="P602" s="2"/>
    </row>
    <row r="603">
      <c r="P603" s="2"/>
    </row>
    <row r="604">
      <c r="P604" s="2"/>
    </row>
    <row r="605">
      <c r="P605" s="2"/>
    </row>
    <row r="606">
      <c r="P606" s="2"/>
    </row>
    <row r="607">
      <c r="P607" s="2"/>
    </row>
    <row r="608">
      <c r="P608" s="2"/>
    </row>
    <row r="609">
      <c r="P609" s="2"/>
    </row>
    <row r="610">
      <c r="P610" s="2"/>
    </row>
    <row r="611">
      <c r="P611" s="2"/>
    </row>
    <row r="612">
      <c r="P612" s="2"/>
    </row>
    <row r="613">
      <c r="P613" s="2"/>
    </row>
    <row r="614">
      <c r="P614" s="2"/>
    </row>
    <row r="615">
      <c r="P615" s="2"/>
    </row>
    <row r="616">
      <c r="P616" s="2"/>
    </row>
    <row r="617">
      <c r="P617" s="2"/>
    </row>
    <row r="618">
      <c r="P618" s="2"/>
    </row>
    <row r="619">
      <c r="P619" s="2"/>
    </row>
    <row r="620">
      <c r="P620" s="2"/>
    </row>
    <row r="621">
      <c r="P621" s="2"/>
    </row>
    <row r="622">
      <c r="P622" s="2"/>
    </row>
    <row r="623">
      <c r="P623" s="2"/>
    </row>
    <row r="624">
      <c r="P624" s="2"/>
    </row>
    <row r="625">
      <c r="P625" s="2"/>
    </row>
    <row r="626">
      <c r="P626" s="2"/>
    </row>
    <row r="627">
      <c r="P627" s="2"/>
    </row>
    <row r="628">
      <c r="P628" s="2"/>
    </row>
    <row r="629">
      <c r="P629" s="2"/>
    </row>
    <row r="630">
      <c r="P630" s="2"/>
    </row>
    <row r="631">
      <c r="P631" s="2"/>
    </row>
    <row r="632">
      <c r="P632" s="2"/>
    </row>
    <row r="633">
      <c r="P633" s="2"/>
    </row>
    <row r="634">
      <c r="P634" s="2"/>
    </row>
    <row r="635">
      <c r="P635" s="2"/>
    </row>
    <row r="636">
      <c r="P636" s="2"/>
    </row>
    <row r="637">
      <c r="P637" s="2"/>
    </row>
    <row r="638">
      <c r="P638" s="2"/>
    </row>
    <row r="639">
      <c r="P639" s="2"/>
    </row>
    <row r="640">
      <c r="P640" s="2"/>
    </row>
    <row r="641">
      <c r="P641" s="2"/>
    </row>
    <row r="642">
      <c r="P642" s="2"/>
    </row>
    <row r="643">
      <c r="P643" s="2"/>
    </row>
    <row r="644">
      <c r="P644" s="2"/>
    </row>
    <row r="645">
      <c r="P645" s="2"/>
    </row>
    <row r="646">
      <c r="P646" s="2"/>
    </row>
    <row r="647">
      <c r="P647" s="2"/>
    </row>
    <row r="648">
      <c r="P648" s="2"/>
    </row>
    <row r="649">
      <c r="P649" s="2"/>
    </row>
    <row r="650">
      <c r="P650" s="2"/>
    </row>
    <row r="651">
      <c r="P651" s="2"/>
    </row>
    <row r="652">
      <c r="P652" s="2"/>
    </row>
    <row r="653">
      <c r="P653" s="2"/>
    </row>
    <row r="654">
      <c r="P654" s="2"/>
    </row>
    <row r="655">
      <c r="P655" s="2"/>
    </row>
    <row r="656">
      <c r="P656" s="2"/>
    </row>
    <row r="657">
      <c r="P657" s="2"/>
    </row>
    <row r="658">
      <c r="P658" s="2"/>
    </row>
    <row r="659">
      <c r="P659" s="2"/>
    </row>
    <row r="660">
      <c r="P660" s="2"/>
    </row>
    <row r="661">
      <c r="P661" s="2"/>
    </row>
    <row r="662">
      <c r="P662" s="2"/>
    </row>
    <row r="663">
      <c r="P663" s="2"/>
    </row>
    <row r="664">
      <c r="P664" s="2"/>
    </row>
    <row r="665">
      <c r="P665" s="2"/>
    </row>
    <row r="666">
      <c r="P666" s="2"/>
    </row>
    <row r="667">
      <c r="P667" s="2"/>
    </row>
    <row r="668">
      <c r="P668" s="2"/>
    </row>
    <row r="669">
      <c r="P669" s="2"/>
    </row>
    <row r="670">
      <c r="P670" s="2"/>
    </row>
    <row r="671">
      <c r="P671" s="2"/>
    </row>
    <row r="672">
      <c r="P672" s="2"/>
    </row>
    <row r="673">
      <c r="P673" s="2"/>
    </row>
    <row r="674">
      <c r="P674" s="2"/>
    </row>
    <row r="675">
      <c r="P675" s="2"/>
    </row>
    <row r="676">
      <c r="P676" s="2"/>
    </row>
    <row r="677">
      <c r="P677" s="2"/>
    </row>
    <row r="678">
      <c r="P678" s="2"/>
    </row>
    <row r="679">
      <c r="P679" s="2"/>
    </row>
    <row r="680">
      <c r="P680" s="2"/>
    </row>
    <row r="681">
      <c r="P681" s="2"/>
    </row>
    <row r="682">
      <c r="P682" s="2"/>
    </row>
    <row r="683">
      <c r="P683" s="2"/>
    </row>
    <row r="684">
      <c r="P684" s="2"/>
    </row>
    <row r="685">
      <c r="P685" s="2"/>
    </row>
    <row r="686">
      <c r="P686" s="2"/>
    </row>
    <row r="687">
      <c r="P687" s="2"/>
    </row>
    <row r="688">
      <c r="P688" s="2"/>
    </row>
    <row r="689">
      <c r="P689" s="2"/>
    </row>
    <row r="690">
      <c r="P690" s="2"/>
    </row>
    <row r="691">
      <c r="P691" s="2"/>
    </row>
    <row r="692">
      <c r="P692" s="2"/>
    </row>
    <row r="693">
      <c r="P693" s="2"/>
    </row>
    <row r="694">
      <c r="P694" s="2"/>
    </row>
    <row r="695">
      <c r="P695" s="2"/>
    </row>
    <row r="696">
      <c r="P696" s="2"/>
    </row>
    <row r="697">
      <c r="P697" s="2"/>
    </row>
    <row r="698">
      <c r="P698" s="2"/>
    </row>
    <row r="699">
      <c r="P699" s="2"/>
    </row>
    <row r="700">
      <c r="P700" s="2"/>
    </row>
    <row r="701">
      <c r="P701" s="2"/>
    </row>
    <row r="702">
      <c r="P702" s="2"/>
    </row>
    <row r="703">
      <c r="P703" s="2"/>
    </row>
    <row r="704">
      <c r="P704" s="2"/>
    </row>
    <row r="705">
      <c r="P705" s="2"/>
    </row>
    <row r="706">
      <c r="P706" s="2"/>
    </row>
    <row r="707">
      <c r="P707" s="2"/>
    </row>
    <row r="708">
      <c r="P708" s="2"/>
    </row>
    <row r="709">
      <c r="P709" s="2"/>
    </row>
    <row r="710">
      <c r="P710" s="2"/>
    </row>
    <row r="711">
      <c r="P711" s="2"/>
    </row>
    <row r="712">
      <c r="P712" s="2"/>
    </row>
    <row r="713">
      <c r="P713" s="2"/>
    </row>
    <row r="714">
      <c r="P714" s="2"/>
    </row>
    <row r="715">
      <c r="P715" s="2"/>
    </row>
    <row r="716">
      <c r="P716" s="2"/>
    </row>
    <row r="717">
      <c r="P717" s="2"/>
    </row>
    <row r="718">
      <c r="P718" s="2"/>
    </row>
    <row r="719">
      <c r="P719" s="2"/>
    </row>
    <row r="720">
      <c r="P720" s="2"/>
    </row>
    <row r="721">
      <c r="P721" s="2"/>
    </row>
    <row r="722">
      <c r="P722" s="2"/>
    </row>
    <row r="723">
      <c r="P723" s="2"/>
    </row>
    <row r="724">
      <c r="P724" s="2"/>
    </row>
    <row r="725">
      <c r="P725" s="2"/>
    </row>
    <row r="726">
      <c r="P726" s="2"/>
    </row>
    <row r="727">
      <c r="P727" s="2"/>
    </row>
    <row r="728">
      <c r="P728" s="2"/>
    </row>
    <row r="729">
      <c r="P729" s="2"/>
    </row>
    <row r="730">
      <c r="P730" s="2"/>
    </row>
    <row r="731">
      <c r="P731" s="2"/>
    </row>
    <row r="732">
      <c r="P732" s="2"/>
    </row>
    <row r="733">
      <c r="P733" s="2"/>
    </row>
    <row r="734">
      <c r="P734" s="2"/>
    </row>
    <row r="735">
      <c r="P735" s="2"/>
    </row>
    <row r="736">
      <c r="P736" s="2"/>
    </row>
    <row r="737">
      <c r="P737" s="2"/>
    </row>
    <row r="738">
      <c r="P738" s="2"/>
    </row>
    <row r="739">
      <c r="P739" s="2"/>
    </row>
    <row r="740">
      <c r="P740" s="2"/>
    </row>
    <row r="741">
      <c r="P741" s="2"/>
    </row>
    <row r="742">
      <c r="P742" s="2"/>
    </row>
    <row r="743">
      <c r="P743" s="2"/>
    </row>
    <row r="744">
      <c r="P744" s="2"/>
    </row>
    <row r="745">
      <c r="P745" s="2"/>
    </row>
    <row r="746">
      <c r="P746" s="2"/>
    </row>
    <row r="747">
      <c r="P747" s="2"/>
    </row>
    <row r="748">
      <c r="P748" s="2"/>
    </row>
    <row r="749">
      <c r="P749" s="2"/>
    </row>
    <row r="750">
      <c r="P750" s="2"/>
    </row>
    <row r="751">
      <c r="P751" s="2"/>
    </row>
    <row r="752">
      <c r="P752" s="2"/>
    </row>
    <row r="753">
      <c r="P753" s="2"/>
    </row>
    <row r="754">
      <c r="P754" s="2"/>
    </row>
    <row r="755">
      <c r="P755" s="2"/>
    </row>
    <row r="756">
      <c r="P756" s="2"/>
    </row>
    <row r="757">
      <c r="P757" s="2"/>
    </row>
    <row r="758">
      <c r="P758" s="2"/>
    </row>
    <row r="759">
      <c r="P759" s="2"/>
    </row>
    <row r="760">
      <c r="P760" s="2"/>
    </row>
    <row r="761">
      <c r="P761" s="2"/>
    </row>
    <row r="762">
      <c r="P762" s="2"/>
    </row>
    <row r="763">
      <c r="P763" s="2"/>
    </row>
    <row r="764">
      <c r="P764" s="2"/>
    </row>
    <row r="765">
      <c r="P765" s="2"/>
    </row>
    <row r="766">
      <c r="P766" s="2"/>
    </row>
    <row r="767">
      <c r="P767" s="2"/>
    </row>
    <row r="768">
      <c r="P768" s="2"/>
    </row>
    <row r="769">
      <c r="P769" s="2"/>
    </row>
    <row r="770">
      <c r="P770" s="2"/>
    </row>
    <row r="771">
      <c r="P771" s="2"/>
    </row>
    <row r="772">
      <c r="P772" s="2"/>
    </row>
    <row r="773">
      <c r="P773" s="2"/>
    </row>
    <row r="774">
      <c r="P774" s="2"/>
    </row>
    <row r="775">
      <c r="P775" s="2"/>
    </row>
    <row r="776">
      <c r="P776" s="2"/>
    </row>
    <row r="777">
      <c r="P777" s="2"/>
    </row>
    <row r="778">
      <c r="P778" s="2"/>
    </row>
    <row r="779">
      <c r="P779" s="2"/>
    </row>
    <row r="780">
      <c r="P780" s="2"/>
    </row>
    <row r="781">
      <c r="P781" s="2"/>
    </row>
    <row r="782">
      <c r="P782" s="2"/>
    </row>
    <row r="783">
      <c r="P783" s="2"/>
    </row>
    <row r="784">
      <c r="P784" s="2"/>
    </row>
    <row r="785">
      <c r="P785" s="2"/>
    </row>
    <row r="786">
      <c r="P786" s="2"/>
    </row>
    <row r="787">
      <c r="P787" s="2"/>
    </row>
    <row r="788">
      <c r="P788" s="2"/>
    </row>
    <row r="789">
      <c r="P789" s="2"/>
    </row>
    <row r="790">
      <c r="P790" s="2"/>
    </row>
    <row r="791">
      <c r="P791" s="2"/>
    </row>
    <row r="792">
      <c r="P792" s="2"/>
    </row>
    <row r="793">
      <c r="P793" s="2"/>
    </row>
    <row r="794">
      <c r="P794" s="2"/>
    </row>
    <row r="795">
      <c r="P795" s="2"/>
    </row>
    <row r="796">
      <c r="P796" s="2"/>
    </row>
    <row r="797">
      <c r="P797" s="2"/>
    </row>
    <row r="798">
      <c r="P798" s="2"/>
    </row>
    <row r="799">
      <c r="P799" s="2"/>
    </row>
    <row r="800">
      <c r="P800" s="2"/>
    </row>
    <row r="801">
      <c r="P801" s="2"/>
    </row>
    <row r="802">
      <c r="P802" s="2"/>
    </row>
    <row r="803">
      <c r="P803" s="2"/>
    </row>
    <row r="804">
      <c r="P804" s="2"/>
    </row>
    <row r="805">
      <c r="P805" s="2"/>
    </row>
    <row r="806">
      <c r="P806" s="2"/>
    </row>
    <row r="807">
      <c r="P807" s="2"/>
    </row>
    <row r="808">
      <c r="P808" s="2"/>
    </row>
    <row r="809">
      <c r="P809" s="2"/>
    </row>
    <row r="810">
      <c r="P810" s="2"/>
    </row>
    <row r="811">
      <c r="P811" s="2"/>
    </row>
    <row r="812">
      <c r="P812" s="2"/>
    </row>
    <row r="813">
      <c r="P813" s="2"/>
    </row>
    <row r="814">
      <c r="P814" s="2"/>
    </row>
    <row r="815">
      <c r="P815" s="2"/>
    </row>
    <row r="816">
      <c r="P816" s="2"/>
    </row>
    <row r="817">
      <c r="P817" s="2"/>
    </row>
    <row r="818">
      <c r="P818" s="2"/>
    </row>
    <row r="819">
      <c r="P819" s="2"/>
    </row>
    <row r="820">
      <c r="P820" s="2"/>
    </row>
    <row r="821">
      <c r="P821" s="2"/>
    </row>
    <row r="822">
      <c r="P822" s="2"/>
    </row>
    <row r="823">
      <c r="P823" s="2"/>
    </row>
    <row r="824">
      <c r="P824" s="2"/>
    </row>
    <row r="825">
      <c r="P825" s="2"/>
    </row>
    <row r="826">
      <c r="P826" s="2"/>
    </row>
    <row r="827">
      <c r="P827" s="2"/>
    </row>
    <row r="828">
      <c r="P828" s="2"/>
    </row>
    <row r="829">
      <c r="P829" s="2"/>
    </row>
    <row r="830">
      <c r="P830" s="2"/>
    </row>
    <row r="831">
      <c r="P831" s="2"/>
    </row>
    <row r="832">
      <c r="P832" s="2"/>
    </row>
    <row r="833">
      <c r="P833" s="2"/>
    </row>
    <row r="834">
      <c r="P834" s="2"/>
    </row>
    <row r="835">
      <c r="P835" s="2"/>
    </row>
    <row r="836">
      <c r="P836" s="2"/>
    </row>
    <row r="837">
      <c r="P837" s="2"/>
    </row>
    <row r="838">
      <c r="P838" s="2"/>
    </row>
    <row r="839">
      <c r="P839" s="2"/>
    </row>
    <row r="840">
      <c r="P840" s="2"/>
    </row>
    <row r="841">
      <c r="P841" s="2"/>
    </row>
    <row r="842">
      <c r="P842" s="2"/>
    </row>
    <row r="843">
      <c r="P843" s="2"/>
    </row>
    <row r="844">
      <c r="P844" s="2"/>
    </row>
    <row r="845">
      <c r="P845" s="2"/>
    </row>
    <row r="846">
      <c r="P846" s="2"/>
    </row>
    <row r="847">
      <c r="P847" s="2"/>
    </row>
    <row r="848">
      <c r="P848" s="2"/>
    </row>
    <row r="849">
      <c r="P849" s="2"/>
    </row>
    <row r="850">
      <c r="P850" s="2"/>
    </row>
    <row r="851">
      <c r="P851" s="2"/>
    </row>
    <row r="852">
      <c r="P852" s="2"/>
    </row>
    <row r="853">
      <c r="P853" s="2"/>
    </row>
    <row r="854">
      <c r="P854" s="2"/>
    </row>
    <row r="855">
      <c r="P855" s="2"/>
    </row>
    <row r="856">
      <c r="P856" s="2"/>
    </row>
    <row r="857">
      <c r="P857" s="2"/>
    </row>
    <row r="858">
      <c r="P858" s="2"/>
    </row>
    <row r="859">
      <c r="P859" s="2"/>
    </row>
    <row r="860">
      <c r="P860" s="2"/>
    </row>
    <row r="861">
      <c r="P861" s="2"/>
    </row>
    <row r="862">
      <c r="P862" s="2"/>
    </row>
    <row r="863">
      <c r="P863" s="2"/>
    </row>
    <row r="864">
      <c r="P864" s="2"/>
    </row>
    <row r="865">
      <c r="P865" s="2"/>
    </row>
    <row r="866">
      <c r="P866" s="2"/>
    </row>
    <row r="867">
      <c r="P867" s="2"/>
    </row>
    <row r="868">
      <c r="P868" s="2"/>
    </row>
    <row r="869">
      <c r="P869" s="2"/>
    </row>
    <row r="870">
      <c r="P870" s="2"/>
    </row>
    <row r="871">
      <c r="P871" s="2"/>
    </row>
    <row r="872">
      <c r="P872" s="2"/>
    </row>
    <row r="873">
      <c r="P873" s="2"/>
    </row>
    <row r="874">
      <c r="P874" s="2"/>
    </row>
    <row r="875">
      <c r="P875" s="2"/>
    </row>
    <row r="876">
      <c r="P876" s="2"/>
    </row>
    <row r="877">
      <c r="P877" s="2"/>
    </row>
    <row r="878">
      <c r="P878" s="2"/>
    </row>
    <row r="879">
      <c r="P879" s="2"/>
    </row>
    <row r="880">
      <c r="P880" s="2"/>
    </row>
    <row r="881">
      <c r="P881" s="2"/>
    </row>
    <row r="882">
      <c r="P882" s="2"/>
    </row>
    <row r="883">
      <c r="P883" s="2"/>
    </row>
    <row r="884">
      <c r="P884" s="2"/>
    </row>
    <row r="885">
      <c r="P885" s="2"/>
    </row>
    <row r="886">
      <c r="P886" s="2"/>
    </row>
    <row r="887">
      <c r="P887" s="2"/>
    </row>
    <row r="888">
      <c r="P888" s="2"/>
    </row>
    <row r="889">
      <c r="P889" s="2"/>
    </row>
    <row r="890">
      <c r="P890" s="2"/>
    </row>
    <row r="891">
      <c r="P891" s="2"/>
    </row>
    <row r="892">
      <c r="P892" s="2"/>
    </row>
    <row r="893">
      <c r="P893" s="2"/>
    </row>
    <row r="894">
      <c r="P894" s="2"/>
    </row>
    <row r="895">
      <c r="P895" s="2"/>
    </row>
    <row r="896">
      <c r="P896" s="2"/>
    </row>
    <row r="897">
      <c r="P897" s="2"/>
    </row>
    <row r="898">
      <c r="P898" s="2"/>
    </row>
    <row r="899">
      <c r="P899" s="2"/>
    </row>
    <row r="900">
      <c r="P900" s="2"/>
    </row>
    <row r="901">
      <c r="P901" s="2"/>
    </row>
    <row r="902">
      <c r="P902" s="2"/>
    </row>
    <row r="903">
      <c r="P903" s="2"/>
    </row>
    <row r="904">
      <c r="P904" s="2"/>
    </row>
    <row r="905">
      <c r="P905" s="2"/>
    </row>
    <row r="906">
      <c r="P906" s="2"/>
    </row>
    <row r="907">
      <c r="P907" s="2"/>
    </row>
    <row r="908">
      <c r="P908" s="2"/>
    </row>
    <row r="909">
      <c r="P909" s="2"/>
    </row>
    <row r="910">
      <c r="P910" s="2"/>
    </row>
    <row r="911">
      <c r="P911" s="2"/>
    </row>
    <row r="912">
      <c r="P912" s="2"/>
    </row>
    <row r="913">
      <c r="P913" s="2"/>
    </row>
    <row r="914">
      <c r="P914" s="2"/>
    </row>
    <row r="915">
      <c r="P915" s="2"/>
    </row>
    <row r="916">
      <c r="P916" s="2"/>
    </row>
    <row r="917">
      <c r="P917" s="2"/>
    </row>
    <row r="918">
      <c r="P918" s="2"/>
    </row>
    <row r="919">
      <c r="P919" s="2"/>
    </row>
    <row r="920">
      <c r="P920" s="2"/>
    </row>
    <row r="921">
      <c r="P921" s="2"/>
    </row>
    <row r="922">
      <c r="P922" s="2"/>
    </row>
    <row r="923">
      <c r="P923" s="2"/>
    </row>
    <row r="924">
      <c r="P924" s="2"/>
    </row>
    <row r="925">
      <c r="P925" s="2"/>
    </row>
    <row r="926">
      <c r="P926" s="2"/>
    </row>
    <row r="927">
      <c r="P927" s="2"/>
    </row>
    <row r="928">
      <c r="P928" s="2"/>
    </row>
    <row r="929">
      <c r="P929" s="2"/>
    </row>
    <row r="930">
      <c r="P930" s="2"/>
    </row>
    <row r="931">
      <c r="P931" s="2"/>
    </row>
    <row r="932">
      <c r="P932" s="2"/>
    </row>
    <row r="933">
      <c r="P933" s="2"/>
    </row>
    <row r="934">
      <c r="P934" s="2"/>
    </row>
    <row r="935">
      <c r="P935" s="2"/>
    </row>
    <row r="936">
      <c r="P936" s="2"/>
    </row>
    <row r="937">
      <c r="P937" s="2"/>
    </row>
    <row r="938">
      <c r="P938" s="2"/>
    </row>
    <row r="939">
      <c r="P939" s="2"/>
    </row>
    <row r="940">
      <c r="P940" s="2"/>
    </row>
    <row r="941">
      <c r="P941" s="2"/>
    </row>
    <row r="942">
      <c r="P942" s="2"/>
    </row>
    <row r="943">
      <c r="P943" s="2"/>
    </row>
    <row r="944">
      <c r="P944" s="2"/>
    </row>
    <row r="945">
      <c r="P945" s="2"/>
    </row>
    <row r="946">
      <c r="P946" s="2"/>
    </row>
    <row r="947">
      <c r="P947" s="2"/>
    </row>
    <row r="948">
      <c r="P948" s="2"/>
    </row>
    <row r="949">
      <c r="P949" s="2"/>
    </row>
    <row r="950">
      <c r="P950" s="2"/>
    </row>
    <row r="951">
      <c r="P951" s="2"/>
    </row>
    <row r="952">
      <c r="P952" s="2"/>
    </row>
    <row r="953">
      <c r="P953" s="2"/>
    </row>
    <row r="954">
      <c r="P954" s="2"/>
    </row>
    <row r="955">
      <c r="P955" s="2"/>
    </row>
    <row r="956">
      <c r="P956" s="2"/>
    </row>
    <row r="957">
      <c r="P957" s="2"/>
    </row>
    <row r="958">
      <c r="P958" s="2"/>
    </row>
    <row r="959">
      <c r="P959" s="2"/>
    </row>
    <row r="960">
      <c r="P960" s="2"/>
    </row>
    <row r="961">
      <c r="P961" s="2"/>
    </row>
    <row r="962">
      <c r="P962" s="2"/>
    </row>
    <row r="963">
      <c r="P963" s="2"/>
    </row>
    <row r="964">
      <c r="P964" s="2"/>
    </row>
    <row r="965">
      <c r="P965" s="2"/>
    </row>
    <row r="966">
      <c r="P966" s="2"/>
    </row>
    <row r="967">
      <c r="P967" s="2"/>
    </row>
    <row r="968">
      <c r="P968" s="2"/>
    </row>
    <row r="969">
      <c r="P969" s="2"/>
    </row>
    <row r="970">
      <c r="P970" s="2"/>
    </row>
    <row r="971">
      <c r="P971" s="2"/>
    </row>
    <row r="972">
      <c r="P972" s="2"/>
    </row>
    <row r="973">
      <c r="P973" s="2"/>
    </row>
    <row r="974">
      <c r="P974" s="2"/>
    </row>
    <row r="975">
      <c r="P975" s="2"/>
    </row>
    <row r="976">
      <c r="P976" s="2"/>
    </row>
    <row r="977">
      <c r="P977" s="2"/>
    </row>
    <row r="978">
      <c r="P978" s="2"/>
    </row>
    <row r="979">
      <c r="P979" s="2"/>
    </row>
    <row r="980">
      <c r="P980" s="2"/>
    </row>
    <row r="981">
      <c r="P981" s="2"/>
    </row>
    <row r="982">
      <c r="P982" s="2"/>
    </row>
    <row r="983">
      <c r="P983" s="2"/>
    </row>
    <row r="984">
      <c r="P984" s="2"/>
    </row>
    <row r="985">
      <c r="P985" s="2"/>
    </row>
    <row r="986">
      <c r="P986" s="2"/>
    </row>
    <row r="987">
      <c r="P987" s="2"/>
    </row>
    <row r="988">
      <c r="P988" s="2"/>
    </row>
    <row r="989">
      <c r="P989" s="2"/>
    </row>
    <row r="990">
      <c r="P990" s="2"/>
    </row>
    <row r="991">
      <c r="P991" s="2"/>
    </row>
    <row r="992">
      <c r="P992" s="2"/>
    </row>
    <row r="993">
      <c r="P993" s="2"/>
    </row>
    <row r="994">
      <c r="P994" s="2"/>
    </row>
    <row r="995">
      <c r="P995" s="2"/>
    </row>
    <row r="996">
      <c r="P996" s="2"/>
    </row>
    <row r="997">
      <c r="P997" s="2"/>
    </row>
    <row r="998">
      <c r="P998" s="2"/>
    </row>
    <row r="999">
      <c r="P999" s="2"/>
    </row>
    <row r="1000">
      <c r="P1000" s="2"/>
    </row>
    <row r="1001">
      <c r="P1001" s="2"/>
    </row>
    <row r="1002">
      <c r="P1002" s="2"/>
    </row>
    <row r="1003">
      <c r="P1003" s="2"/>
    </row>
    <row r="1004">
      <c r="P1004" s="2"/>
    </row>
    <row r="1005">
      <c r="P1005" s="2"/>
    </row>
    <row r="1006">
      <c r="P1006" s="2"/>
    </row>
    <row r="1007">
      <c r="P1007" s="2"/>
    </row>
    <row r="1008">
      <c r="P1008" s="2"/>
    </row>
    <row r="1009">
      <c r="P1009" s="2"/>
    </row>
    <row r="1010">
      <c r="P1010" s="2"/>
    </row>
    <row r="1011">
      <c r="P1011" s="2"/>
    </row>
    <row r="1012">
      <c r="P1012" s="2"/>
    </row>
    <row r="1013">
      <c r="P1013" s="2"/>
    </row>
    <row r="1014">
      <c r="P10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4.25"/>
    <col customWidth="1" min="3" max="3" width="19.63"/>
    <col customWidth="1" min="4" max="4" width="19.88"/>
    <col customWidth="1" min="5" max="5" width="12.63"/>
    <col customWidth="1" min="6" max="6" width="19.88"/>
    <col customWidth="1" min="11" max="11" width="23.75"/>
    <col customWidth="1" min="12" max="12" width="18.5"/>
    <col customWidth="1" min="13" max="13" width="19.0"/>
    <col customWidth="1" min="14" max="14" width="23.13"/>
    <col customWidth="1" min="15" max="15" width="24.0"/>
    <col customWidth="1" min="21" max="21" width="14.0"/>
    <col customWidth="1" min="22" max="22" width="14.38"/>
    <col customWidth="1" min="25" max="25" width="16.5"/>
    <col customWidth="1" min="26" max="26" width="18.5"/>
    <col customWidth="1" min="27" max="27" width="19.0"/>
    <col customWidth="1" min="28" max="28" width="17.88"/>
    <col customWidth="1" min="29" max="29" width="13.5"/>
    <col customWidth="1" min="30" max="30" width="18.38"/>
    <col customWidth="1" min="31" max="31" width="22.88"/>
    <col customWidth="1" min="32" max="32" width="24.75"/>
    <col customWidth="1" min="33" max="33" width="25.75"/>
    <col customWidth="1" min="52" max="52" width="14.13"/>
    <col customWidth="1" min="53" max="53" width="14.5"/>
    <col customWidth="1" min="54" max="54" width="14.25"/>
    <col customWidth="1" min="55" max="55" width="14.63"/>
    <col customWidth="1" min="56" max="56" width="12.88"/>
    <col customWidth="1" min="58" max="60" width="13.0"/>
    <col customWidth="1" min="61" max="62" width="13.13"/>
    <col customWidth="1" min="64" max="65" width="12.88"/>
    <col customWidth="1" min="67" max="67" width="15.0"/>
    <col customWidth="1" min="68" max="68" width="17.38"/>
    <col customWidth="1" min="69" max="69" width="18.0"/>
    <col customWidth="1" min="70" max="70" width="17.63"/>
    <col customWidth="1" min="71" max="71" width="18.13"/>
    <col customWidth="1" min="72" max="72" width="16.38"/>
    <col customWidth="1" min="73" max="73" width="14.63"/>
    <col customWidth="1" min="74" max="75" width="16.38"/>
    <col customWidth="1" min="76" max="76" width="16.5"/>
    <col customWidth="1" min="77" max="77" width="17.75"/>
    <col customWidth="1" min="78" max="78" width="18.5"/>
    <col customWidth="1" min="79" max="79" width="17.88"/>
    <col customWidth="1" min="80" max="80" width="18.63"/>
    <col customWidth="1" min="81" max="81" width="16.88"/>
    <col customWidth="1" min="82" max="82" width="15.0"/>
    <col customWidth="1" min="83" max="83" width="16.75"/>
    <col customWidth="1" min="84" max="84" width="16.88"/>
    <col customWidth="1" min="85" max="85" width="17.13"/>
    <col customWidth="1" min="86" max="86" width="19.5"/>
    <col customWidth="1" min="87" max="87" width="19.88"/>
    <col customWidth="1" min="88" max="88" width="19.63"/>
    <col customWidth="1" min="89" max="89" width="20.0"/>
    <col customWidth="1" min="90" max="90" width="18.25"/>
    <col customWidth="1" min="91" max="91" width="16.38"/>
    <col customWidth="1" min="92" max="92" width="18.5"/>
    <col customWidth="1" min="93" max="94" width="18.38"/>
    <col customWidth="1" min="96" max="96" width="16.25"/>
    <col customWidth="1" min="97" max="97" width="18.88"/>
    <col customWidth="1" min="98" max="98" width="23.13"/>
    <col customWidth="1" min="99" max="99" width="24.0"/>
    <col customWidth="1" min="100" max="100" width="19.0"/>
    <col customWidth="1" min="101" max="101" width="18.38"/>
    <col customWidth="1" min="102" max="102" width="22.88"/>
    <col customWidth="1" min="103" max="103" width="24.75"/>
    <col customWidth="1" min="104" max="104" width="17.25"/>
    <col customWidth="1" min="106" max="106" width="16.13"/>
    <col customWidth="1" min="107" max="107" width="23.13"/>
    <col customWidth="1" min="108" max="108" width="24.0"/>
    <col customWidth="1" min="109" max="109" width="23.75"/>
    <col customWidth="1" min="110" max="110" width="21.0"/>
  </cols>
  <sheetData>
    <row r="1" ht="15.75" customHeight="1">
      <c r="A1" s="3" t="s">
        <v>202</v>
      </c>
      <c r="B1" s="3" t="s">
        <v>153</v>
      </c>
      <c r="C1" s="3" t="s">
        <v>163</v>
      </c>
      <c r="D1" s="3" t="s">
        <v>173</v>
      </c>
      <c r="E1" s="3" t="s">
        <v>182</v>
      </c>
      <c r="F1" s="3" t="s">
        <v>191</v>
      </c>
      <c r="G1" s="3" t="s">
        <v>193</v>
      </c>
      <c r="H1" s="3" t="s">
        <v>195</v>
      </c>
      <c r="I1" s="3" t="s">
        <v>197</v>
      </c>
      <c r="J1" s="3" t="s">
        <v>200</v>
      </c>
      <c r="K1" s="3" t="s">
        <v>205</v>
      </c>
      <c r="L1" s="3" t="s">
        <v>208</v>
      </c>
      <c r="M1" s="3" t="s">
        <v>211</v>
      </c>
      <c r="N1" s="3" t="s">
        <v>214</v>
      </c>
      <c r="O1" s="3" t="s">
        <v>217</v>
      </c>
      <c r="P1" s="3" t="s">
        <v>220</v>
      </c>
      <c r="Q1" s="3" t="s">
        <v>222</v>
      </c>
      <c r="R1" s="3" t="s">
        <v>224</v>
      </c>
      <c r="S1" s="3" t="s">
        <v>226</v>
      </c>
      <c r="T1" s="3" t="s">
        <v>228</v>
      </c>
      <c r="U1" s="3" t="s">
        <v>230</v>
      </c>
      <c r="V1" s="3" t="s">
        <v>232</v>
      </c>
      <c r="W1" s="3" t="s">
        <v>234</v>
      </c>
      <c r="X1" s="3" t="s">
        <v>236</v>
      </c>
      <c r="Y1" s="3" t="s">
        <v>238</v>
      </c>
      <c r="Z1" s="3" t="s">
        <v>241</v>
      </c>
      <c r="AA1" s="3" t="s">
        <v>244</v>
      </c>
      <c r="AB1" s="3" t="s">
        <v>247</v>
      </c>
      <c r="AC1" s="3" t="s">
        <v>250</v>
      </c>
      <c r="AD1" s="3" t="s">
        <v>253</v>
      </c>
      <c r="AE1" s="3" t="s">
        <v>256</v>
      </c>
      <c r="AF1" s="3" t="s">
        <v>259</v>
      </c>
      <c r="AG1" s="3" t="s">
        <v>262</v>
      </c>
      <c r="AH1" s="3" t="s">
        <v>265</v>
      </c>
      <c r="AI1" s="3" t="s">
        <v>267</v>
      </c>
      <c r="AJ1" s="3" t="s">
        <v>269</v>
      </c>
      <c r="AK1" s="3" t="s">
        <v>271</v>
      </c>
      <c r="AL1" s="3" t="s">
        <v>273</v>
      </c>
      <c r="AM1" s="3" t="s">
        <v>275</v>
      </c>
      <c r="AN1" s="3" t="s">
        <v>277</v>
      </c>
      <c r="AO1" s="3" t="s">
        <v>280</v>
      </c>
      <c r="AP1" s="3" t="s">
        <v>282</v>
      </c>
      <c r="AQ1" s="3" t="s">
        <v>284</v>
      </c>
      <c r="AR1" s="3" t="s">
        <v>286</v>
      </c>
      <c r="AS1" s="3" t="s">
        <v>288</v>
      </c>
      <c r="AT1" s="3" t="s">
        <v>290</v>
      </c>
      <c r="AU1" s="3" t="s">
        <v>292</v>
      </c>
      <c r="AV1" s="3" t="s">
        <v>294</v>
      </c>
      <c r="AW1" s="3" t="s">
        <v>296</v>
      </c>
      <c r="AX1" s="3" t="s">
        <v>299</v>
      </c>
      <c r="AY1" s="3" t="s">
        <v>302</v>
      </c>
      <c r="AZ1" s="3" t="s">
        <v>305</v>
      </c>
      <c r="BA1" s="3" t="s">
        <v>308</v>
      </c>
      <c r="BB1" s="3" t="s">
        <v>311</v>
      </c>
      <c r="BC1" s="3" t="s">
        <v>85</v>
      </c>
      <c r="BD1" s="3" t="s">
        <v>316</v>
      </c>
      <c r="BE1" s="3" t="s">
        <v>319</v>
      </c>
      <c r="BF1" s="3" t="s">
        <v>322</v>
      </c>
      <c r="BG1" s="3" t="s">
        <v>325</v>
      </c>
      <c r="BH1" s="3" t="s">
        <v>328</v>
      </c>
      <c r="BI1" s="3" t="s">
        <v>331</v>
      </c>
      <c r="BJ1" s="3" t="s">
        <v>334</v>
      </c>
      <c r="BK1" s="3" t="s">
        <v>337</v>
      </c>
      <c r="BL1" s="3" t="s">
        <v>340</v>
      </c>
      <c r="BM1" s="3" t="s">
        <v>343</v>
      </c>
      <c r="BN1" s="3" t="s">
        <v>186</v>
      </c>
      <c r="BO1" s="3" t="s">
        <v>348</v>
      </c>
      <c r="BP1" s="3" t="s">
        <v>351</v>
      </c>
      <c r="BQ1" s="3" t="s">
        <v>354</v>
      </c>
      <c r="BR1" s="3" t="s">
        <v>357</v>
      </c>
      <c r="BS1" s="3" t="s">
        <v>360</v>
      </c>
      <c r="BT1" s="3" t="s">
        <v>363</v>
      </c>
      <c r="BU1" s="3" t="s">
        <v>366</v>
      </c>
      <c r="BV1" s="3" t="s">
        <v>369</v>
      </c>
      <c r="BW1" s="3" t="s">
        <v>372</v>
      </c>
      <c r="BX1" s="3" t="s">
        <v>375</v>
      </c>
      <c r="BY1" s="3" t="s">
        <v>378</v>
      </c>
      <c r="BZ1" s="3" t="s">
        <v>381</v>
      </c>
      <c r="CA1" s="3" t="s">
        <v>384</v>
      </c>
      <c r="CB1" s="3" t="s">
        <v>387</v>
      </c>
      <c r="CC1" s="3" t="s">
        <v>390</v>
      </c>
      <c r="CD1" s="3" t="s">
        <v>393</v>
      </c>
      <c r="CE1" s="3" t="s">
        <v>396</v>
      </c>
      <c r="CF1" s="3" t="s">
        <v>399</v>
      </c>
      <c r="CG1" s="3" t="s">
        <v>402</v>
      </c>
      <c r="CH1" s="3" t="s">
        <v>405</v>
      </c>
      <c r="CI1" s="3" t="s">
        <v>408</v>
      </c>
      <c r="CJ1" s="3" t="s">
        <v>411</v>
      </c>
      <c r="CK1" s="3" t="s">
        <v>414</v>
      </c>
      <c r="CL1" s="3" t="s">
        <v>417</v>
      </c>
      <c r="CM1" s="3" t="s">
        <v>420</v>
      </c>
      <c r="CN1" s="3" t="s">
        <v>423</v>
      </c>
      <c r="CO1" s="3" t="s">
        <v>426</v>
      </c>
      <c r="CP1" s="3" t="s">
        <v>429</v>
      </c>
      <c r="CQ1" s="3" t="s">
        <v>432</v>
      </c>
      <c r="CR1" s="3" t="s">
        <v>435</v>
      </c>
      <c r="CS1" s="3" t="s">
        <v>438</v>
      </c>
      <c r="CT1" s="3" t="s">
        <v>441</v>
      </c>
      <c r="CU1" s="3" t="s">
        <v>442</v>
      </c>
      <c r="CV1" s="3" t="s">
        <v>444</v>
      </c>
      <c r="CW1" s="3" t="s">
        <v>446</v>
      </c>
      <c r="CX1" s="3" t="s">
        <v>448</v>
      </c>
      <c r="CY1" s="3" t="s">
        <v>451</v>
      </c>
      <c r="CZ1" s="3" t="s">
        <v>453</v>
      </c>
      <c r="DA1" s="3" t="s">
        <v>456</v>
      </c>
      <c r="DB1" s="3" t="s">
        <v>459</v>
      </c>
      <c r="DC1" s="3" t="s">
        <v>462</v>
      </c>
      <c r="DD1" s="3" t="s">
        <v>464</v>
      </c>
      <c r="DE1" s="3" t="s">
        <v>469</v>
      </c>
      <c r="DG1" s="52"/>
      <c r="DH1" s="52"/>
    </row>
    <row r="2" ht="15.75" customHeight="1">
      <c r="A2" s="3" t="s">
        <v>470</v>
      </c>
      <c r="B2" s="3">
        <v>0.0</v>
      </c>
      <c r="C2" s="3">
        <v>1.0</v>
      </c>
      <c r="D2" s="3">
        <v>5.0</v>
      </c>
      <c r="E2" s="3">
        <v>0.0</v>
      </c>
      <c r="F2" s="3">
        <v>1722.0</v>
      </c>
      <c r="G2" s="3">
        <v>1722.0</v>
      </c>
      <c r="H2" s="3">
        <v>1722.0</v>
      </c>
      <c r="I2" s="3">
        <v>15.352268</v>
      </c>
      <c r="J2" s="3">
        <v>7.276064</v>
      </c>
      <c r="K2" s="3">
        <v>1.0</v>
      </c>
      <c r="L2" s="51"/>
      <c r="M2" s="3">
        <v>1.0</v>
      </c>
      <c r="N2" s="3" t="s">
        <v>471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51"/>
      <c r="V2" s="3">
        <v>0.0</v>
      </c>
      <c r="W2" s="3">
        <v>0.0</v>
      </c>
      <c r="X2" s="3">
        <v>1.0</v>
      </c>
      <c r="Y2" s="3">
        <v>2017.0</v>
      </c>
      <c r="Z2" s="51"/>
      <c r="AA2" s="3">
        <v>3.0</v>
      </c>
      <c r="AB2" s="3" t="s">
        <v>472</v>
      </c>
      <c r="AC2" s="3">
        <v>1.0</v>
      </c>
      <c r="AD2" s="3">
        <v>3.0</v>
      </c>
      <c r="AE2" s="3" t="s">
        <v>265</v>
      </c>
      <c r="AF2" s="3" t="s">
        <v>473</v>
      </c>
      <c r="AG2" s="3">
        <v>0.0</v>
      </c>
      <c r="AH2" s="3">
        <v>1.0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1.0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1.0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1.0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 t="s">
        <v>474</v>
      </c>
      <c r="CQ2" s="3" t="s">
        <v>475</v>
      </c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3" t="s">
        <v>471</v>
      </c>
      <c r="DD2" s="3" t="s">
        <v>265</v>
      </c>
      <c r="DE2" s="3" t="s">
        <v>476</v>
      </c>
      <c r="DG2" s="52"/>
      <c r="DH2" s="52"/>
    </row>
    <row r="3" ht="15.75" customHeight="1">
      <c r="A3" s="3" t="s">
        <v>477</v>
      </c>
      <c r="B3" s="3">
        <v>1.0</v>
      </c>
      <c r="C3" s="3">
        <v>1.0</v>
      </c>
      <c r="D3" s="3">
        <v>2.0</v>
      </c>
      <c r="E3" s="3">
        <v>1.0</v>
      </c>
      <c r="F3" s="3">
        <v>378369.0</v>
      </c>
      <c r="G3" s="3">
        <v>378369.0</v>
      </c>
      <c r="H3" s="3">
        <v>378369.0</v>
      </c>
      <c r="I3" s="3">
        <v>22.98635</v>
      </c>
      <c r="J3" s="3">
        <v>8.020981</v>
      </c>
      <c r="K3" s="3">
        <v>0.0</v>
      </c>
      <c r="L3" s="3" t="s">
        <v>478</v>
      </c>
      <c r="M3" s="3">
        <v>0.0</v>
      </c>
      <c r="N3" s="3" t="s">
        <v>299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51"/>
      <c r="V3" s="3">
        <v>0.0</v>
      </c>
      <c r="W3" s="3">
        <v>0.0</v>
      </c>
      <c r="X3" s="3">
        <v>0.0</v>
      </c>
      <c r="Y3" s="51"/>
      <c r="Z3" s="3">
        <v>12.0</v>
      </c>
      <c r="AA3" s="51"/>
      <c r="AB3" s="3" t="s">
        <v>472</v>
      </c>
      <c r="AC3" s="3">
        <v>1.0</v>
      </c>
      <c r="AD3" s="3">
        <v>12.0</v>
      </c>
      <c r="AE3" s="3" t="s">
        <v>299</v>
      </c>
      <c r="AF3" s="3" t="s">
        <v>479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1.0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1.0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 t="s">
        <v>474</v>
      </c>
      <c r="CQ3" s="3" t="s">
        <v>475</v>
      </c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3" t="s">
        <v>299</v>
      </c>
      <c r="DD3" s="3" t="s">
        <v>299</v>
      </c>
      <c r="DE3" s="3" t="s">
        <v>480</v>
      </c>
      <c r="DG3" s="52"/>
      <c r="DH3" s="52"/>
    </row>
    <row r="4" ht="15.75" customHeight="1">
      <c r="A4" s="3" t="s">
        <v>481</v>
      </c>
      <c r="B4" s="3">
        <v>2.0</v>
      </c>
      <c r="C4" s="3">
        <v>1.0</v>
      </c>
      <c r="D4" s="3">
        <v>1.0</v>
      </c>
      <c r="E4" s="3">
        <v>2.0</v>
      </c>
      <c r="F4" s="3">
        <v>376353.0</v>
      </c>
      <c r="G4" s="3">
        <v>376353.0</v>
      </c>
      <c r="H4" s="3">
        <v>376353.0</v>
      </c>
      <c r="I4" s="3">
        <v>22.707893</v>
      </c>
      <c r="J4" s="3">
        <v>7.550748</v>
      </c>
      <c r="K4" s="3">
        <v>0.0</v>
      </c>
      <c r="L4" s="3" t="s">
        <v>478</v>
      </c>
      <c r="M4" s="3">
        <v>0.0</v>
      </c>
      <c r="N4" s="3" t="s">
        <v>299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51"/>
      <c r="V4" s="3">
        <v>0.0</v>
      </c>
      <c r="W4" s="3">
        <v>0.0</v>
      </c>
      <c r="X4" s="3">
        <v>0.0</v>
      </c>
      <c r="Y4" s="51"/>
      <c r="Z4" s="3">
        <v>12.0</v>
      </c>
      <c r="AA4" s="51"/>
      <c r="AB4" s="3" t="s">
        <v>472</v>
      </c>
      <c r="AC4" s="3">
        <v>1.0</v>
      </c>
      <c r="AD4" s="3">
        <v>12.0</v>
      </c>
      <c r="AE4" s="3" t="s">
        <v>299</v>
      </c>
      <c r="AF4" s="3" t="s">
        <v>479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1.0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1.0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 t="s">
        <v>474</v>
      </c>
      <c r="CQ4" s="3" t="s">
        <v>475</v>
      </c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3" t="s">
        <v>299</v>
      </c>
      <c r="DD4" s="3" t="s">
        <v>299</v>
      </c>
      <c r="DE4" s="3" t="s">
        <v>480</v>
      </c>
      <c r="DG4" s="52"/>
      <c r="DH4" s="52"/>
    </row>
    <row r="5" ht="15.75" customHeight="1">
      <c r="DG5" s="52"/>
      <c r="DH5" s="52"/>
    </row>
    <row r="6" ht="15.75" customHeight="1">
      <c r="DG6" s="52"/>
      <c r="DH6" s="52"/>
    </row>
    <row r="7" ht="15.75" customHeight="1">
      <c r="DG7" s="52"/>
      <c r="DH7" s="52"/>
    </row>
    <row r="8" ht="15.75" customHeight="1">
      <c r="DG8" s="52"/>
      <c r="DH8" s="52"/>
    </row>
    <row r="9" ht="15.75" customHeight="1">
      <c r="DG9" s="52"/>
      <c r="DH9" s="52"/>
    </row>
    <row r="10" ht="15.75" customHeight="1">
      <c r="DG10" s="52"/>
      <c r="DH10" s="52"/>
    </row>
    <row r="11" ht="15.75" customHeight="1">
      <c r="DG11" s="52"/>
      <c r="DH11" s="52"/>
    </row>
    <row r="12" ht="15.75" customHeight="1">
      <c r="DG12" s="52"/>
      <c r="DH12" s="52"/>
    </row>
    <row r="13" ht="15.75" customHeight="1">
      <c r="DG13" s="52"/>
      <c r="DH13" s="52"/>
    </row>
    <row r="14" ht="15.75" customHeight="1">
      <c r="DG14" s="52"/>
      <c r="DH14" s="52"/>
    </row>
    <row r="15" ht="15.75" customHeight="1">
      <c r="DG15" s="52"/>
      <c r="DH15" s="52"/>
    </row>
    <row r="16" ht="15.75" customHeight="1">
      <c r="DG16" s="52"/>
      <c r="DH16" s="52"/>
    </row>
    <row r="17" ht="15.75" customHeight="1">
      <c r="DG17" s="52"/>
      <c r="DH17" s="52"/>
    </row>
    <row r="18" ht="15.75" customHeight="1">
      <c r="DG18" s="52"/>
      <c r="DH18" s="52"/>
    </row>
    <row r="19" ht="15.75" customHeight="1">
      <c r="DG19" s="52"/>
      <c r="DH19" s="52"/>
    </row>
    <row r="20" ht="15.75" customHeight="1">
      <c r="DG20" s="52"/>
      <c r="DH20" s="52"/>
    </row>
    <row r="21" ht="15.75" customHeight="1">
      <c r="DG21" s="52"/>
      <c r="DH21" s="52"/>
    </row>
    <row r="22" ht="15.75" customHeight="1">
      <c r="DG22" s="52"/>
      <c r="DH22" s="52"/>
    </row>
    <row r="23" ht="15.75" customHeight="1">
      <c r="DG23" s="52"/>
      <c r="DH23" s="52"/>
    </row>
    <row r="24" ht="15.75" customHeight="1">
      <c r="DG24" s="52"/>
      <c r="DH24" s="52"/>
    </row>
    <row r="25" ht="15.75" customHeight="1">
      <c r="DG25" s="52"/>
      <c r="DH25" s="52"/>
    </row>
    <row r="26" ht="15.75" customHeight="1">
      <c r="DG26" s="52"/>
      <c r="DH26" s="52"/>
    </row>
    <row r="27" ht="15.75" customHeight="1">
      <c r="DG27" s="52"/>
      <c r="DH27" s="52"/>
    </row>
    <row r="28" ht="15.75" customHeight="1">
      <c r="DG28" s="52"/>
      <c r="DH28" s="52"/>
    </row>
    <row r="29" ht="15.75" customHeight="1">
      <c r="DG29" s="52"/>
      <c r="DH29" s="52"/>
    </row>
    <row r="30" ht="15.75" customHeight="1">
      <c r="DG30" s="52"/>
      <c r="DH30" s="52"/>
    </row>
    <row r="31" ht="15.75" customHeight="1">
      <c r="DG31" s="52"/>
      <c r="DH31" s="52"/>
    </row>
    <row r="32" ht="15.75" customHeight="1">
      <c r="DG32" s="52"/>
      <c r="DH32" s="52"/>
    </row>
    <row r="33" ht="15.75" customHeight="1">
      <c r="DG33" s="52"/>
      <c r="DH33" s="52"/>
    </row>
    <row r="34" ht="15.75" customHeight="1">
      <c r="DG34" s="52"/>
      <c r="DH34" s="52"/>
    </row>
    <row r="35" ht="15.75" customHeight="1">
      <c r="DG35" s="52"/>
      <c r="DH35" s="52"/>
    </row>
    <row r="36" ht="15.75" customHeight="1">
      <c r="DG36" s="52"/>
      <c r="DH36" s="52"/>
    </row>
    <row r="37" ht="15.75" customHeight="1">
      <c r="DG37" s="52"/>
      <c r="DH37" s="52"/>
    </row>
    <row r="38" ht="15.75" customHeight="1">
      <c r="DG38" s="52"/>
      <c r="DH38" s="52"/>
    </row>
    <row r="39" ht="15.75" customHeight="1">
      <c r="DG39" s="52"/>
      <c r="DH39" s="52"/>
    </row>
    <row r="40" ht="15.75" customHeight="1">
      <c r="DG40" s="52"/>
      <c r="DH40" s="52"/>
    </row>
    <row r="41" ht="15.75" customHeight="1">
      <c r="DG41" s="52"/>
      <c r="DH41" s="52"/>
    </row>
    <row r="42" ht="15.75" customHeight="1">
      <c r="DG42" s="52"/>
      <c r="DH42" s="52"/>
    </row>
    <row r="43" ht="15.75" customHeight="1">
      <c r="DG43" s="52"/>
      <c r="DH43" s="52"/>
    </row>
    <row r="44" ht="15.75" customHeight="1">
      <c r="DG44" s="52"/>
      <c r="DH44" s="52"/>
    </row>
    <row r="45" ht="15.75" customHeight="1">
      <c r="DG45" s="52"/>
      <c r="DH45" s="52"/>
    </row>
    <row r="46" ht="15.75" customHeight="1">
      <c r="DG46" s="52"/>
      <c r="DH46" s="52"/>
    </row>
    <row r="47" ht="15.75" customHeight="1">
      <c r="DG47" s="52"/>
      <c r="DH47" s="52"/>
    </row>
    <row r="48" ht="15.75" customHeight="1">
      <c r="DG48" s="52"/>
      <c r="DH48" s="52"/>
    </row>
    <row r="49" ht="15.75" customHeight="1">
      <c r="DG49" s="52"/>
      <c r="DH49" s="52"/>
    </row>
    <row r="50" ht="15.75" customHeight="1">
      <c r="DG50" s="52"/>
      <c r="DH50" s="52"/>
    </row>
    <row r="51" ht="15.75" customHeight="1">
      <c r="DG51" s="52"/>
      <c r="DH51" s="52"/>
    </row>
    <row r="52" ht="15.75" customHeight="1">
      <c r="DG52" s="52"/>
      <c r="DH52" s="52"/>
    </row>
    <row r="53" ht="15.75" customHeight="1">
      <c r="DG53" s="52"/>
      <c r="DH53" s="52"/>
    </row>
    <row r="54" ht="15.75" customHeight="1">
      <c r="DG54" s="52"/>
      <c r="DH54" s="52"/>
    </row>
    <row r="55" ht="15.75" customHeight="1">
      <c r="DG55" s="52"/>
      <c r="DH55" s="52"/>
    </row>
    <row r="56" ht="15.75" customHeight="1">
      <c r="DG56" s="52"/>
      <c r="DH56" s="52"/>
    </row>
    <row r="57" ht="15.75" customHeight="1">
      <c r="DG57" s="52"/>
      <c r="DH57" s="52"/>
    </row>
    <row r="58" ht="15.75" customHeight="1">
      <c r="DG58" s="52"/>
      <c r="DH58" s="52"/>
    </row>
    <row r="59" ht="15.75" customHeight="1">
      <c r="DG59" s="52"/>
      <c r="DH59" s="52"/>
    </row>
    <row r="60" ht="15.75" customHeight="1">
      <c r="DG60" s="52"/>
      <c r="DH60" s="52"/>
    </row>
    <row r="61" ht="15.75" customHeight="1">
      <c r="DG61" s="52"/>
      <c r="DH61" s="52"/>
    </row>
    <row r="62" ht="15.75" customHeight="1">
      <c r="DG62" s="52"/>
      <c r="DH62" s="52"/>
    </row>
    <row r="63" ht="15.75" customHeight="1">
      <c r="DG63" s="52"/>
      <c r="DH63" s="52"/>
    </row>
    <row r="64" ht="15.75" customHeight="1">
      <c r="DG64" s="52"/>
      <c r="DH64" s="52"/>
    </row>
    <row r="65" ht="15.75" customHeight="1">
      <c r="DG65" s="52"/>
      <c r="DH65" s="52"/>
    </row>
    <row r="66" ht="15.75" customHeight="1">
      <c r="DG66" s="52"/>
      <c r="DH66" s="52"/>
    </row>
    <row r="67" ht="15.75" customHeight="1">
      <c r="DG67" s="52"/>
      <c r="DH67" s="52"/>
    </row>
    <row r="68" ht="15.75" customHeight="1">
      <c r="DG68" s="52"/>
      <c r="DH68" s="52"/>
    </row>
    <row r="69" ht="15.75" customHeight="1">
      <c r="DG69" s="52"/>
      <c r="DH69" s="52"/>
    </row>
    <row r="70" ht="15.75" customHeight="1">
      <c r="DG70" s="52"/>
      <c r="DH70" s="52"/>
    </row>
    <row r="71" ht="15.75" customHeight="1">
      <c r="DG71" s="52"/>
      <c r="DH71" s="52"/>
    </row>
    <row r="72" ht="15.75" customHeight="1">
      <c r="DG72" s="52"/>
      <c r="DH72" s="52"/>
    </row>
    <row r="73" ht="15.75" customHeight="1">
      <c r="DG73" s="52"/>
      <c r="DH73" s="52"/>
    </row>
    <row r="74" ht="15.75" customHeight="1">
      <c r="DG74" s="52"/>
      <c r="DH74" s="52"/>
    </row>
    <row r="75" ht="15.75" customHeight="1">
      <c r="DG75" s="52"/>
      <c r="DH75" s="52"/>
    </row>
    <row r="76" ht="15.75" customHeight="1">
      <c r="DG76" s="52"/>
      <c r="DH76" s="52"/>
    </row>
    <row r="77" ht="15.75" customHeight="1">
      <c r="DG77" s="52"/>
      <c r="DH77" s="52"/>
    </row>
    <row r="78" ht="15.75" customHeight="1">
      <c r="DG78" s="52"/>
      <c r="DH78" s="52"/>
    </row>
    <row r="79" ht="15.75" customHeight="1">
      <c r="DG79" s="52"/>
      <c r="DH79" s="52"/>
    </row>
    <row r="80" ht="15.75" customHeight="1">
      <c r="DG80" s="52"/>
      <c r="DH80" s="52"/>
    </row>
    <row r="81" ht="15.75" customHeight="1">
      <c r="DG81" s="52"/>
      <c r="DH81" s="52"/>
    </row>
    <row r="82" ht="15.75" customHeight="1">
      <c r="DG82" s="52"/>
      <c r="DH82" s="52"/>
    </row>
    <row r="83" ht="15.75" customHeight="1">
      <c r="DG83" s="52"/>
      <c r="DH83" s="52"/>
    </row>
    <row r="84" ht="15.75" customHeight="1">
      <c r="DG84" s="52"/>
      <c r="DH84" s="52"/>
    </row>
    <row r="85" ht="15.75" customHeight="1">
      <c r="DG85" s="52"/>
      <c r="DH85" s="52"/>
    </row>
    <row r="86" ht="15.75" customHeight="1">
      <c r="DG86" s="52"/>
      <c r="DH86" s="52"/>
    </row>
    <row r="87" ht="15.75" customHeight="1">
      <c r="DG87" s="52"/>
      <c r="DH87" s="52"/>
    </row>
    <row r="88" ht="15.75" customHeight="1">
      <c r="DG88" s="52"/>
      <c r="DH88" s="52"/>
    </row>
    <row r="89" ht="15.75" customHeight="1">
      <c r="DG89" s="52"/>
      <c r="DH89" s="52"/>
    </row>
    <row r="90" ht="15.75" customHeight="1">
      <c r="DG90" s="52"/>
      <c r="DH90" s="52"/>
    </row>
    <row r="91" ht="15.75" customHeight="1">
      <c r="DG91" s="52"/>
      <c r="DH91" s="52"/>
    </row>
    <row r="92" ht="15.75" customHeight="1">
      <c r="DG92" s="52"/>
      <c r="DH92" s="52"/>
    </row>
    <row r="93" ht="15.75" customHeight="1">
      <c r="DG93" s="52"/>
      <c r="DH93" s="52"/>
    </row>
    <row r="94" ht="15.75" customHeight="1">
      <c r="DG94" s="52"/>
      <c r="DH94" s="52"/>
    </row>
    <row r="95" ht="15.75" customHeight="1">
      <c r="DG95" s="52"/>
      <c r="DH95" s="52"/>
    </row>
    <row r="96" ht="15.75" customHeight="1">
      <c r="DG96" s="52"/>
      <c r="DH96" s="52"/>
    </row>
    <row r="97" ht="15.75" customHeight="1">
      <c r="DG97" s="52"/>
      <c r="DH97" s="52"/>
    </row>
    <row r="98" ht="15.75" customHeight="1">
      <c r="DG98" s="52"/>
      <c r="DH98" s="52"/>
    </row>
    <row r="99" ht="15.75" customHeight="1">
      <c r="DG99" s="52"/>
      <c r="DH99" s="52"/>
    </row>
    <row r="100" ht="15.75" customHeight="1">
      <c r="DG100" s="52"/>
      <c r="DH100" s="52"/>
    </row>
    <row r="101" ht="15.75" customHeight="1">
      <c r="DG101" s="52"/>
      <c r="DH101" s="52"/>
    </row>
    <row r="102" ht="15.75" customHeight="1">
      <c r="DG102" s="52"/>
      <c r="DH102" s="52"/>
    </row>
    <row r="103" ht="15.75" customHeight="1">
      <c r="DG103" s="52"/>
      <c r="DH103" s="52"/>
    </row>
    <row r="104" ht="15.75" customHeight="1">
      <c r="DG104" s="52"/>
      <c r="DH104" s="52"/>
    </row>
    <row r="105" ht="15.75" customHeight="1">
      <c r="DG105" s="52"/>
      <c r="DH105" s="52"/>
    </row>
    <row r="106" ht="15.75" customHeight="1">
      <c r="DG106" s="52"/>
      <c r="DH106" s="52"/>
    </row>
    <row r="107" ht="15.75" customHeight="1">
      <c r="DG107" s="52"/>
      <c r="DH107" s="52"/>
    </row>
    <row r="108" ht="15.75" customHeight="1">
      <c r="DG108" s="52"/>
      <c r="DH108" s="52"/>
    </row>
    <row r="109" ht="15.75" customHeight="1">
      <c r="DG109" s="52"/>
      <c r="DH109" s="52"/>
    </row>
    <row r="110" ht="15.75" customHeight="1">
      <c r="DG110" s="52"/>
      <c r="DH110" s="52"/>
    </row>
    <row r="111" ht="15.75" customHeight="1">
      <c r="DG111" s="52"/>
      <c r="DH111" s="52"/>
    </row>
    <row r="112" ht="15.75" customHeight="1">
      <c r="DG112" s="52"/>
      <c r="DH112" s="52"/>
    </row>
    <row r="113" ht="15.75" customHeight="1">
      <c r="DG113" s="52"/>
      <c r="DH113" s="52"/>
    </row>
    <row r="114" ht="15.75" customHeight="1">
      <c r="DG114" s="52"/>
      <c r="DH114" s="52"/>
    </row>
    <row r="115" ht="15.75" customHeight="1">
      <c r="DG115" s="52"/>
      <c r="DH115" s="52"/>
    </row>
    <row r="116" ht="15.75" customHeight="1">
      <c r="DG116" s="52"/>
      <c r="DH116" s="52"/>
    </row>
    <row r="117" ht="15.75" customHeight="1">
      <c r="DG117" s="52"/>
      <c r="DH117" s="52"/>
    </row>
    <row r="118" ht="15.75" customHeight="1">
      <c r="DG118" s="52"/>
      <c r="DH118" s="52"/>
    </row>
    <row r="119" ht="15.75" customHeight="1">
      <c r="DG119" s="52"/>
      <c r="DH119" s="52"/>
    </row>
    <row r="120" ht="15.75" customHeight="1">
      <c r="DG120" s="52"/>
      <c r="DH120" s="52"/>
    </row>
    <row r="121" ht="15.75" customHeight="1">
      <c r="DG121" s="52"/>
      <c r="DH121" s="52"/>
    </row>
    <row r="122" ht="15.75" customHeight="1">
      <c r="DG122" s="52"/>
      <c r="DH122" s="52"/>
    </row>
    <row r="123" ht="15.75" customHeight="1">
      <c r="DG123" s="52"/>
      <c r="DH123" s="52"/>
    </row>
    <row r="124" ht="15.75" customHeight="1">
      <c r="DG124" s="52"/>
      <c r="DH124" s="52"/>
    </row>
    <row r="125" ht="15.75" customHeight="1">
      <c r="DG125" s="52"/>
      <c r="DH125" s="52"/>
    </row>
    <row r="126" ht="15.75" customHeight="1">
      <c r="DG126" s="52"/>
      <c r="DH126" s="52"/>
    </row>
    <row r="127" ht="15.75" customHeight="1">
      <c r="DG127" s="52"/>
      <c r="DH127" s="52"/>
    </row>
    <row r="128" ht="15.75" customHeight="1">
      <c r="DG128" s="52"/>
      <c r="DH128" s="52"/>
    </row>
    <row r="129" ht="15.75" customHeight="1">
      <c r="DG129" s="52"/>
      <c r="DH129" s="52"/>
    </row>
    <row r="130" ht="15.75" customHeight="1">
      <c r="DG130" s="52"/>
      <c r="DH130" s="52"/>
    </row>
    <row r="131" ht="15.75" customHeight="1">
      <c r="DG131" s="52"/>
      <c r="DH131" s="52"/>
    </row>
    <row r="132" ht="15.75" customHeight="1">
      <c r="DG132" s="52"/>
      <c r="DH132" s="52"/>
    </row>
    <row r="133" ht="15.75" customHeight="1">
      <c r="DG133" s="52"/>
      <c r="DH133" s="52"/>
    </row>
    <row r="134" ht="15.75" customHeight="1">
      <c r="DG134" s="52"/>
      <c r="DH134" s="52"/>
    </row>
    <row r="135" ht="15.75" customHeight="1">
      <c r="DG135" s="52"/>
      <c r="DH135" s="52"/>
    </row>
    <row r="136" ht="15.75" customHeight="1">
      <c r="DG136" s="52"/>
      <c r="DH136" s="52"/>
    </row>
    <row r="137" ht="15.75" customHeight="1">
      <c r="DG137" s="52"/>
      <c r="DH137" s="52"/>
    </row>
    <row r="138" ht="15.75" customHeight="1">
      <c r="DG138" s="52"/>
      <c r="DH138" s="52"/>
    </row>
    <row r="139" ht="15.75" customHeight="1">
      <c r="DG139" s="52"/>
      <c r="DH139" s="52"/>
    </row>
    <row r="140" ht="15.75" customHeight="1">
      <c r="DG140" s="52"/>
      <c r="DH140" s="52"/>
    </row>
    <row r="141" ht="15.75" customHeight="1">
      <c r="DG141" s="52"/>
      <c r="DH141" s="52"/>
    </row>
    <row r="142" ht="15.75" customHeight="1">
      <c r="DG142" s="52"/>
      <c r="DH142" s="52"/>
    </row>
    <row r="143" ht="15.75" customHeight="1">
      <c r="DG143" s="52"/>
      <c r="DH143" s="52"/>
    </row>
    <row r="144" ht="15.75" customHeight="1">
      <c r="DG144" s="52"/>
      <c r="DH144" s="52"/>
    </row>
    <row r="145" ht="15.75" customHeight="1">
      <c r="DG145" s="52"/>
      <c r="DH145" s="52"/>
    </row>
    <row r="146" ht="15.75" customHeight="1">
      <c r="DG146" s="52"/>
      <c r="DH146" s="52"/>
    </row>
    <row r="147" ht="15.75" customHeight="1">
      <c r="DG147" s="52"/>
      <c r="DH147" s="52"/>
    </row>
    <row r="148" ht="15.75" customHeight="1">
      <c r="DG148" s="52"/>
      <c r="DH148" s="52"/>
    </row>
    <row r="149" ht="15.75" customHeight="1">
      <c r="DG149" s="52"/>
      <c r="DH149" s="52"/>
    </row>
    <row r="150" ht="15.75" customHeight="1">
      <c r="DG150" s="52"/>
      <c r="DH150" s="52"/>
    </row>
    <row r="151" ht="15.75" customHeight="1">
      <c r="DG151" s="52"/>
      <c r="DH151" s="52"/>
    </row>
    <row r="152" ht="15.75" customHeight="1">
      <c r="DG152" s="52"/>
      <c r="DH152" s="52"/>
    </row>
    <row r="153" ht="15.75" customHeight="1">
      <c r="DG153" s="52"/>
      <c r="DH153" s="52"/>
    </row>
    <row r="154" ht="15.75" customHeight="1">
      <c r="DG154" s="52"/>
      <c r="DH154" s="52"/>
    </row>
    <row r="155" ht="15.75" customHeight="1">
      <c r="DG155" s="52"/>
      <c r="DH155" s="52"/>
    </row>
    <row r="156" ht="15.75" customHeight="1">
      <c r="DG156" s="52"/>
      <c r="DH156" s="52"/>
    </row>
    <row r="157" ht="15.75" customHeight="1">
      <c r="DG157" s="52"/>
      <c r="DH157" s="52"/>
    </row>
    <row r="158" ht="15.75" customHeight="1">
      <c r="DG158" s="52"/>
      <c r="DH158" s="52"/>
    </row>
    <row r="159" ht="15.75" customHeight="1">
      <c r="DG159" s="52"/>
      <c r="DH159" s="52"/>
    </row>
    <row r="160" ht="15.75" customHeight="1">
      <c r="DG160" s="52"/>
      <c r="DH160" s="52"/>
    </row>
    <row r="161" ht="15.75" customHeight="1">
      <c r="DG161" s="52"/>
      <c r="DH161" s="52"/>
    </row>
    <row r="162" ht="15.75" customHeight="1">
      <c r="DG162" s="52"/>
      <c r="DH162" s="52"/>
    </row>
    <row r="163" ht="15.75" customHeight="1">
      <c r="DG163" s="52"/>
      <c r="DH163" s="52"/>
    </row>
    <row r="164" ht="15.75" customHeight="1">
      <c r="DG164" s="52"/>
      <c r="DH164" s="52"/>
    </row>
    <row r="165" ht="15.75" customHeight="1">
      <c r="DG165" s="52"/>
      <c r="DH165" s="52"/>
    </row>
    <row r="166" ht="15.75" customHeight="1">
      <c r="DG166" s="52"/>
      <c r="DH166" s="52"/>
    </row>
    <row r="167" ht="15.75" customHeight="1">
      <c r="DG167" s="52"/>
      <c r="DH167" s="52"/>
    </row>
    <row r="168" ht="15.75" customHeight="1">
      <c r="DG168" s="52"/>
      <c r="DH168" s="52"/>
    </row>
    <row r="169" ht="15.75" customHeight="1">
      <c r="DG169" s="52"/>
      <c r="DH169" s="52"/>
    </row>
    <row r="170" ht="15.75" customHeight="1">
      <c r="DG170" s="52"/>
      <c r="DH170" s="52"/>
    </row>
    <row r="171" ht="15.75" customHeight="1">
      <c r="DG171" s="52"/>
      <c r="DH171" s="52"/>
    </row>
    <row r="172" ht="15.75" customHeight="1">
      <c r="DG172" s="52"/>
      <c r="DH172" s="52"/>
    </row>
    <row r="173" ht="15.75" customHeight="1">
      <c r="DG173" s="52"/>
      <c r="DH173" s="52"/>
    </row>
    <row r="174" ht="15.75" customHeight="1">
      <c r="DG174" s="52"/>
      <c r="DH174" s="52"/>
    </row>
    <row r="175" ht="15.75" customHeight="1">
      <c r="DG175" s="52"/>
      <c r="DH175" s="52"/>
    </row>
    <row r="176" ht="15.75" customHeight="1">
      <c r="DG176" s="52"/>
      <c r="DH176" s="52"/>
    </row>
    <row r="177" ht="15.75" customHeight="1">
      <c r="DG177" s="52"/>
      <c r="DH177" s="52"/>
    </row>
    <row r="178" ht="15.75" customHeight="1">
      <c r="DG178" s="52"/>
      <c r="DH178" s="52"/>
    </row>
    <row r="179" ht="15.75" customHeight="1">
      <c r="DG179" s="52"/>
      <c r="DH179" s="52"/>
    </row>
    <row r="180" ht="15.75" customHeight="1">
      <c r="DG180" s="52"/>
      <c r="DH180" s="52"/>
    </row>
    <row r="181" ht="15.75" customHeight="1">
      <c r="DG181" s="52"/>
      <c r="DH181" s="52"/>
    </row>
    <row r="182" ht="15.75" customHeight="1">
      <c r="DG182" s="52"/>
      <c r="DH182" s="52"/>
    </row>
    <row r="183" ht="15.75" customHeight="1">
      <c r="DG183" s="52"/>
      <c r="DH183" s="52"/>
    </row>
    <row r="184" ht="15.75" customHeight="1">
      <c r="DG184" s="52"/>
      <c r="DH184" s="52"/>
    </row>
    <row r="185" ht="15.75" customHeight="1">
      <c r="DG185" s="52"/>
      <c r="DH185" s="52"/>
    </row>
    <row r="186" ht="15.75" customHeight="1">
      <c r="DG186" s="52"/>
      <c r="DH186" s="52"/>
    </row>
    <row r="187" ht="15.75" customHeight="1">
      <c r="DG187" s="52"/>
      <c r="DH187" s="52"/>
    </row>
    <row r="188" ht="15.75" customHeight="1">
      <c r="DG188" s="52"/>
      <c r="DH188" s="52"/>
    </row>
    <row r="189" ht="15.75" customHeight="1">
      <c r="DG189" s="52"/>
      <c r="DH189" s="52"/>
    </row>
    <row r="190" ht="15.75" customHeight="1">
      <c r="DG190" s="52"/>
      <c r="DH190" s="52"/>
    </row>
    <row r="191" ht="15.75" customHeight="1">
      <c r="DG191" s="52"/>
      <c r="DH191" s="52"/>
    </row>
    <row r="192" ht="15.75" customHeight="1">
      <c r="DG192" s="52"/>
      <c r="DH192" s="52"/>
    </row>
    <row r="193" ht="15.75" customHeight="1">
      <c r="DG193" s="52"/>
      <c r="DH193" s="52"/>
    </row>
    <row r="194" ht="15.75" customHeight="1">
      <c r="DG194" s="52"/>
      <c r="DH194" s="52"/>
    </row>
    <row r="195" ht="15.75" customHeight="1">
      <c r="DG195" s="52"/>
      <c r="DH195" s="52"/>
    </row>
    <row r="196" ht="15.75" customHeight="1">
      <c r="DG196" s="52"/>
      <c r="DH196" s="52"/>
    </row>
    <row r="197" ht="15.75" customHeight="1">
      <c r="DG197" s="52"/>
      <c r="DH197" s="52"/>
    </row>
    <row r="198" ht="15.75" customHeight="1">
      <c r="DG198" s="52"/>
      <c r="DH198" s="52"/>
    </row>
    <row r="199" ht="15.75" customHeight="1">
      <c r="DG199" s="52"/>
      <c r="DH199" s="52"/>
    </row>
    <row r="200" ht="15.75" customHeight="1">
      <c r="DG200" s="52"/>
      <c r="DH200" s="52"/>
    </row>
    <row r="201" ht="15.75" customHeight="1">
      <c r="DG201" s="52"/>
      <c r="DH201" s="52"/>
    </row>
    <row r="202" ht="15.75" customHeight="1">
      <c r="DG202" s="52"/>
      <c r="DH202" s="52"/>
    </row>
    <row r="203" ht="15.75" customHeight="1">
      <c r="DG203" s="52"/>
      <c r="DH203" s="52"/>
    </row>
    <row r="204" ht="15.75" customHeight="1">
      <c r="DG204" s="52"/>
      <c r="DH204" s="52"/>
    </row>
    <row r="205" ht="15.75" customHeight="1">
      <c r="DG205" s="52"/>
      <c r="DH205" s="52"/>
    </row>
    <row r="206" ht="15.75" customHeight="1">
      <c r="DG206" s="52"/>
      <c r="DH206" s="52"/>
    </row>
    <row r="207" ht="15.75" customHeight="1">
      <c r="DG207" s="52"/>
      <c r="DH207" s="52"/>
    </row>
    <row r="208" ht="15.75" customHeight="1">
      <c r="DG208" s="52"/>
      <c r="DH208" s="52"/>
    </row>
    <row r="209" ht="15.75" customHeight="1">
      <c r="DG209" s="52"/>
      <c r="DH209" s="52"/>
    </row>
    <row r="210" ht="15.75" customHeight="1">
      <c r="DG210" s="52"/>
      <c r="DH210" s="52"/>
    </row>
    <row r="211" ht="15.75" customHeight="1">
      <c r="DG211" s="52"/>
      <c r="DH211" s="52"/>
    </row>
    <row r="212" ht="15.75" customHeight="1">
      <c r="DG212" s="52"/>
      <c r="DH212" s="52"/>
    </row>
    <row r="213" ht="15.75" customHeight="1">
      <c r="DG213" s="52"/>
      <c r="DH213" s="52"/>
    </row>
    <row r="214" ht="15.75" customHeight="1">
      <c r="DG214" s="52"/>
      <c r="DH214" s="52"/>
    </row>
    <row r="215" ht="15.75" customHeight="1">
      <c r="DG215" s="52"/>
      <c r="DH215" s="52"/>
    </row>
    <row r="216" ht="15.75" customHeight="1">
      <c r="DG216" s="52"/>
      <c r="DH216" s="52"/>
    </row>
    <row r="217" ht="15.75" customHeight="1">
      <c r="DG217" s="52"/>
      <c r="DH217" s="52"/>
    </row>
    <row r="218" ht="15.75" customHeight="1">
      <c r="DG218" s="52"/>
      <c r="DH218" s="52"/>
    </row>
    <row r="219" ht="15.75" customHeight="1">
      <c r="DG219" s="52"/>
      <c r="DH219" s="52"/>
    </row>
    <row r="220" ht="15.75" customHeight="1">
      <c r="DG220" s="52"/>
      <c r="DH220" s="52"/>
    </row>
    <row r="221" ht="15.75" customHeight="1">
      <c r="DG221" s="52"/>
      <c r="DH221" s="52"/>
    </row>
    <row r="222" ht="15.75" customHeight="1">
      <c r="DG222" s="52"/>
      <c r="DH222" s="52"/>
    </row>
    <row r="223" ht="15.75" customHeight="1">
      <c r="DG223" s="52"/>
      <c r="DH223" s="52"/>
    </row>
    <row r="224" ht="15.75" customHeight="1">
      <c r="DG224" s="52"/>
      <c r="DH224" s="52"/>
    </row>
    <row r="225" ht="15.75" customHeight="1">
      <c r="DG225" s="52"/>
      <c r="DH225" s="52"/>
    </row>
    <row r="226" ht="15.75" customHeight="1">
      <c r="DG226" s="52"/>
      <c r="DH226" s="52"/>
    </row>
    <row r="227" ht="15.75" customHeight="1">
      <c r="DG227" s="52"/>
      <c r="DH227" s="52"/>
    </row>
    <row r="228" ht="15.75" customHeight="1">
      <c r="DG228" s="52"/>
      <c r="DH228" s="52"/>
    </row>
    <row r="229" ht="15.75" customHeight="1">
      <c r="DG229" s="52"/>
      <c r="DH229" s="52"/>
    </row>
    <row r="230" ht="15.75" customHeight="1">
      <c r="DG230" s="52"/>
      <c r="DH230" s="52"/>
    </row>
    <row r="231" ht="15.75" customHeight="1">
      <c r="DG231" s="52"/>
      <c r="DH231" s="52"/>
    </row>
    <row r="232" ht="15.75" customHeight="1">
      <c r="DG232" s="52"/>
      <c r="DH232" s="52"/>
    </row>
    <row r="233" ht="15.75" customHeight="1">
      <c r="DG233" s="52"/>
      <c r="DH233" s="52"/>
    </row>
    <row r="234" ht="15.75" customHeight="1">
      <c r="DG234" s="52"/>
      <c r="DH234" s="52"/>
    </row>
    <row r="235" ht="15.75" customHeight="1">
      <c r="DG235" s="52"/>
      <c r="DH235" s="52"/>
    </row>
    <row r="236" ht="15.75" customHeight="1">
      <c r="DG236" s="52"/>
      <c r="DH236" s="52"/>
    </row>
    <row r="237" ht="15.75" customHeight="1">
      <c r="DG237" s="52"/>
      <c r="DH237" s="52"/>
    </row>
    <row r="238" ht="15.75" customHeight="1">
      <c r="DG238" s="52"/>
      <c r="DH238" s="52"/>
    </row>
    <row r="239" ht="15.75" customHeight="1">
      <c r="DG239" s="52"/>
      <c r="DH239" s="52"/>
    </row>
    <row r="240" ht="15.75" customHeight="1">
      <c r="DG240" s="52"/>
      <c r="DH240" s="52"/>
    </row>
    <row r="241" ht="15.75" customHeight="1">
      <c r="DG241" s="52"/>
      <c r="DH241" s="52"/>
    </row>
    <row r="242" ht="15.75" customHeight="1">
      <c r="DG242" s="52"/>
      <c r="DH242" s="52"/>
    </row>
    <row r="243" ht="15.75" customHeight="1">
      <c r="DG243" s="52"/>
      <c r="DH243" s="52"/>
    </row>
    <row r="244" ht="15.75" customHeight="1">
      <c r="DG244" s="52"/>
      <c r="DH244" s="52"/>
    </row>
    <row r="245" ht="15.75" customHeight="1">
      <c r="DG245" s="52"/>
      <c r="DH245" s="52"/>
    </row>
    <row r="246" ht="15.75" customHeight="1">
      <c r="DG246" s="52"/>
      <c r="DH246" s="52"/>
    </row>
    <row r="247" ht="15.75" customHeight="1">
      <c r="DG247" s="52"/>
      <c r="DH247" s="52"/>
    </row>
    <row r="248" ht="15.75" customHeight="1">
      <c r="DG248" s="52"/>
      <c r="DH248" s="52"/>
    </row>
    <row r="249" ht="15.75" customHeight="1">
      <c r="DG249" s="52"/>
      <c r="DH249" s="52"/>
    </row>
    <row r="250" ht="15.75" customHeight="1">
      <c r="DG250" s="52"/>
      <c r="DH250" s="52"/>
    </row>
    <row r="251" ht="15.75" customHeight="1">
      <c r="DG251" s="52"/>
      <c r="DH251" s="52"/>
    </row>
    <row r="252" ht="15.75" customHeight="1">
      <c r="DG252" s="52"/>
      <c r="DH252" s="52"/>
    </row>
    <row r="253" ht="15.75" customHeight="1">
      <c r="DG253" s="52"/>
      <c r="DH253" s="52"/>
    </row>
    <row r="254" ht="15.75" customHeight="1">
      <c r="DG254" s="52"/>
      <c r="DH254" s="52"/>
    </row>
    <row r="255" ht="15.75" customHeight="1">
      <c r="DG255" s="52"/>
      <c r="DH255" s="52"/>
    </row>
    <row r="256" ht="15.75" customHeight="1">
      <c r="DG256" s="52"/>
      <c r="DH256" s="52"/>
    </row>
    <row r="257" ht="15.75" customHeight="1">
      <c r="DG257" s="52"/>
      <c r="DH257" s="52"/>
    </row>
    <row r="258" ht="15.75" customHeight="1">
      <c r="DG258" s="52"/>
      <c r="DH258" s="52"/>
    </row>
    <row r="259" ht="15.75" customHeight="1">
      <c r="DG259" s="52"/>
      <c r="DH259" s="52"/>
    </row>
    <row r="260" ht="15.75" customHeight="1">
      <c r="DG260" s="52"/>
      <c r="DH260" s="52"/>
    </row>
    <row r="261" ht="15.75" customHeight="1">
      <c r="DG261" s="52"/>
      <c r="DH261" s="52"/>
    </row>
    <row r="262" ht="15.75" customHeight="1">
      <c r="DG262" s="52"/>
      <c r="DH262" s="52"/>
    </row>
    <row r="263" ht="15.75" customHeight="1">
      <c r="DG263" s="52"/>
      <c r="DH263" s="52"/>
    </row>
    <row r="264" ht="15.75" customHeight="1">
      <c r="DG264" s="52"/>
      <c r="DH264" s="52"/>
    </row>
    <row r="265" ht="15.75" customHeight="1">
      <c r="DG265" s="52"/>
      <c r="DH265" s="52"/>
    </row>
    <row r="266" ht="15.75" customHeight="1">
      <c r="DG266" s="52"/>
      <c r="DH266" s="52"/>
    </row>
    <row r="267" ht="15.75" customHeight="1">
      <c r="DG267" s="52"/>
      <c r="DH267" s="52"/>
    </row>
    <row r="268" ht="15.75" customHeight="1">
      <c r="DG268" s="52"/>
      <c r="DH268" s="52"/>
    </row>
    <row r="269" ht="15.75" customHeight="1">
      <c r="DG269" s="52"/>
      <c r="DH269" s="52"/>
    </row>
    <row r="270" ht="15.75" customHeight="1">
      <c r="DG270" s="52"/>
      <c r="DH270" s="52"/>
    </row>
    <row r="271" ht="15.75" customHeight="1">
      <c r="DG271" s="52"/>
      <c r="DH271" s="52"/>
    </row>
    <row r="272" ht="15.75" customHeight="1">
      <c r="DG272" s="52"/>
      <c r="DH272" s="52"/>
    </row>
    <row r="273" ht="15.75" customHeight="1">
      <c r="DG273" s="52"/>
      <c r="DH273" s="52"/>
    </row>
    <row r="274" ht="15.75" customHeight="1">
      <c r="DG274" s="52"/>
      <c r="DH274" s="52"/>
    </row>
    <row r="275" ht="15.75" customHeight="1">
      <c r="DG275" s="52"/>
      <c r="DH275" s="52"/>
    </row>
    <row r="276" ht="15.75" customHeight="1">
      <c r="DG276" s="52"/>
      <c r="DH276" s="52"/>
    </row>
    <row r="277" ht="15.75" customHeight="1">
      <c r="DG277" s="52"/>
      <c r="DH277" s="52"/>
    </row>
    <row r="278" ht="15.75" customHeight="1">
      <c r="DG278" s="52"/>
      <c r="DH278" s="52"/>
    </row>
    <row r="279" ht="15.75" customHeight="1">
      <c r="DG279" s="52"/>
      <c r="DH279" s="52"/>
    </row>
    <row r="280" ht="15.75" customHeight="1">
      <c r="DG280" s="52"/>
      <c r="DH280" s="52"/>
    </row>
    <row r="281" ht="15.75" customHeight="1">
      <c r="DG281" s="52"/>
      <c r="DH281" s="52"/>
    </row>
    <row r="282" ht="15.75" customHeight="1">
      <c r="DG282" s="52"/>
      <c r="DH282" s="52"/>
    </row>
    <row r="283" ht="15.75" customHeight="1">
      <c r="DG283" s="52"/>
      <c r="DH283" s="52"/>
    </row>
    <row r="284" ht="15.75" customHeight="1">
      <c r="DG284" s="52"/>
      <c r="DH284" s="52"/>
    </row>
    <row r="285" ht="15.75" customHeight="1">
      <c r="DG285" s="52"/>
      <c r="DH285" s="52"/>
    </row>
    <row r="286" ht="15.75" customHeight="1">
      <c r="DG286" s="52"/>
      <c r="DH286" s="52"/>
    </row>
    <row r="287" ht="15.75" customHeight="1">
      <c r="DG287" s="52"/>
      <c r="DH287" s="52"/>
    </row>
    <row r="288" ht="15.75" customHeight="1">
      <c r="DG288" s="52"/>
      <c r="DH288" s="52"/>
    </row>
    <row r="289" ht="15.75" customHeight="1">
      <c r="DG289" s="52"/>
      <c r="DH289" s="52"/>
    </row>
    <row r="290" ht="15.75" customHeight="1">
      <c r="DG290" s="52"/>
      <c r="DH290" s="52"/>
    </row>
    <row r="291" ht="15.75" customHeight="1">
      <c r="DG291" s="52"/>
      <c r="DH291" s="52"/>
    </row>
    <row r="292" ht="15.75" customHeight="1">
      <c r="DG292" s="52"/>
      <c r="DH292" s="52"/>
    </row>
    <row r="293" ht="15.75" customHeight="1">
      <c r="DG293" s="52"/>
      <c r="DH293" s="52"/>
    </row>
    <row r="294" ht="15.75" customHeight="1">
      <c r="DG294" s="52"/>
      <c r="DH294" s="52"/>
    </row>
    <row r="295" ht="15.75" customHeight="1">
      <c r="DG295" s="52"/>
      <c r="DH295" s="52"/>
    </row>
    <row r="296" ht="15.75" customHeight="1">
      <c r="DG296" s="52"/>
      <c r="DH296" s="52"/>
    </row>
    <row r="297" ht="15.75" customHeight="1">
      <c r="DG297" s="52"/>
      <c r="DH297" s="52"/>
    </row>
    <row r="298" ht="15.75" customHeight="1">
      <c r="DG298" s="52"/>
      <c r="DH298" s="52"/>
    </row>
    <row r="299" ht="15.75" customHeight="1">
      <c r="DG299" s="52"/>
      <c r="DH299" s="52"/>
    </row>
    <row r="300" ht="15.75" customHeight="1">
      <c r="DG300" s="52"/>
      <c r="DH300" s="52"/>
    </row>
    <row r="301" ht="15.75" customHeight="1">
      <c r="DG301" s="52"/>
      <c r="DH301" s="52"/>
    </row>
    <row r="302" ht="15.75" customHeight="1">
      <c r="DG302" s="52"/>
      <c r="DH302" s="52"/>
    </row>
    <row r="303" ht="15.75" customHeight="1">
      <c r="DG303" s="52"/>
      <c r="DH303" s="52"/>
    </row>
    <row r="304" ht="15.75" customHeight="1">
      <c r="DG304" s="52"/>
      <c r="DH304" s="52"/>
    </row>
    <row r="305" ht="15.75" customHeight="1">
      <c r="DG305" s="52"/>
      <c r="DH305" s="52"/>
    </row>
    <row r="306" ht="15.75" customHeight="1">
      <c r="DG306" s="52"/>
      <c r="DH306" s="52"/>
    </row>
    <row r="307" ht="15.75" customHeight="1">
      <c r="DG307" s="52"/>
      <c r="DH307" s="52"/>
    </row>
    <row r="308" ht="15.75" customHeight="1">
      <c r="DG308" s="52"/>
      <c r="DH308" s="52"/>
    </row>
    <row r="309" ht="15.75" customHeight="1">
      <c r="DG309" s="52"/>
      <c r="DH309" s="52"/>
    </row>
    <row r="310" ht="15.75" customHeight="1">
      <c r="DG310" s="52"/>
      <c r="DH310" s="52"/>
    </row>
    <row r="311" ht="15.75" customHeight="1">
      <c r="DG311" s="52"/>
      <c r="DH311" s="52"/>
    </row>
    <row r="312" ht="15.75" customHeight="1">
      <c r="DG312" s="52"/>
      <c r="DH312" s="52"/>
    </row>
    <row r="313" ht="15.75" customHeight="1">
      <c r="DG313" s="52"/>
      <c r="DH313" s="52"/>
    </row>
    <row r="314" ht="15.75" customHeight="1">
      <c r="DG314" s="52"/>
      <c r="DH314" s="52"/>
    </row>
    <row r="315" ht="15.75" customHeight="1">
      <c r="DG315" s="52"/>
      <c r="DH315" s="52"/>
    </row>
    <row r="316" ht="15.75" customHeight="1">
      <c r="DG316" s="52"/>
      <c r="DH316" s="52"/>
    </row>
    <row r="317" ht="15.75" customHeight="1">
      <c r="DG317" s="52"/>
      <c r="DH317" s="52"/>
    </row>
    <row r="318" ht="15.75" customHeight="1">
      <c r="DG318" s="52"/>
      <c r="DH318" s="52"/>
    </row>
    <row r="319" ht="15.75" customHeight="1">
      <c r="DG319" s="52"/>
      <c r="DH319" s="52"/>
    </row>
    <row r="320" ht="15.75" customHeight="1">
      <c r="DG320" s="52"/>
      <c r="DH320" s="52"/>
    </row>
    <row r="321" ht="15.75" customHeight="1">
      <c r="DG321" s="52"/>
      <c r="DH321" s="52"/>
    </row>
    <row r="322" ht="15.75" customHeight="1">
      <c r="DG322" s="52"/>
      <c r="DH322" s="52"/>
    </row>
    <row r="323" ht="15.75" customHeight="1">
      <c r="DG323" s="52"/>
      <c r="DH323" s="52"/>
    </row>
    <row r="324" ht="15.75" customHeight="1">
      <c r="DG324" s="52"/>
      <c r="DH324" s="52"/>
    </row>
    <row r="325" ht="15.75" customHeight="1">
      <c r="DG325" s="52"/>
      <c r="DH325" s="52"/>
    </row>
    <row r="326" ht="15.75" customHeight="1">
      <c r="DG326" s="52"/>
      <c r="DH326" s="52"/>
    </row>
    <row r="327" ht="15.75" customHeight="1">
      <c r="DG327" s="52"/>
      <c r="DH327" s="52"/>
    </row>
    <row r="328" ht="15.75" customHeight="1">
      <c r="DG328" s="52"/>
      <c r="DH328" s="52"/>
    </row>
    <row r="329" ht="15.75" customHeight="1">
      <c r="DG329" s="52"/>
      <c r="DH329" s="52"/>
    </row>
    <row r="330" ht="15.75" customHeight="1">
      <c r="DG330" s="52"/>
      <c r="DH330" s="52"/>
    </row>
    <row r="331" ht="15.75" customHeight="1">
      <c r="DG331" s="52"/>
      <c r="DH331" s="52"/>
    </row>
    <row r="332" ht="15.75" customHeight="1">
      <c r="DG332" s="52"/>
      <c r="DH332" s="52"/>
    </row>
    <row r="333" ht="15.75" customHeight="1">
      <c r="DG333" s="52"/>
      <c r="DH333" s="52"/>
    </row>
    <row r="334" ht="15.75" customHeight="1">
      <c r="DG334" s="52"/>
      <c r="DH334" s="52"/>
    </row>
    <row r="335" ht="15.75" customHeight="1">
      <c r="DG335" s="52"/>
      <c r="DH335" s="52"/>
    </row>
    <row r="336" ht="15.75" customHeight="1">
      <c r="DG336" s="52"/>
      <c r="DH336" s="52"/>
    </row>
    <row r="337" ht="15.75" customHeight="1">
      <c r="DG337" s="52"/>
      <c r="DH337" s="52"/>
    </row>
    <row r="338" ht="15.75" customHeight="1">
      <c r="DG338" s="52"/>
      <c r="DH338" s="52"/>
    </row>
    <row r="339" ht="15.75" customHeight="1">
      <c r="DG339" s="52"/>
      <c r="DH339" s="52"/>
    </row>
    <row r="340" ht="15.75" customHeight="1">
      <c r="DG340" s="52"/>
      <c r="DH340" s="52"/>
    </row>
    <row r="341" ht="15.75" customHeight="1">
      <c r="DG341" s="52"/>
      <c r="DH341" s="52"/>
    </row>
    <row r="342" ht="15.75" customHeight="1">
      <c r="DG342" s="52"/>
      <c r="DH342" s="52"/>
    </row>
    <row r="343" ht="15.75" customHeight="1">
      <c r="DG343" s="52"/>
      <c r="DH343" s="52"/>
    </row>
    <row r="344" ht="15.75" customHeight="1">
      <c r="DG344" s="52"/>
      <c r="DH344" s="52"/>
    </row>
    <row r="345" ht="15.75" customHeight="1">
      <c r="DG345" s="52"/>
      <c r="DH345" s="52"/>
    </row>
    <row r="346" ht="15.75" customHeight="1">
      <c r="DG346" s="52"/>
      <c r="DH346" s="52"/>
    </row>
    <row r="347" ht="15.75" customHeight="1">
      <c r="DG347" s="52"/>
      <c r="DH347" s="52"/>
    </row>
    <row r="348" ht="15.75" customHeight="1">
      <c r="DG348" s="52"/>
      <c r="DH348" s="52"/>
    </row>
    <row r="349" ht="15.75" customHeight="1">
      <c r="DG349" s="52"/>
      <c r="DH349" s="52"/>
    </row>
    <row r="350" ht="15.75" customHeight="1">
      <c r="DG350" s="52"/>
      <c r="DH350" s="52"/>
    </row>
    <row r="351" ht="15.75" customHeight="1">
      <c r="DG351" s="52"/>
      <c r="DH351" s="52"/>
    </row>
    <row r="352" ht="15.75" customHeight="1">
      <c r="DG352" s="52"/>
      <c r="DH352" s="52"/>
    </row>
    <row r="353" ht="15.75" customHeight="1">
      <c r="DG353" s="52"/>
      <c r="DH353" s="52"/>
    </row>
    <row r="354" ht="15.75" customHeight="1">
      <c r="DG354" s="52"/>
      <c r="DH354" s="52"/>
    </row>
    <row r="355" ht="15.75" customHeight="1">
      <c r="DG355" s="52"/>
      <c r="DH355" s="52"/>
    </row>
    <row r="356" ht="15.75" customHeight="1">
      <c r="DG356" s="52"/>
      <c r="DH356" s="52"/>
    </row>
    <row r="357" ht="15.75" customHeight="1">
      <c r="DG357" s="52"/>
      <c r="DH357" s="52"/>
    </row>
    <row r="358" ht="15.75" customHeight="1">
      <c r="DG358" s="52"/>
      <c r="DH358" s="52"/>
    </row>
    <row r="359" ht="15.75" customHeight="1">
      <c r="DG359" s="52"/>
      <c r="DH359" s="52"/>
    </row>
    <row r="360" ht="15.75" customHeight="1">
      <c r="DG360" s="52"/>
      <c r="DH360" s="52"/>
    </row>
    <row r="361" ht="15.75" customHeight="1">
      <c r="DG361" s="52"/>
      <c r="DH361" s="52"/>
    </row>
    <row r="362" ht="15.75" customHeight="1">
      <c r="DG362" s="52"/>
      <c r="DH362" s="52"/>
    </row>
    <row r="363" ht="15.75" customHeight="1">
      <c r="DG363" s="52"/>
      <c r="DH363" s="52"/>
    </row>
    <row r="364" ht="15.75" customHeight="1">
      <c r="DG364" s="52"/>
      <c r="DH364" s="52"/>
    </row>
    <row r="365" ht="15.75" customHeight="1">
      <c r="DG365" s="52"/>
      <c r="DH365" s="52"/>
    </row>
    <row r="366" ht="15.75" customHeight="1">
      <c r="DG366" s="52"/>
      <c r="DH366" s="52"/>
    </row>
    <row r="367" ht="15.75" customHeight="1">
      <c r="DG367" s="52"/>
      <c r="DH367" s="52"/>
    </row>
    <row r="368" ht="15.75" customHeight="1">
      <c r="DG368" s="52"/>
      <c r="DH368" s="52"/>
    </row>
    <row r="369" ht="15.75" customHeight="1">
      <c r="DG369" s="52"/>
      <c r="DH369" s="52"/>
    </row>
    <row r="370" ht="15.75" customHeight="1">
      <c r="DG370" s="52"/>
      <c r="DH370" s="52"/>
    </row>
    <row r="371" ht="15.75" customHeight="1">
      <c r="DG371" s="52"/>
      <c r="DH371" s="52"/>
    </row>
    <row r="372" ht="15.75" customHeight="1">
      <c r="DG372" s="52"/>
      <c r="DH372" s="52"/>
    </row>
    <row r="373" ht="15.75" customHeight="1">
      <c r="DG373" s="52"/>
      <c r="DH373" s="52"/>
    </row>
    <row r="374" ht="15.75" customHeight="1">
      <c r="DG374" s="52"/>
      <c r="DH374" s="52"/>
    </row>
    <row r="375" ht="15.75" customHeight="1">
      <c r="DG375" s="52"/>
      <c r="DH375" s="52"/>
    </row>
    <row r="376" ht="15.75" customHeight="1">
      <c r="DG376" s="52"/>
      <c r="DH376" s="52"/>
    </row>
    <row r="377" ht="15.75" customHeight="1">
      <c r="DG377" s="52"/>
      <c r="DH377" s="52"/>
    </row>
    <row r="378" ht="15.75" customHeight="1">
      <c r="DG378" s="52"/>
      <c r="DH378" s="52"/>
    </row>
    <row r="379" ht="15.75" customHeight="1">
      <c r="DG379" s="52"/>
      <c r="DH379" s="52"/>
    </row>
    <row r="380" ht="15.75" customHeight="1">
      <c r="DG380" s="52"/>
      <c r="DH380" s="52"/>
    </row>
    <row r="381" ht="15.75" customHeight="1">
      <c r="DG381" s="52"/>
      <c r="DH381" s="52"/>
    </row>
    <row r="382" ht="15.75" customHeight="1">
      <c r="DG382" s="52"/>
      <c r="DH382" s="52"/>
    </row>
    <row r="383" ht="15.75" customHeight="1">
      <c r="DG383" s="52"/>
      <c r="DH383" s="52"/>
    </row>
    <row r="384" ht="15.75" customHeight="1">
      <c r="DG384" s="52"/>
      <c r="DH384" s="52"/>
    </row>
    <row r="385" ht="15.75" customHeight="1">
      <c r="DG385" s="52"/>
      <c r="DH385" s="52"/>
    </row>
    <row r="386" ht="15.75" customHeight="1">
      <c r="DG386" s="52"/>
      <c r="DH386" s="52"/>
    </row>
    <row r="387" ht="15.75" customHeight="1">
      <c r="DG387" s="52"/>
      <c r="DH387" s="52"/>
    </row>
    <row r="388" ht="15.75" customHeight="1">
      <c r="DG388" s="52"/>
      <c r="DH388" s="52"/>
    </row>
    <row r="389" ht="15.75" customHeight="1">
      <c r="DG389" s="52"/>
      <c r="DH389" s="52"/>
    </row>
    <row r="390" ht="15.75" customHeight="1">
      <c r="DG390" s="52"/>
      <c r="DH390" s="52"/>
    </row>
    <row r="391" ht="15.75" customHeight="1">
      <c r="DG391" s="52"/>
      <c r="DH391" s="52"/>
    </row>
    <row r="392" ht="15.75" customHeight="1">
      <c r="DG392" s="52"/>
      <c r="DH392" s="52"/>
    </row>
    <row r="393" ht="15.75" customHeight="1">
      <c r="DG393" s="52"/>
      <c r="DH393" s="52"/>
    </row>
    <row r="394" ht="15.75" customHeight="1">
      <c r="DG394" s="52"/>
      <c r="DH394" s="52"/>
    </row>
    <row r="395" ht="15.75" customHeight="1">
      <c r="DG395" s="52"/>
      <c r="DH395" s="52"/>
    </row>
    <row r="396" ht="15.75" customHeight="1">
      <c r="DG396" s="52"/>
      <c r="DH396" s="52"/>
    </row>
    <row r="397" ht="15.75" customHeight="1">
      <c r="DG397" s="52"/>
      <c r="DH397" s="52"/>
    </row>
    <row r="398" ht="15.75" customHeight="1">
      <c r="DG398" s="52"/>
      <c r="DH398" s="52"/>
    </row>
    <row r="399" ht="15.75" customHeight="1">
      <c r="DG399" s="52"/>
      <c r="DH399" s="52"/>
    </row>
    <row r="400" ht="15.75" customHeight="1">
      <c r="DG400" s="52"/>
      <c r="DH400" s="52"/>
    </row>
    <row r="401" ht="15.75" customHeight="1">
      <c r="DG401" s="52"/>
      <c r="DH401" s="52"/>
    </row>
    <row r="402" ht="15.75" customHeight="1">
      <c r="DG402" s="52"/>
      <c r="DH402" s="52"/>
    </row>
    <row r="403" ht="15.75" customHeight="1">
      <c r="DG403" s="52"/>
      <c r="DH403" s="52"/>
    </row>
    <row r="404" ht="15.75" customHeight="1">
      <c r="DG404" s="52"/>
      <c r="DH404" s="52"/>
    </row>
    <row r="405" ht="15.75" customHeight="1">
      <c r="DG405" s="52"/>
      <c r="DH405" s="52"/>
    </row>
    <row r="406" ht="15.75" customHeight="1">
      <c r="DG406" s="52"/>
      <c r="DH406" s="52"/>
    </row>
    <row r="407" ht="15.75" customHeight="1">
      <c r="DG407" s="52"/>
      <c r="DH407" s="52"/>
    </row>
    <row r="408" ht="15.75" customHeight="1">
      <c r="DG408" s="52"/>
      <c r="DH408" s="52"/>
    </row>
    <row r="409" ht="15.75" customHeight="1">
      <c r="DG409" s="52"/>
      <c r="DH409" s="52"/>
    </row>
    <row r="410" ht="15.75" customHeight="1">
      <c r="DG410" s="52"/>
      <c r="DH410" s="52"/>
    </row>
    <row r="411" ht="15.75" customHeight="1">
      <c r="DG411" s="52"/>
      <c r="DH411" s="52"/>
    </row>
    <row r="412" ht="15.75" customHeight="1">
      <c r="DG412" s="52"/>
      <c r="DH412" s="52"/>
    </row>
    <row r="413" ht="15.75" customHeight="1">
      <c r="DG413" s="52"/>
      <c r="DH413" s="52"/>
    </row>
    <row r="414" ht="15.75" customHeight="1">
      <c r="DG414" s="52"/>
      <c r="DH414" s="52"/>
    </row>
    <row r="415" ht="15.75" customHeight="1">
      <c r="DG415" s="52"/>
      <c r="DH415" s="52"/>
    </row>
    <row r="416" ht="15.75" customHeight="1">
      <c r="DG416" s="52"/>
      <c r="DH416" s="52"/>
    </row>
    <row r="417" ht="15.75" customHeight="1">
      <c r="DG417" s="52"/>
      <c r="DH417" s="52"/>
    </row>
    <row r="418" ht="15.75" customHeight="1">
      <c r="DG418" s="52"/>
      <c r="DH418" s="52"/>
    </row>
    <row r="419" ht="15.75" customHeight="1">
      <c r="DG419" s="52"/>
      <c r="DH419" s="52"/>
    </row>
    <row r="420" ht="15.75" customHeight="1">
      <c r="DG420" s="52"/>
      <c r="DH420" s="52"/>
    </row>
    <row r="421" ht="15.75" customHeight="1">
      <c r="DG421" s="52"/>
      <c r="DH421" s="52"/>
    </row>
    <row r="422" ht="15.75" customHeight="1">
      <c r="DG422" s="52"/>
      <c r="DH422" s="52"/>
    </row>
    <row r="423" ht="15.75" customHeight="1">
      <c r="DG423" s="52"/>
      <c r="DH423" s="52"/>
    </row>
    <row r="424" ht="15.75" customHeight="1">
      <c r="DG424" s="52"/>
      <c r="DH424" s="52"/>
    </row>
    <row r="425" ht="15.75" customHeight="1">
      <c r="DG425" s="52"/>
      <c r="DH425" s="52"/>
    </row>
    <row r="426" ht="15.75" customHeight="1">
      <c r="DG426" s="52"/>
      <c r="DH426" s="52"/>
    </row>
    <row r="427" ht="15.75" customHeight="1">
      <c r="DG427" s="52"/>
      <c r="DH427" s="52"/>
    </row>
    <row r="428" ht="15.75" customHeight="1">
      <c r="DG428" s="52"/>
      <c r="DH428" s="52"/>
    </row>
    <row r="429" ht="15.75" customHeight="1">
      <c r="DG429" s="52"/>
      <c r="DH429" s="52"/>
    </row>
    <row r="430" ht="15.75" customHeight="1">
      <c r="DG430" s="52"/>
      <c r="DH430" s="52"/>
    </row>
    <row r="431" ht="15.75" customHeight="1">
      <c r="DG431" s="52"/>
      <c r="DH431" s="52"/>
    </row>
    <row r="432" ht="15.75" customHeight="1">
      <c r="DG432" s="52"/>
      <c r="DH432" s="52"/>
    </row>
    <row r="433" ht="15.75" customHeight="1">
      <c r="DG433" s="52"/>
      <c r="DH433" s="52"/>
    </row>
    <row r="434" ht="15.75" customHeight="1">
      <c r="DG434" s="52"/>
      <c r="DH434" s="52"/>
    </row>
    <row r="435" ht="15.75" customHeight="1">
      <c r="DG435" s="52"/>
      <c r="DH435" s="52"/>
    </row>
    <row r="436" ht="15.75" customHeight="1">
      <c r="DG436" s="52"/>
      <c r="DH436" s="52"/>
    </row>
    <row r="437" ht="15.75" customHeight="1">
      <c r="DG437" s="52"/>
      <c r="DH437" s="52"/>
    </row>
    <row r="438" ht="15.75" customHeight="1">
      <c r="DG438" s="52"/>
      <c r="DH438" s="52"/>
    </row>
    <row r="439" ht="15.75" customHeight="1">
      <c r="DG439" s="52"/>
      <c r="DH439" s="52"/>
    </row>
    <row r="440" ht="15.75" customHeight="1">
      <c r="DG440" s="52"/>
      <c r="DH440" s="52"/>
    </row>
    <row r="441" ht="15.75" customHeight="1">
      <c r="DG441" s="52"/>
      <c r="DH441" s="52"/>
    </row>
    <row r="442" ht="15.75" customHeight="1">
      <c r="DG442" s="52"/>
      <c r="DH442" s="52"/>
    </row>
    <row r="443" ht="15.75" customHeight="1">
      <c r="DG443" s="52"/>
      <c r="DH443" s="52"/>
    </row>
    <row r="444" ht="15.75" customHeight="1">
      <c r="DG444" s="52"/>
      <c r="DH444" s="52"/>
    </row>
    <row r="445" ht="15.75" customHeight="1">
      <c r="DG445" s="52"/>
      <c r="DH445" s="52"/>
    </row>
    <row r="446" ht="15.75" customHeight="1">
      <c r="DG446" s="52"/>
      <c r="DH446" s="52"/>
    </row>
    <row r="447" ht="15.75" customHeight="1">
      <c r="DG447" s="52"/>
      <c r="DH447" s="52"/>
    </row>
    <row r="448" ht="15.75" customHeight="1">
      <c r="DG448" s="52"/>
      <c r="DH448" s="52"/>
    </row>
    <row r="449" ht="15.75" customHeight="1">
      <c r="DG449" s="52"/>
      <c r="DH449" s="52"/>
    </row>
    <row r="450" ht="15.75" customHeight="1">
      <c r="DG450" s="52"/>
      <c r="DH450" s="52"/>
    </row>
    <row r="451" ht="15.75" customHeight="1">
      <c r="DG451" s="52"/>
      <c r="DH451" s="52"/>
    </row>
    <row r="452" ht="15.75" customHeight="1">
      <c r="DG452" s="52"/>
      <c r="DH452" s="52"/>
    </row>
    <row r="453" ht="15.75" customHeight="1">
      <c r="DG453" s="52"/>
      <c r="DH453" s="52"/>
    </row>
    <row r="454" ht="15.75" customHeight="1">
      <c r="DG454" s="52"/>
      <c r="DH454" s="52"/>
    </row>
    <row r="455" ht="15.75" customHeight="1">
      <c r="DG455" s="52"/>
      <c r="DH455" s="52"/>
    </row>
    <row r="456" ht="15.75" customHeight="1">
      <c r="DG456" s="52"/>
      <c r="DH456" s="52"/>
    </row>
    <row r="457" ht="15.75" customHeight="1">
      <c r="DG457" s="52"/>
      <c r="DH457" s="52"/>
    </row>
    <row r="458" ht="15.75" customHeight="1">
      <c r="DG458" s="52"/>
      <c r="DH458" s="52"/>
    </row>
    <row r="459" ht="15.75" customHeight="1">
      <c r="DG459" s="52"/>
      <c r="DH459" s="52"/>
    </row>
    <row r="460" ht="15.75" customHeight="1">
      <c r="DG460" s="52"/>
      <c r="DH460" s="52"/>
    </row>
    <row r="461" ht="15.75" customHeight="1">
      <c r="DG461" s="52"/>
      <c r="DH461" s="52"/>
    </row>
    <row r="462" ht="15.75" customHeight="1">
      <c r="DG462" s="52"/>
      <c r="DH462" s="52"/>
    </row>
    <row r="463" ht="15.75" customHeight="1">
      <c r="DG463" s="52"/>
      <c r="DH463" s="52"/>
    </row>
    <row r="464" ht="15.75" customHeight="1">
      <c r="DG464" s="52"/>
      <c r="DH464" s="52"/>
    </row>
    <row r="465" ht="15.75" customHeight="1">
      <c r="DG465" s="52"/>
      <c r="DH465" s="52"/>
    </row>
    <row r="466" ht="15.75" customHeight="1">
      <c r="DG466" s="52"/>
      <c r="DH466" s="52"/>
    </row>
    <row r="467" ht="15.75" customHeight="1">
      <c r="DG467" s="52"/>
      <c r="DH467" s="52"/>
    </row>
    <row r="468" ht="15.75" customHeight="1">
      <c r="DG468" s="52"/>
      <c r="DH468" s="52"/>
    </row>
    <row r="469" ht="15.75" customHeight="1">
      <c r="DG469" s="52"/>
      <c r="DH469" s="52"/>
    </row>
    <row r="470" ht="15.75" customHeight="1">
      <c r="DG470" s="52"/>
      <c r="DH470" s="52"/>
    </row>
    <row r="471" ht="15.75" customHeight="1">
      <c r="DG471" s="52"/>
      <c r="DH471" s="52"/>
    </row>
    <row r="472" ht="15.75" customHeight="1">
      <c r="DG472" s="52"/>
      <c r="DH472" s="52"/>
    </row>
    <row r="473" ht="15.75" customHeight="1">
      <c r="DG473" s="52"/>
      <c r="DH473" s="52"/>
    </row>
    <row r="474" ht="15.75" customHeight="1">
      <c r="DG474" s="52"/>
      <c r="DH474" s="52"/>
    </row>
    <row r="475" ht="15.75" customHeight="1">
      <c r="DG475" s="52"/>
      <c r="DH475" s="52"/>
    </row>
    <row r="476" ht="15.75" customHeight="1">
      <c r="DG476" s="52"/>
      <c r="DH476" s="52"/>
    </row>
    <row r="477" ht="15.75" customHeight="1">
      <c r="DG477" s="52"/>
      <c r="DH477" s="52"/>
    </row>
    <row r="478" ht="15.75" customHeight="1">
      <c r="DG478" s="52"/>
      <c r="DH478" s="52"/>
    </row>
    <row r="479" ht="15.75" customHeight="1">
      <c r="DG479" s="52"/>
      <c r="DH479" s="52"/>
    </row>
    <row r="480" ht="15.75" customHeight="1">
      <c r="DG480" s="52"/>
      <c r="DH480" s="52"/>
    </row>
    <row r="481" ht="15.75" customHeight="1">
      <c r="DG481" s="52"/>
      <c r="DH481" s="52"/>
    </row>
    <row r="482" ht="15.75" customHeight="1">
      <c r="DG482" s="52"/>
      <c r="DH482" s="52"/>
    </row>
    <row r="483" ht="15.75" customHeight="1">
      <c r="DG483" s="52"/>
      <c r="DH483" s="52"/>
    </row>
    <row r="484" ht="15.75" customHeight="1">
      <c r="DG484" s="52"/>
      <c r="DH484" s="52"/>
    </row>
    <row r="485" ht="15.75" customHeight="1">
      <c r="DG485" s="52"/>
      <c r="DH485" s="52"/>
    </row>
    <row r="486" ht="15.75" customHeight="1">
      <c r="DG486" s="52"/>
      <c r="DH486" s="52"/>
    </row>
    <row r="487" ht="15.75" customHeight="1">
      <c r="DG487" s="52"/>
      <c r="DH487" s="52"/>
    </row>
    <row r="488" ht="15.75" customHeight="1">
      <c r="DG488" s="52"/>
      <c r="DH488" s="52"/>
    </row>
    <row r="489" ht="15.75" customHeight="1">
      <c r="DG489" s="52"/>
      <c r="DH489" s="52"/>
    </row>
    <row r="490" ht="15.75" customHeight="1">
      <c r="DG490" s="52"/>
      <c r="DH490" s="52"/>
    </row>
    <row r="491" ht="15.75" customHeight="1">
      <c r="DG491" s="52"/>
      <c r="DH491" s="52"/>
    </row>
    <row r="492" ht="15.75" customHeight="1">
      <c r="DG492" s="52"/>
      <c r="DH492" s="52"/>
    </row>
    <row r="493" ht="15.75" customHeight="1">
      <c r="DG493" s="52"/>
      <c r="DH493" s="52"/>
    </row>
    <row r="494" ht="15.75" customHeight="1">
      <c r="DG494" s="52"/>
      <c r="DH494" s="52"/>
    </row>
    <row r="495" ht="15.75" customHeight="1">
      <c r="DG495" s="52"/>
      <c r="DH495" s="52"/>
    </row>
    <row r="496" ht="15.75" customHeight="1">
      <c r="DG496" s="52"/>
      <c r="DH496" s="52"/>
    </row>
    <row r="497" ht="15.75" customHeight="1">
      <c r="DG497" s="52"/>
      <c r="DH497" s="52"/>
    </row>
    <row r="498" ht="15.75" customHeight="1">
      <c r="DG498" s="52"/>
      <c r="DH498" s="52"/>
    </row>
    <row r="499" ht="15.75" customHeight="1">
      <c r="DG499" s="52"/>
      <c r="DH499" s="52"/>
    </row>
    <row r="500" ht="15.75" customHeight="1">
      <c r="DG500" s="52"/>
      <c r="DH500" s="52"/>
    </row>
    <row r="501" ht="15.75" customHeight="1">
      <c r="DG501" s="52"/>
      <c r="DH501" s="52"/>
    </row>
    <row r="502" ht="15.75" customHeight="1">
      <c r="DG502" s="52"/>
      <c r="DH502" s="52"/>
    </row>
    <row r="503" ht="15.75" customHeight="1">
      <c r="DG503" s="52"/>
      <c r="DH503" s="52"/>
    </row>
    <row r="504" ht="15.75" customHeight="1">
      <c r="DG504" s="52"/>
      <c r="DH504" s="52"/>
    </row>
    <row r="505" ht="15.75" customHeight="1">
      <c r="DG505" s="52"/>
      <c r="DH505" s="52"/>
    </row>
    <row r="506" ht="15.75" customHeight="1">
      <c r="DG506" s="52"/>
      <c r="DH506" s="52"/>
    </row>
    <row r="507" ht="15.75" customHeight="1">
      <c r="DG507" s="52"/>
      <c r="DH507" s="52"/>
    </row>
    <row r="508" ht="15.75" customHeight="1">
      <c r="DG508" s="52"/>
      <c r="DH508" s="52"/>
    </row>
    <row r="509" ht="15.75" customHeight="1">
      <c r="DG509" s="52"/>
      <c r="DH509" s="52"/>
    </row>
    <row r="510" ht="15.75" customHeight="1">
      <c r="DG510" s="52"/>
      <c r="DH510" s="52"/>
    </row>
    <row r="511" ht="15.75" customHeight="1">
      <c r="DG511" s="52"/>
      <c r="DH511" s="52"/>
    </row>
    <row r="512" ht="15.75" customHeight="1">
      <c r="DG512" s="52"/>
      <c r="DH512" s="52"/>
    </row>
    <row r="513" ht="15.75" customHeight="1">
      <c r="DG513" s="52"/>
      <c r="DH513" s="52"/>
    </row>
    <row r="514" ht="15.75" customHeight="1">
      <c r="DG514" s="52"/>
      <c r="DH514" s="52"/>
    </row>
    <row r="515" ht="15.75" customHeight="1">
      <c r="DG515" s="52"/>
      <c r="DH515" s="52"/>
    </row>
    <row r="516" ht="15.75" customHeight="1">
      <c r="DG516" s="52"/>
      <c r="DH516" s="52"/>
    </row>
    <row r="517" ht="15.75" customHeight="1">
      <c r="DG517" s="52"/>
      <c r="DH517" s="52"/>
    </row>
    <row r="518" ht="15.75" customHeight="1">
      <c r="DG518" s="52"/>
      <c r="DH518" s="52"/>
    </row>
    <row r="519" ht="15.75" customHeight="1">
      <c r="DG519" s="52"/>
      <c r="DH519" s="52"/>
    </row>
    <row r="520" ht="15.75" customHeight="1">
      <c r="DG520" s="52"/>
      <c r="DH520" s="52"/>
    </row>
    <row r="521" ht="15.75" customHeight="1">
      <c r="DG521" s="52"/>
      <c r="DH521" s="52"/>
    </row>
    <row r="522" ht="15.75" customHeight="1">
      <c r="DG522" s="52"/>
      <c r="DH522" s="52"/>
    </row>
    <row r="523" ht="15.75" customHeight="1">
      <c r="DG523" s="52"/>
      <c r="DH523" s="52"/>
    </row>
    <row r="524" ht="15.75" customHeight="1">
      <c r="DG524" s="52"/>
      <c r="DH524" s="52"/>
    </row>
    <row r="525" ht="15.75" customHeight="1">
      <c r="DG525" s="52"/>
      <c r="DH525" s="52"/>
    </row>
    <row r="526" ht="15.75" customHeight="1">
      <c r="DG526" s="52"/>
      <c r="DH526" s="52"/>
    </row>
    <row r="527" ht="15.75" customHeight="1">
      <c r="DG527" s="52"/>
      <c r="DH527" s="52"/>
    </row>
    <row r="528" ht="15.75" customHeight="1">
      <c r="DG528" s="52"/>
      <c r="DH528" s="52"/>
    </row>
    <row r="529" ht="15.75" customHeight="1">
      <c r="DG529" s="52"/>
      <c r="DH529" s="52"/>
    </row>
    <row r="530" ht="15.75" customHeight="1">
      <c r="DG530" s="52"/>
      <c r="DH530" s="52"/>
    </row>
    <row r="531" ht="15.75" customHeight="1">
      <c r="DG531" s="52"/>
      <c r="DH531" s="52"/>
    </row>
    <row r="532" ht="15.75" customHeight="1">
      <c r="DG532" s="52"/>
      <c r="DH532" s="52"/>
    </row>
    <row r="533" ht="15.75" customHeight="1">
      <c r="DG533" s="52"/>
      <c r="DH533" s="52"/>
    </row>
    <row r="534" ht="15.75" customHeight="1">
      <c r="DG534" s="52"/>
      <c r="DH534" s="52"/>
    </row>
    <row r="535" ht="15.75" customHeight="1">
      <c r="DG535" s="52"/>
      <c r="DH535" s="52"/>
    </row>
    <row r="536" ht="15.75" customHeight="1">
      <c r="DG536" s="52"/>
      <c r="DH536" s="52"/>
    </row>
    <row r="537" ht="15.75" customHeight="1">
      <c r="DG537" s="52"/>
      <c r="DH537" s="52"/>
    </row>
    <row r="538" ht="15.75" customHeight="1">
      <c r="DG538" s="52"/>
      <c r="DH538" s="52"/>
    </row>
    <row r="539" ht="15.75" customHeight="1">
      <c r="DG539" s="52"/>
      <c r="DH539" s="52"/>
    </row>
    <row r="540" ht="15.75" customHeight="1">
      <c r="DG540" s="52"/>
      <c r="DH540" s="52"/>
    </row>
    <row r="541" ht="15.75" customHeight="1">
      <c r="DG541" s="52"/>
      <c r="DH541" s="52"/>
    </row>
    <row r="542" ht="15.75" customHeight="1">
      <c r="DG542" s="52"/>
      <c r="DH542" s="52"/>
    </row>
    <row r="543" ht="15.75" customHeight="1">
      <c r="DG543" s="52"/>
      <c r="DH543" s="52"/>
    </row>
    <row r="544" ht="15.75" customHeight="1">
      <c r="DG544" s="52"/>
      <c r="DH544" s="52"/>
    </row>
    <row r="545" ht="15.75" customHeight="1">
      <c r="DG545" s="52"/>
      <c r="DH545" s="52"/>
    </row>
    <row r="546" ht="15.75" customHeight="1">
      <c r="DG546" s="52"/>
      <c r="DH546" s="52"/>
    </row>
    <row r="547" ht="15.75" customHeight="1">
      <c r="DG547" s="52"/>
      <c r="DH547" s="52"/>
    </row>
    <row r="548" ht="15.75" customHeight="1">
      <c r="DG548" s="52"/>
      <c r="DH548" s="52"/>
    </row>
    <row r="549" ht="15.75" customHeight="1">
      <c r="DG549" s="52"/>
      <c r="DH549" s="52"/>
    </row>
    <row r="550" ht="15.75" customHeight="1">
      <c r="DG550" s="52"/>
      <c r="DH550" s="52"/>
    </row>
    <row r="551" ht="15.75" customHeight="1">
      <c r="DG551" s="52"/>
      <c r="DH551" s="52"/>
    </row>
    <row r="552" ht="15.75" customHeight="1">
      <c r="DG552" s="52"/>
      <c r="DH552" s="52"/>
    </row>
    <row r="553" ht="15.75" customHeight="1">
      <c r="DG553" s="52"/>
      <c r="DH553" s="52"/>
    </row>
    <row r="554" ht="15.75" customHeight="1">
      <c r="DG554" s="52"/>
      <c r="DH554" s="52"/>
    </row>
    <row r="555" ht="15.75" customHeight="1">
      <c r="DG555" s="52"/>
      <c r="DH555" s="52"/>
    </row>
    <row r="556" ht="15.75" customHeight="1">
      <c r="DG556" s="52"/>
      <c r="DH556" s="52"/>
    </row>
    <row r="557" ht="15.75" customHeight="1">
      <c r="DG557" s="52"/>
      <c r="DH557" s="52"/>
    </row>
    <row r="558" ht="15.75" customHeight="1">
      <c r="DG558" s="52"/>
      <c r="DH558" s="52"/>
    </row>
    <row r="559" ht="15.75" customHeight="1">
      <c r="DG559" s="52"/>
      <c r="DH559" s="52"/>
    </row>
    <row r="560" ht="15.75" customHeight="1">
      <c r="DG560" s="52"/>
      <c r="DH560" s="52"/>
    </row>
    <row r="561" ht="15.75" customHeight="1">
      <c r="DG561" s="52"/>
      <c r="DH561" s="52"/>
    </row>
    <row r="562" ht="15.75" customHeight="1">
      <c r="DG562" s="52"/>
      <c r="DH562" s="52"/>
    </row>
    <row r="563" ht="15.75" customHeight="1">
      <c r="DG563" s="52"/>
      <c r="DH563" s="52"/>
    </row>
    <row r="564" ht="15.75" customHeight="1">
      <c r="DG564" s="52"/>
      <c r="DH564" s="52"/>
    </row>
    <row r="565" ht="15.75" customHeight="1">
      <c r="DG565" s="52"/>
      <c r="DH565" s="52"/>
    </row>
    <row r="566" ht="15.75" customHeight="1">
      <c r="DG566" s="52"/>
      <c r="DH566" s="52"/>
    </row>
    <row r="567" ht="15.75" customHeight="1">
      <c r="DG567" s="52"/>
      <c r="DH567" s="52"/>
    </row>
    <row r="568" ht="15.75" customHeight="1">
      <c r="DG568" s="52"/>
      <c r="DH568" s="52"/>
    </row>
    <row r="569" ht="15.75" customHeight="1">
      <c r="DG569" s="52"/>
      <c r="DH569" s="52"/>
    </row>
    <row r="570" ht="15.75" customHeight="1">
      <c r="DG570" s="52"/>
      <c r="DH570" s="52"/>
    </row>
    <row r="571" ht="15.75" customHeight="1">
      <c r="DG571" s="52"/>
      <c r="DH571" s="52"/>
    </row>
    <row r="572" ht="15.75" customHeight="1">
      <c r="DG572" s="52"/>
      <c r="DH572" s="52"/>
    </row>
    <row r="573" ht="15.75" customHeight="1">
      <c r="DG573" s="52"/>
      <c r="DH573" s="52"/>
    </row>
    <row r="574" ht="15.75" customHeight="1">
      <c r="DG574" s="52"/>
      <c r="DH574" s="52"/>
    </row>
    <row r="575" ht="15.75" customHeight="1">
      <c r="DG575" s="52"/>
      <c r="DH575" s="52"/>
    </row>
    <row r="576" ht="15.75" customHeight="1">
      <c r="DG576" s="52"/>
      <c r="DH576" s="52"/>
    </row>
    <row r="577" ht="15.75" customHeight="1">
      <c r="DG577" s="52"/>
      <c r="DH577" s="52"/>
    </row>
    <row r="578" ht="15.75" customHeight="1">
      <c r="DG578" s="52"/>
      <c r="DH578" s="52"/>
    </row>
    <row r="579" ht="15.75" customHeight="1">
      <c r="DG579" s="52"/>
      <c r="DH579" s="52"/>
    </row>
    <row r="580" ht="15.75" customHeight="1">
      <c r="DG580" s="52"/>
      <c r="DH580" s="52"/>
    </row>
    <row r="581" ht="15.75" customHeight="1">
      <c r="DG581" s="52"/>
      <c r="DH581" s="52"/>
    </row>
    <row r="582" ht="15.75" customHeight="1">
      <c r="DG582" s="52"/>
      <c r="DH582" s="52"/>
    </row>
    <row r="583" ht="15.75" customHeight="1">
      <c r="DG583" s="52"/>
      <c r="DH583" s="52"/>
    </row>
    <row r="584" ht="15.75" customHeight="1">
      <c r="DG584" s="52"/>
      <c r="DH584" s="52"/>
    </row>
    <row r="585" ht="15.75" customHeight="1">
      <c r="DG585" s="52"/>
      <c r="DH585" s="52"/>
    </row>
    <row r="586" ht="15.75" customHeight="1">
      <c r="DG586" s="52"/>
      <c r="DH586" s="52"/>
    </row>
    <row r="587" ht="15.75" customHeight="1">
      <c r="DG587" s="52"/>
      <c r="DH587" s="52"/>
    </row>
    <row r="588" ht="15.75" customHeight="1">
      <c r="DG588" s="52"/>
      <c r="DH588" s="52"/>
    </row>
    <row r="589" ht="15.75" customHeight="1">
      <c r="DG589" s="52"/>
      <c r="DH589" s="52"/>
    </row>
    <row r="590" ht="15.75" customHeight="1">
      <c r="DG590" s="52"/>
      <c r="DH590" s="52"/>
    </row>
    <row r="591" ht="15.75" customHeight="1">
      <c r="DG591" s="52"/>
      <c r="DH591" s="52"/>
    </row>
    <row r="592" ht="15.75" customHeight="1">
      <c r="DG592" s="52"/>
      <c r="DH592" s="52"/>
    </row>
    <row r="593" ht="15.75" customHeight="1">
      <c r="DG593" s="52"/>
      <c r="DH593" s="52"/>
    </row>
    <row r="594" ht="15.75" customHeight="1">
      <c r="DG594" s="52"/>
      <c r="DH594" s="52"/>
    </row>
    <row r="595" ht="15.75" customHeight="1">
      <c r="DG595" s="52"/>
      <c r="DH595" s="52"/>
    </row>
    <row r="596" ht="15.75" customHeight="1">
      <c r="DG596" s="52"/>
      <c r="DH596" s="52"/>
    </row>
    <row r="597" ht="15.75" customHeight="1">
      <c r="DG597" s="52"/>
      <c r="DH597" s="52"/>
    </row>
    <row r="598" ht="15.75" customHeight="1">
      <c r="DG598" s="52"/>
      <c r="DH598" s="52"/>
    </row>
    <row r="599" ht="15.75" customHeight="1">
      <c r="DG599" s="52"/>
      <c r="DH599" s="52"/>
    </row>
    <row r="600" ht="15.75" customHeight="1">
      <c r="DG600" s="52"/>
      <c r="DH600" s="52"/>
    </row>
    <row r="601" ht="15.75" customHeight="1">
      <c r="DG601" s="52"/>
      <c r="DH601" s="52"/>
    </row>
    <row r="602" ht="15.75" customHeight="1">
      <c r="DG602" s="52"/>
      <c r="DH602" s="52"/>
    </row>
    <row r="603" ht="15.75" customHeight="1">
      <c r="DG603" s="52"/>
      <c r="DH603" s="52"/>
    </row>
    <row r="604" ht="15.75" customHeight="1">
      <c r="DG604" s="52"/>
      <c r="DH604" s="52"/>
    </row>
    <row r="605" ht="15.75" customHeight="1">
      <c r="DG605" s="52"/>
      <c r="DH605" s="52"/>
    </row>
    <row r="606" ht="15.75" customHeight="1">
      <c r="DG606" s="52"/>
      <c r="DH606" s="52"/>
    </row>
    <row r="607" ht="15.75" customHeight="1">
      <c r="DG607" s="52"/>
      <c r="DH607" s="52"/>
    </row>
    <row r="608" ht="15.75" customHeight="1">
      <c r="DG608" s="52"/>
      <c r="DH608" s="52"/>
    </row>
    <row r="609" ht="15.75" customHeight="1">
      <c r="DG609" s="52"/>
      <c r="DH609" s="52"/>
    </row>
    <row r="610" ht="15.75" customHeight="1">
      <c r="DG610" s="52"/>
      <c r="DH610" s="52"/>
    </row>
    <row r="611" ht="15.75" customHeight="1">
      <c r="DG611" s="52"/>
      <c r="DH611" s="52"/>
    </row>
    <row r="612" ht="15.75" customHeight="1">
      <c r="DG612" s="52"/>
      <c r="DH612" s="52"/>
    </row>
    <row r="613" ht="15.75" customHeight="1">
      <c r="DG613" s="52"/>
      <c r="DH613" s="52"/>
    </row>
    <row r="614" ht="15.75" customHeight="1">
      <c r="DG614" s="52"/>
      <c r="DH614" s="52"/>
    </row>
    <row r="615" ht="15.75" customHeight="1">
      <c r="DG615" s="52"/>
      <c r="DH615" s="52"/>
    </row>
    <row r="616" ht="15.75" customHeight="1">
      <c r="DG616" s="52"/>
      <c r="DH616" s="52"/>
    </row>
    <row r="617" ht="15.75" customHeight="1">
      <c r="DG617" s="52"/>
      <c r="DH617" s="52"/>
    </row>
    <row r="618" ht="15.75" customHeight="1">
      <c r="DG618" s="52"/>
      <c r="DH618" s="52"/>
    </row>
    <row r="619" ht="15.75" customHeight="1">
      <c r="DG619" s="52"/>
      <c r="DH619" s="52"/>
    </row>
    <row r="620" ht="15.75" customHeight="1">
      <c r="DG620" s="52"/>
      <c r="DH620" s="52"/>
    </row>
    <row r="621" ht="15.75" customHeight="1">
      <c r="DG621" s="52"/>
      <c r="DH621" s="52"/>
    </row>
    <row r="622" ht="15.75" customHeight="1">
      <c r="DG622" s="52"/>
      <c r="DH622" s="52"/>
    </row>
    <row r="623" ht="15.75" customHeight="1">
      <c r="DG623" s="52"/>
      <c r="DH623" s="52"/>
    </row>
    <row r="624" ht="15.75" customHeight="1">
      <c r="DG624" s="52"/>
      <c r="DH624" s="52"/>
    </row>
    <row r="625" ht="15.75" customHeight="1">
      <c r="DG625" s="52"/>
      <c r="DH625" s="52"/>
    </row>
    <row r="626" ht="15.75" customHeight="1">
      <c r="DG626" s="52"/>
      <c r="DH626" s="52"/>
    </row>
    <row r="627" ht="15.75" customHeight="1">
      <c r="DG627" s="52"/>
      <c r="DH627" s="52"/>
    </row>
    <row r="628" ht="15.75" customHeight="1">
      <c r="DG628" s="52"/>
      <c r="DH628" s="52"/>
    </row>
    <row r="629" ht="15.75" customHeight="1">
      <c r="DG629" s="52"/>
      <c r="DH629" s="52"/>
    </row>
    <row r="630" ht="15.75" customHeight="1">
      <c r="DG630" s="52"/>
      <c r="DH630" s="52"/>
    </row>
    <row r="631" ht="15.75" customHeight="1">
      <c r="DG631" s="52"/>
      <c r="DH631" s="52"/>
    </row>
    <row r="632" ht="15.75" customHeight="1">
      <c r="DG632" s="52"/>
      <c r="DH632" s="52"/>
    </row>
    <row r="633" ht="15.75" customHeight="1">
      <c r="DG633" s="52"/>
      <c r="DH633" s="52"/>
    </row>
    <row r="634" ht="15.75" customHeight="1">
      <c r="DG634" s="52"/>
      <c r="DH634" s="52"/>
    </row>
    <row r="635" ht="15.75" customHeight="1">
      <c r="DG635" s="52"/>
      <c r="DH635" s="52"/>
    </row>
    <row r="636" ht="15.75" customHeight="1">
      <c r="DG636" s="52"/>
      <c r="DH636" s="52"/>
    </row>
    <row r="637" ht="15.75" customHeight="1">
      <c r="DG637" s="52"/>
      <c r="DH637" s="52"/>
    </row>
    <row r="638" ht="15.75" customHeight="1">
      <c r="DG638" s="52"/>
      <c r="DH638" s="52"/>
    </row>
    <row r="639" ht="15.75" customHeight="1">
      <c r="DG639" s="52"/>
      <c r="DH639" s="52"/>
    </row>
    <row r="640" ht="15.75" customHeight="1">
      <c r="DG640" s="52"/>
      <c r="DH640" s="52"/>
    </row>
    <row r="641" ht="15.75" customHeight="1">
      <c r="DG641" s="52"/>
      <c r="DH641" s="52"/>
    </row>
    <row r="642" ht="15.75" customHeight="1">
      <c r="DG642" s="52"/>
      <c r="DH642" s="52"/>
    </row>
    <row r="643" ht="15.75" customHeight="1">
      <c r="DG643" s="52"/>
      <c r="DH643" s="52"/>
    </row>
    <row r="644" ht="15.75" customHeight="1">
      <c r="DG644" s="52"/>
      <c r="DH644" s="52"/>
    </row>
    <row r="645" ht="15.75" customHeight="1">
      <c r="DG645" s="52"/>
      <c r="DH645" s="52"/>
    </row>
    <row r="646" ht="15.75" customHeight="1">
      <c r="DG646" s="52"/>
      <c r="DH646" s="52"/>
    </row>
    <row r="647" ht="15.75" customHeight="1">
      <c r="DG647" s="52"/>
      <c r="DH647" s="52"/>
    </row>
    <row r="648" ht="15.75" customHeight="1">
      <c r="DG648" s="52"/>
      <c r="DH648" s="52"/>
    </row>
    <row r="649" ht="15.75" customHeight="1">
      <c r="DG649" s="52"/>
      <c r="DH649" s="52"/>
    </row>
    <row r="650" ht="15.75" customHeight="1">
      <c r="DG650" s="52"/>
      <c r="DH650" s="52"/>
    </row>
    <row r="651" ht="15.75" customHeight="1">
      <c r="DG651" s="52"/>
      <c r="DH651" s="52"/>
    </row>
    <row r="652" ht="15.75" customHeight="1">
      <c r="DG652" s="52"/>
      <c r="DH652" s="52"/>
    </row>
    <row r="653" ht="15.75" customHeight="1">
      <c r="DG653" s="52"/>
      <c r="DH653" s="52"/>
    </row>
    <row r="654" ht="15.75" customHeight="1">
      <c r="DG654" s="52"/>
      <c r="DH654" s="52"/>
    </row>
    <row r="655" ht="15.75" customHeight="1">
      <c r="DG655" s="52"/>
      <c r="DH655" s="52"/>
    </row>
    <row r="656" ht="15.75" customHeight="1">
      <c r="DG656" s="52"/>
      <c r="DH656" s="52"/>
    </row>
    <row r="657" ht="15.75" customHeight="1">
      <c r="DG657" s="52"/>
      <c r="DH657" s="52"/>
    </row>
    <row r="658" ht="15.75" customHeight="1">
      <c r="DG658" s="52"/>
      <c r="DH658" s="52"/>
    </row>
    <row r="659" ht="15.75" customHeight="1">
      <c r="DG659" s="52"/>
      <c r="DH659" s="52"/>
    </row>
    <row r="660" ht="15.75" customHeight="1">
      <c r="DG660" s="52"/>
      <c r="DH660" s="52"/>
    </row>
    <row r="661" ht="15.75" customHeight="1">
      <c r="DG661" s="52"/>
      <c r="DH661" s="52"/>
    </row>
    <row r="662" ht="15.75" customHeight="1">
      <c r="DG662" s="52"/>
      <c r="DH662" s="52"/>
    </row>
    <row r="663" ht="15.75" customHeight="1">
      <c r="DG663" s="52"/>
      <c r="DH663" s="52"/>
    </row>
    <row r="664" ht="15.75" customHeight="1">
      <c r="DG664" s="52"/>
      <c r="DH664" s="52"/>
    </row>
    <row r="665" ht="15.75" customHeight="1">
      <c r="DG665" s="52"/>
      <c r="DH665" s="52"/>
    </row>
    <row r="666" ht="15.75" customHeight="1">
      <c r="DG666" s="52"/>
      <c r="DH666" s="52"/>
    </row>
    <row r="667" ht="15.75" customHeight="1">
      <c r="DG667" s="52"/>
      <c r="DH667" s="52"/>
    </row>
    <row r="668" ht="15.75" customHeight="1">
      <c r="DG668" s="52"/>
      <c r="DH668" s="52"/>
    </row>
    <row r="669" ht="15.75" customHeight="1">
      <c r="DG669" s="52"/>
      <c r="DH669" s="52"/>
    </row>
    <row r="670" ht="15.75" customHeight="1">
      <c r="DG670" s="52"/>
      <c r="DH670" s="52"/>
    </row>
    <row r="671" ht="15.75" customHeight="1">
      <c r="DG671" s="52"/>
      <c r="DH671" s="52"/>
    </row>
    <row r="672" ht="15.75" customHeight="1">
      <c r="DG672" s="52"/>
      <c r="DH672" s="52"/>
    </row>
    <row r="673" ht="15.75" customHeight="1">
      <c r="DG673" s="52"/>
      <c r="DH673" s="52"/>
    </row>
    <row r="674" ht="15.75" customHeight="1">
      <c r="DG674" s="52"/>
      <c r="DH674" s="52"/>
    </row>
    <row r="675" ht="15.75" customHeight="1">
      <c r="DG675" s="52"/>
      <c r="DH675" s="52"/>
    </row>
    <row r="676" ht="15.75" customHeight="1">
      <c r="DG676" s="52"/>
      <c r="DH676" s="52"/>
    </row>
    <row r="677" ht="15.75" customHeight="1">
      <c r="DG677" s="52"/>
      <c r="DH677" s="52"/>
    </row>
    <row r="678" ht="15.75" customHeight="1">
      <c r="DG678" s="52"/>
      <c r="DH678" s="52"/>
    </row>
    <row r="679" ht="15.75" customHeight="1">
      <c r="DG679" s="52"/>
      <c r="DH679" s="52"/>
    </row>
    <row r="680" ht="15.75" customHeight="1">
      <c r="DG680" s="52"/>
      <c r="DH680" s="52"/>
    </row>
    <row r="681" ht="15.75" customHeight="1">
      <c r="DG681" s="52"/>
      <c r="DH681" s="52"/>
    </row>
    <row r="682" ht="15.75" customHeight="1">
      <c r="DG682" s="52"/>
      <c r="DH682" s="52"/>
    </row>
    <row r="683" ht="15.75" customHeight="1">
      <c r="DG683" s="52"/>
      <c r="DH683" s="52"/>
    </row>
    <row r="684" ht="15.75" customHeight="1">
      <c r="DG684" s="52"/>
      <c r="DH684" s="52"/>
    </row>
    <row r="685" ht="15.75" customHeight="1">
      <c r="DG685" s="52"/>
      <c r="DH685" s="52"/>
    </row>
    <row r="686" ht="15.75" customHeight="1">
      <c r="DG686" s="52"/>
      <c r="DH686" s="52"/>
    </row>
    <row r="687" ht="15.75" customHeight="1">
      <c r="DG687" s="52"/>
      <c r="DH687" s="52"/>
    </row>
    <row r="688" ht="15.75" customHeight="1">
      <c r="DG688" s="52"/>
      <c r="DH688" s="52"/>
    </row>
    <row r="689" ht="15.75" customHeight="1">
      <c r="DG689" s="52"/>
      <c r="DH689" s="52"/>
    </row>
    <row r="690" ht="15.75" customHeight="1">
      <c r="DG690" s="52"/>
      <c r="DH690" s="52"/>
    </row>
    <row r="691" ht="15.75" customHeight="1">
      <c r="DG691" s="52"/>
      <c r="DH691" s="52"/>
    </row>
    <row r="692" ht="15.75" customHeight="1">
      <c r="DG692" s="52"/>
      <c r="DH692" s="52"/>
    </row>
    <row r="693" ht="15.75" customHeight="1">
      <c r="DG693" s="52"/>
      <c r="DH693" s="52"/>
    </row>
    <row r="694" ht="15.75" customHeight="1">
      <c r="DG694" s="52"/>
      <c r="DH694" s="52"/>
    </row>
    <row r="695" ht="15.75" customHeight="1">
      <c r="DG695" s="52"/>
      <c r="DH695" s="52"/>
    </row>
    <row r="696" ht="15.75" customHeight="1">
      <c r="DG696" s="52"/>
      <c r="DH696" s="52"/>
    </row>
    <row r="697" ht="15.75" customHeight="1">
      <c r="DG697" s="52"/>
      <c r="DH697" s="52"/>
    </row>
    <row r="698" ht="15.75" customHeight="1">
      <c r="DG698" s="52"/>
      <c r="DH698" s="52"/>
    </row>
    <row r="699" ht="15.75" customHeight="1">
      <c r="DG699" s="52"/>
      <c r="DH699" s="52"/>
    </row>
    <row r="700" ht="15.75" customHeight="1">
      <c r="DG700" s="52"/>
      <c r="DH700" s="52"/>
    </row>
    <row r="701" ht="15.75" customHeight="1">
      <c r="DG701" s="52"/>
      <c r="DH701" s="52"/>
    </row>
    <row r="702" ht="15.75" customHeight="1">
      <c r="DG702" s="52"/>
      <c r="DH702" s="52"/>
    </row>
    <row r="703" ht="15.75" customHeight="1">
      <c r="DG703" s="52"/>
      <c r="DH703" s="52"/>
    </row>
    <row r="704" ht="15.75" customHeight="1">
      <c r="DG704" s="52"/>
      <c r="DH704" s="52"/>
    </row>
    <row r="705" ht="15.75" customHeight="1">
      <c r="DG705" s="52"/>
      <c r="DH705" s="52"/>
    </row>
    <row r="706" ht="15.75" customHeight="1">
      <c r="DG706" s="52"/>
      <c r="DH706" s="52"/>
    </row>
    <row r="707" ht="15.75" customHeight="1">
      <c r="DG707" s="52"/>
      <c r="DH707" s="52"/>
    </row>
    <row r="708" ht="15.75" customHeight="1">
      <c r="DG708" s="52"/>
      <c r="DH708" s="52"/>
    </row>
    <row r="709" ht="15.75" customHeight="1">
      <c r="DG709" s="52"/>
      <c r="DH709" s="52"/>
    </row>
    <row r="710" ht="15.75" customHeight="1">
      <c r="DG710" s="52"/>
      <c r="DH710" s="52"/>
    </row>
    <row r="711" ht="15.75" customHeight="1">
      <c r="DG711" s="52"/>
      <c r="DH711" s="52"/>
    </row>
    <row r="712" ht="15.75" customHeight="1">
      <c r="DG712" s="52"/>
      <c r="DH712" s="52"/>
    </row>
    <row r="713" ht="15.75" customHeight="1">
      <c r="DG713" s="52"/>
      <c r="DH713" s="52"/>
    </row>
    <row r="714" ht="15.75" customHeight="1">
      <c r="DG714" s="52"/>
      <c r="DH714" s="52"/>
    </row>
    <row r="715" ht="15.75" customHeight="1">
      <c r="DG715" s="52"/>
      <c r="DH715" s="52"/>
    </row>
    <row r="716" ht="15.75" customHeight="1">
      <c r="DG716" s="52"/>
      <c r="DH716" s="52"/>
    </row>
    <row r="717" ht="15.75" customHeight="1">
      <c r="DG717" s="52"/>
      <c r="DH717" s="52"/>
    </row>
    <row r="718" ht="15.75" customHeight="1">
      <c r="DG718" s="52"/>
      <c r="DH718" s="52"/>
    </row>
    <row r="719" ht="15.75" customHeight="1">
      <c r="DG719" s="52"/>
      <c r="DH719" s="52"/>
    </row>
    <row r="720" ht="15.75" customHeight="1">
      <c r="DG720" s="52"/>
      <c r="DH720" s="52"/>
    </row>
    <row r="721" ht="15.75" customHeight="1">
      <c r="DG721" s="52"/>
      <c r="DH721" s="52"/>
    </row>
    <row r="722" ht="15.75" customHeight="1">
      <c r="DG722" s="52"/>
      <c r="DH722" s="52"/>
    </row>
    <row r="723" ht="15.75" customHeight="1">
      <c r="DG723" s="52"/>
      <c r="DH723" s="52"/>
    </row>
    <row r="724" ht="15.75" customHeight="1">
      <c r="DG724" s="52"/>
      <c r="DH724" s="52"/>
    </row>
    <row r="725" ht="15.75" customHeight="1">
      <c r="DG725" s="52"/>
      <c r="DH725" s="52"/>
    </row>
    <row r="726" ht="15.75" customHeight="1">
      <c r="DG726" s="52"/>
      <c r="DH726" s="52"/>
    </row>
    <row r="727" ht="15.75" customHeight="1">
      <c r="DG727" s="52"/>
      <c r="DH727" s="52"/>
    </row>
    <row r="728" ht="15.75" customHeight="1">
      <c r="DG728" s="52"/>
      <c r="DH728" s="52"/>
    </row>
    <row r="729" ht="15.75" customHeight="1">
      <c r="DG729" s="52"/>
      <c r="DH729" s="52"/>
    </row>
    <row r="730" ht="15.75" customHeight="1">
      <c r="DG730" s="52"/>
      <c r="DH730" s="52"/>
    </row>
    <row r="731" ht="15.75" customHeight="1">
      <c r="DG731" s="52"/>
      <c r="DH731" s="52"/>
    </row>
    <row r="732" ht="15.75" customHeight="1">
      <c r="DG732" s="52"/>
      <c r="DH732" s="52"/>
    </row>
    <row r="733" ht="15.75" customHeight="1">
      <c r="DG733" s="52"/>
      <c r="DH733" s="52"/>
    </row>
    <row r="734" ht="15.75" customHeight="1">
      <c r="DG734" s="52"/>
      <c r="DH734" s="52"/>
    </row>
    <row r="735" ht="15.75" customHeight="1">
      <c r="DG735" s="52"/>
      <c r="DH735" s="52"/>
    </row>
    <row r="736" ht="15.75" customHeight="1">
      <c r="DG736" s="52"/>
      <c r="DH736" s="52"/>
    </row>
    <row r="737" ht="15.75" customHeight="1">
      <c r="DG737" s="52"/>
      <c r="DH737" s="52"/>
    </row>
    <row r="738" ht="15.75" customHeight="1">
      <c r="DG738" s="52"/>
      <c r="DH738" s="52"/>
    </row>
    <row r="739" ht="15.75" customHeight="1">
      <c r="DG739" s="52"/>
      <c r="DH739" s="52"/>
    </row>
    <row r="740" ht="15.75" customHeight="1">
      <c r="DG740" s="52"/>
      <c r="DH740" s="52"/>
    </row>
    <row r="741" ht="15.75" customHeight="1">
      <c r="DG741" s="52"/>
      <c r="DH741" s="52"/>
    </row>
    <row r="742" ht="15.75" customHeight="1">
      <c r="DG742" s="52"/>
      <c r="DH742" s="52"/>
    </row>
    <row r="743" ht="15.75" customHeight="1">
      <c r="DG743" s="52"/>
      <c r="DH743" s="52"/>
    </row>
    <row r="744" ht="15.75" customHeight="1">
      <c r="DG744" s="52"/>
      <c r="DH744" s="52"/>
    </row>
    <row r="745" ht="15.75" customHeight="1">
      <c r="DG745" s="52"/>
      <c r="DH745" s="52"/>
    </row>
    <row r="746" ht="15.75" customHeight="1">
      <c r="DG746" s="52"/>
      <c r="DH746" s="52"/>
    </row>
    <row r="747" ht="15.75" customHeight="1">
      <c r="DG747" s="52"/>
      <c r="DH747" s="52"/>
    </row>
    <row r="748" ht="15.75" customHeight="1">
      <c r="DG748" s="52"/>
      <c r="DH748" s="52"/>
    </row>
    <row r="749" ht="15.75" customHeight="1">
      <c r="DG749" s="52"/>
      <c r="DH749" s="52"/>
    </row>
    <row r="750" ht="15.75" customHeight="1">
      <c r="DG750" s="52"/>
      <c r="DH750" s="52"/>
    </row>
    <row r="751" ht="15.75" customHeight="1">
      <c r="DG751" s="52"/>
      <c r="DH751" s="52"/>
    </row>
    <row r="752" ht="15.75" customHeight="1">
      <c r="DG752" s="52"/>
      <c r="DH752" s="52"/>
    </row>
    <row r="753" ht="15.75" customHeight="1">
      <c r="DG753" s="52"/>
      <c r="DH753" s="52"/>
    </row>
    <row r="754" ht="15.75" customHeight="1">
      <c r="DG754" s="52"/>
      <c r="DH754" s="52"/>
    </row>
    <row r="755" ht="15.75" customHeight="1">
      <c r="DG755" s="52"/>
      <c r="DH755" s="52"/>
    </row>
    <row r="756" ht="15.75" customHeight="1">
      <c r="DG756" s="52"/>
      <c r="DH756" s="52"/>
    </row>
    <row r="757" ht="15.75" customHeight="1">
      <c r="DG757" s="52"/>
      <c r="DH757" s="52"/>
    </row>
    <row r="758" ht="15.75" customHeight="1">
      <c r="DG758" s="52"/>
      <c r="DH758" s="52"/>
    </row>
    <row r="759" ht="15.75" customHeight="1">
      <c r="DG759" s="52"/>
      <c r="DH759" s="52"/>
    </row>
    <row r="760" ht="15.75" customHeight="1">
      <c r="DG760" s="52"/>
      <c r="DH760" s="52"/>
    </row>
    <row r="761" ht="15.75" customHeight="1">
      <c r="DG761" s="52"/>
      <c r="DH761" s="52"/>
    </row>
    <row r="762" ht="15.75" customHeight="1">
      <c r="DG762" s="52"/>
      <c r="DH762" s="52"/>
    </row>
    <row r="763" ht="15.75" customHeight="1">
      <c r="DG763" s="52"/>
      <c r="DH763" s="52"/>
    </row>
    <row r="764" ht="15.75" customHeight="1">
      <c r="DG764" s="52"/>
      <c r="DH764" s="52"/>
    </row>
    <row r="765" ht="15.75" customHeight="1">
      <c r="DG765" s="52"/>
      <c r="DH765" s="52"/>
    </row>
    <row r="766" ht="15.75" customHeight="1">
      <c r="DG766" s="52"/>
      <c r="DH766" s="52"/>
    </row>
    <row r="767" ht="15.75" customHeight="1">
      <c r="DG767" s="52"/>
      <c r="DH767" s="52"/>
    </row>
    <row r="768" ht="15.75" customHeight="1">
      <c r="DG768" s="52"/>
      <c r="DH768" s="52"/>
    </row>
    <row r="769" ht="15.75" customHeight="1">
      <c r="DG769" s="52"/>
      <c r="DH769" s="52"/>
    </row>
    <row r="770" ht="15.75" customHeight="1">
      <c r="DG770" s="52"/>
      <c r="DH770" s="52"/>
    </row>
    <row r="771" ht="15.75" customHeight="1">
      <c r="DG771" s="52"/>
      <c r="DH771" s="52"/>
    </row>
    <row r="772" ht="15.75" customHeight="1">
      <c r="DG772" s="52"/>
      <c r="DH772" s="52"/>
    </row>
    <row r="773" ht="15.75" customHeight="1">
      <c r="DG773" s="52"/>
      <c r="DH773" s="52"/>
    </row>
    <row r="774" ht="15.75" customHeight="1">
      <c r="DG774" s="52"/>
      <c r="DH774" s="52"/>
    </row>
    <row r="775" ht="15.75" customHeight="1">
      <c r="DG775" s="52"/>
      <c r="DH775" s="52"/>
    </row>
    <row r="776" ht="15.75" customHeight="1">
      <c r="DG776" s="52"/>
      <c r="DH776" s="52"/>
    </row>
    <row r="777" ht="15.75" customHeight="1">
      <c r="DG777" s="52"/>
      <c r="DH777" s="52"/>
    </row>
    <row r="778" ht="15.75" customHeight="1">
      <c r="DG778" s="52"/>
      <c r="DH778" s="52"/>
    </row>
    <row r="779" ht="15.75" customHeight="1">
      <c r="DG779" s="52"/>
      <c r="DH779" s="52"/>
    </row>
    <row r="780" ht="15.75" customHeight="1">
      <c r="DG780" s="52"/>
      <c r="DH780" s="52"/>
    </row>
    <row r="781" ht="15.75" customHeight="1">
      <c r="DG781" s="52"/>
      <c r="DH781" s="52"/>
    </row>
    <row r="782" ht="15.75" customHeight="1">
      <c r="DG782" s="52"/>
      <c r="DH782" s="52"/>
    </row>
    <row r="783" ht="15.75" customHeight="1">
      <c r="DG783" s="52"/>
      <c r="DH783" s="52"/>
    </row>
    <row r="784" ht="15.75" customHeight="1">
      <c r="DG784" s="52"/>
      <c r="DH784" s="52"/>
    </row>
    <row r="785" ht="15.75" customHeight="1">
      <c r="DG785" s="52"/>
      <c r="DH785" s="52"/>
    </row>
    <row r="786" ht="15.75" customHeight="1">
      <c r="DG786" s="52"/>
      <c r="DH786" s="52"/>
    </row>
    <row r="787" ht="15.75" customHeight="1">
      <c r="DG787" s="52"/>
      <c r="DH787" s="52"/>
    </row>
    <row r="788" ht="15.75" customHeight="1">
      <c r="DG788" s="52"/>
      <c r="DH788" s="52"/>
    </row>
    <row r="789" ht="15.75" customHeight="1">
      <c r="DG789" s="52"/>
      <c r="DH789" s="52"/>
    </row>
    <row r="790" ht="15.75" customHeight="1">
      <c r="DG790" s="52"/>
      <c r="DH790" s="52"/>
    </row>
    <row r="791" ht="15.75" customHeight="1">
      <c r="DG791" s="52"/>
      <c r="DH791" s="52"/>
    </row>
    <row r="792" ht="15.75" customHeight="1">
      <c r="DG792" s="52"/>
      <c r="DH792" s="52"/>
    </row>
    <row r="793" ht="15.75" customHeight="1">
      <c r="DG793" s="52"/>
      <c r="DH793" s="52"/>
    </row>
    <row r="794" ht="15.75" customHeight="1">
      <c r="DG794" s="52"/>
      <c r="DH794" s="52"/>
    </row>
    <row r="795" ht="15.75" customHeight="1">
      <c r="DG795" s="52"/>
      <c r="DH795" s="52"/>
    </row>
    <row r="796" ht="15.75" customHeight="1">
      <c r="DG796" s="52"/>
      <c r="DH796" s="52"/>
    </row>
    <row r="797" ht="15.75" customHeight="1">
      <c r="DG797" s="52"/>
      <c r="DH797" s="52"/>
    </row>
    <row r="798" ht="15.75" customHeight="1">
      <c r="DG798" s="52"/>
      <c r="DH798" s="52"/>
    </row>
    <row r="799" ht="15.75" customHeight="1">
      <c r="DG799" s="52"/>
      <c r="DH799" s="52"/>
    </row>
    <row r="800" ht="15.75" customHeight="1">
      <c r="DG800" s="52"/>
      <c r="DH800" s="52"/>
    </row>
    <row r="801" ht="15.75" customHeight="1">
      <c r="DG801" s="52"/>
      <c r="DH801" s="52"/>
    </row>
    <row r="802" ht="15.75" customHeight="1">
      <c r="DG802" s="52"/>
      <c r="DH802" s="52"/>
    </row>
    <row r="803" ht="15.75" customHeight="1">
      <c r="DG803" s="52"/>
      <c r="DH803" s="52"/>
    </row>
    <row r="804" ht="15.75" customHeight="1">
      <c r="DG804" s="52"/>
      <c r="DH804" s="52"/>
    </row>
    <row r="805" ht="15.75" customHeight="1">
      <c r="DG805" s="52"/>
      <c r="DH805" s="52"/>
    </row>
    <row r="806" ht="15.75" customHeight="1">
      <c r="DG806" s="52"/>
      <c r="DH806" s="52"/>
    </row>
    <row r="807" ht="15.75" customHeight="1">
      <c r="DG807" s="52"/>
      <c r="DH807" s="52"/>
    </row>
    <row r="808" ht="15.75" customHeight="1">
      <c r="DG808" s="52"/>
      <c r="DH808" s="52"/>
    </row>
    <row r="809" ht="15.75" customHeight="1">
      <c r="DG809" s="52"/>
      <c r="DH809" s="52"/>
    </row>
    <row r="810" ht="15.75" customHeight="1">
      <c r="DG810" s="52"/>
      <c r="DH810" s="52"/>
    </row>
    <row r="811" ht="15.75" customHeight="1">
      <c r="DG811" s="52"/>
      <c r="DH811" s="52"/>
    </row>
    <row r="812" ht="15.75" customHeight="1">
      <c r="DG812" s="52"/>
      <c r="DH812" s="52"/>
    </row>
    <row r="813" ht="15.75" customHeight="1">
      <c r="DG813" s="52"/>
      <c r="DH813" s="52"/>
    </row>
    <row r="814" ht="15.75" customHeight="1">
      <c r="DG814" s="52"/>
      <c r="DH814" s="52"/>
    </row>
    <row r="815" ht="15.75" customHeight="1">
      <c r="DG815" s="52"/>
      <c r="DH815" s="52"/>
    </row>
    <row r="816" ht="15.75" customHeight="1">
      <c r="DG816" s="52"/>
      <c r="DH816" s="52"/>
    </row>
    <row r="817" ht="15.75" customHeight="1">
      <c r="DG817" s="52"/>
      <c r="DH817" s="52"/>
    </row>
    <row r="818" ht="15.75" customHeight="1">
      <c r="DG818" s="52"/>
      <c r="DH818" s="52"/>
    </row>
    <row r="819" ht="15.75" customHeight="1">
      <c r="DG819" s="52"/>
      <c r="DH819" s="52"/>
    </row>
    <row r="820" ht="15.75" customHeight="1">
      <c r="DG820" s="52"/>
      <c r="DH820" s="52"/>
    </row>
    <row r="821" ht="15.75" customHeight="1">
      <c r="DG821" s="52"/>
      <c r="DH821" s="52"/>
    </row>
    <row r="822" ht="15.75" customHeight="1">
      <c r="DG822" s="52"/>
      <c r="DH822" s="52"/>
    </row>
    <row r="823" ht="15.75" customHeight="1">
      <c r="DG823" s="52"/>
      <c r="DH823" s="52"/>
    </row>
    <row r="824" ht="15.75" customHeight="1">
      <c r="DG824" s="52"/>
      <c r="DH824" s="52"/>
    </row>
    <row r="825" ht="15.75" customHeight="1">
      <c r="DG825" s="52"/>
      <c r="DH825" s="52"/>
    </row>
    <row r="826" ht="15.75" customHeight="1">
      <c r="DG826" s="52"/>
      <c r="DH826" s="52"/>
    </row>
    <row r="827" ht="15.75" customHeight="1">
      <c r="DG827" s="52"/>
      <c r="DH827" s="52"/>
    </row>
    <row r="828" ht="15.75" customHeight="1">
      <c r="DG828" s="52"/>
      <c r="DH828" s="52"/>
    </row>
    <row r="829" ht="15.75" customHeight="1">
      <c r="DG829" s="52"/>
      <c r="DH829" s="52"/>
    </row>
    <row r="830" ht="15.75" customHeight="1">
      <c r="DG830" s="52"/>
      <c r="DH830" s="52"/>
    </row>
    <row r="831" ht="15.75" customHeight="1">
      <c r="DG831" s="52"/>
      <c r="DH831" s="52"/>
    </row>
    <row r="832" ht="15.75" customHeight="1">
      <c r="DG832" s="52"/>
      <c r="DH832" s="52"/>
    </row>
    <row r="833" ht="15.75" customHeight="1">
      <c r="DG833" s="52"/>
      <c r="DH833" s="52"/>
    </row>
    <row r="834" ht="15.75" customHeight="1">
      <c r="DG834" s="52"/>
      <c r="DH834" s="52"/>
    </row>
    <row r="835" ht="15.75" customHeight="1">
      <c r="DG835" s="52"/>
      <c r="DH835" s="52"/>
    </row>
    <row r="836" ht="15.75" customHeight="1">
      <c r="DG836" s="52"/>
      <c r="DH836" s="52"/>
    </row>
    <row r="837" ht="15.75" customHeight="1">
      <c r="DG837" s="52"/>
      <c r="DH837" s="52"/>
    </row>
    <row r="838" ht="15.75" customHeight="1">
      <c r="DG838" s="52"/>
      <c r="DH838" s="52"/>
    </row>
    <row r="839" ht="15.75" customHeight="1">
      <c r="DG839" s="52"/>
      <c r="DH839" s="52"/>
    </row>
    <row r="840" ht="15.75" customHeight="1">
      <c r="DG840" s="52"/>
      <c r="DH840" s="52"/>
    </row>
    <row r="841" ht="15.75" customHeight="1">
      <c r="DG841" s="52"/>
      <c r="DH841" s="52"/>
    </row>
    <row r="842" ht="15.75" customHeight="1">
      <c r="DG842" s="52"/>
      <c r="DH842" s="52"/>
    </row>
    <row r="843" ht="15.75" customHeight="1">
      <c r="DG843" s="52"/>
      <c r="DH843" s="52"/>
    </row>
    <row r="844" ht="15.75" customHeight="1">
      <c r="DG844" s="52"/>
      <c r="DH844" s="52"/>
    </row>
    <row r="845" ht="15.75" customHeight="1">
      <c r="DG845" s="52"/>
      <c r="DH845" s="52"/>
    </row>
    <row r="846" ht="15.75" customHeight="1">
      <c r="DG846" s="52"/>
      <c r="DH846" s="52"/>
    </row>
    <row r="847" ht="15.75" customHeight="1">
      <c r="DG847" s="52"/>
      <c r="DH847" s="52"/>
    </row>
    <row r="848" ht="15.75" customHeight="1">
      <c r="DG848" s="52"/>
      <c r="DH848" s="52"/>
    </row>
    <row r="849" ht="15.75" customHeight="1">
      <c r="DG849" s="52"/>
      <c r="DH849" s="52"/>
    </row>
    <row r="850" ht="15.75" customHeight="1">
      <c r="DG850" s="52"/>
      <c r="DH850" s="52"/>
    </row>
    <row r="851" ht="15.75" customHeight="1">
      <c r="DG851" s="52"/>
      <c r="DH851" s="52"/>
    </row>
    <row r="852" ht="15.75" customHeight="1">
      <c r="DG852" s="52"/>
      <c r="DH852" s="52"/>
    </row>
    <row r="853" ht="15.75" customHeight="1">
      <c r="DG853" s="52"/>
      <c r="DH853" s="52"/>
    </row>
    <row r="854" ht="15.75" customHeight="1">
      <c r="DG854" s="52"/>
      <c r="DH854" s="52"/>
    </row>
    <row r="855" ht="15.75" customHeight="1">
      <c r="DG855" s="52"/>
      <c r="DH855" s="52"/>
    </row>
    <row r="856" ht="15.75" customHeight="1">
      <c r="DG856" s="52"/>
      <c r="DH856" s="52"/>
    </row>
    <row r="857" ht="15.75" customHeight="1">
      <c r="DG857" s="52"/>
      <c r="DH857" s="52"/>
    </row>
    <row r="858" ht="15.75" customHeight="1">
      <c r="DG858" s="52"/>
      <c r="DH858" s="52"/>
    </row>
    <row r="859" ht="15.75" customHeight="1">
      <c r="DG859" s="52"/>
      <c r="DH859" s="52"/>
    </row>
    <row r="860" ht="15.75" customHeight="1">
      <c r="DG860" s="52"/>
      <c r="DH860" s="52"/>
    </row>
    <row r="861" ht="15.75" customHeight="1">
      <c r="DG861" s="52"/>
      <c r="DH861" s="52"/>
    </row>
    <row r="862" ht="15.75" customHeight="1">
      <c r="DG862" s="52"/>
      <c r="DH862" s="52"/>
    </row>
    <row r="863" ht="15.75" customHeight="1">
      <c r="DG863" s="52"/>
      <c r="DH863" s="52"/>
    </row>
    <row r="864" ht="15.75" customHeight="1">
      <c r="DG864" s="52"/>
      <c r="DH864" s="52"/>
    </row>
    <row r="865" ht="15.75" customHeight="1">
      <c r="DG865" s="52"/>
      <c r="DH865" s="52"/>
    </row>
    <row r="866" ht="15.75" customHeight="1">
      <c r="DG866" s="52"/>
      <c r="DH866" s="52"/>
    </row>
    <row r="867" ht="15.75" customHeight="1">
      <c r="DG867" s="52"/>
      <c r="DH867" s="52"/>
    </row>
    <row r="868" ht="15.75" customHeight="1">
      <c r="DG868" s="52"/>
      <c r="DH868" s="52"/>
    </row>
    <row r="869" ht="15.75" customHeight="1">
      <c r="DG869" s="52"/>
      <c r="DH869" s="52"/>
    </row>
    <row r="870" ht="15.75" customHeight="1">
      <c r="DG870" s="52"/>
      <c r="DH870" s="52"/>
    </row>
    <row r="871" ht="15.75" customHeight="1">
      <c r="DG871" s="52"/>
      <c r="DH871" s="52"/>
    </row>
    <row r="872" ht="15.75" customHeight="1">
      <c r="DG872" s="52"/>
      <c r="DH872" s="52"/>
    </row>
    <row r="873" ht="15.75" customHeight="1">
      <c r="DG873" s="52"/>
      <c r="DH873" s="52"/>
    </row>
    <row r="874" ht="15.75" customHeight="1">
      <c r="DG874" s="52"/>
      <c r="DH874" s="52"/>
    </row>
    <row r="875" ht="15.75" customHeight="1">
      <c r="DG875" s="52"/>
      <c r="DH875" s="52"/>
    </row>
    <row r="876" ht="15.75" customHeight="1">
      <c r="DG876" s="52"/>
      <c r="DH876" s="52"/>
    </row>
    <row r="877" ht="15.75" customHeight="1">
      <c r="DG877" s="52"/>
      <c r="DH877" s="52"/>
    </row>
    <row r="878" ht="15.75" customHeight="1">
      <c r="DG878" s="52"/>
      <c r="DH878" s="52"/>
    </row>
    <row r="879" ht="15.75" customHeight="1">
      <c r="DG879" s="52"/>
      <c r="DH879" s="52"/>
    </row>
    <row r="880" ht="15.75" customHeight="1">
      <c r="DG880" s="52"/>
      <c r="DH880" s="52"/>
    </row>
    <row r="881" ht="15.75" customHeight="1">
      <c r="DG881" s="52"/>
      <c r="DH881" s="52"/>
    </row>
    <row r="882" ht="15.75" customHeight="1">
      <c r="DG882" s="52"/>
      <c r="DH882" s="52"/>
    </row>
    <row r="883" ht="15.75" customHeight="1">
      <c r="DG883" s="52"/>
      <c r="DH883" s="52"/>
    </row>
    <row r="884" ht="15.75" customHeight="1">
      <c r="DG884" s="52"/>
      <c r="DH884" s="52"/>
    </row>
    <row r="885" ht="15.75" customHeight="1">
      <c r="DG885" s="52"/>
      <c r="DH885" s="52"/>
    </row>
    <row r="886" ht="15.75" customHeight="1">
      <c r="DG886" s="52"/>
      <c r="DH886" s="52"/>
    </row>
    <row r="887" ht="15.75" customHeight="1">
      <c r="DG887" s="52"/>
      <c r="DH887" s="52"/>
    </row>
    <row r="888" ht="15.75" customHeight="1">
      <c r="DG888" s="52"/>
      <c r="DH888" s="52"/>
    </row>
    <row r="889" ht="15.75" customHeight="1">
      <c r="DG889" s="52"/>
      <c r="DH889" s="52"/>
    </row>
    <row r="890" ht="15.75" customHeight="1">
      <c r="DG890" s="52"/>
      <c r="DH890" s="52"/>
    </row>
    <row r="891" ht="15.75" customHeight="1">
      <c r="DG891" s="52"/>
      <c r="DH891" s="52"/>
    </row>
    <row r="892" ht="15.75" customHeight="1">
      <c r="DG892" s="52"/>
      <c r="DH892" s="52"/>
    </row>
    <row r="893" ht="15.75" customHeight="1">
      <c r="DG893" s="52"/>
      <c r="DH893" s="52"/>
    </row>
    <row r="894" ht="15.75" customHeight="1">
      <c r="DG894" s="52"/>
      <c r="DH894" s="52"/>
    </row>
    <row r="895" ht="15.75" customHeight="1">
      <c r="DG895" s="52"/>
      <c r="DH895" s="52"/>
    </row>
    <row r="896" ht="15.75" customHeight="1">
      <c r="DG896" s="52"/>
      <c r="DH896" s="52"/>
    </row>
    <row r="897" ht="15.75" customHeight="1">
      <c r="DG897" s="52"/>
      <c r="DH897" s="52"/>
    </row>
    <row r="898" ht="15.75" customHeight="1">
      <c r="DG898" s="52"/>
      <c r="DH898" s="52"/>
    </row>
    <row r="899" ht="15.75" customHeight="1">
      <c r="DG899" s="52"/>
      <c r="DH899" s="52"/>
    </row>
    <row r="900" ht="15.75" customHeight="1">
      <c r="DG900" s="52"/>
      <c r="DH900" s="52"/>
    </row>
    <row r="901" ht="15.75" customHeight="1">
      <c r="DG901" s="52"/>
      <c r="DH901" s="52"/>
    </row>
    <row r="902" ht="15.75" customHeight="1">
      <c r="DG902" s="52"/>
      <c r="DH902" s="52"/>
    </row>
    <row r="903" ht="15.75" customHeight="1">
      <c r="DG903" s="52"/>
      <c r="DH903" s="52"/>
    </row>
    <row r="904" ht="15.75" customHeight="1">
      <c r="DG904" s="52"/>
      <c r="DH904" s="52"/>
    </row>
    <row r="905" ht="15.75" customHeight="1">
      <c r="DG905" s="52"/>
      <c r="DH905" s="52"/>
    </row>
    <row r="906" ht="15.75" customHeight="1">
      <c r="DG906" s="52"/>
      <c r="DH906" s="52"/>
    </row>
    <row r="907" ht="15.75" customHeight="1">
      <c r="DG907" s="52"/>
      <c r="DH907" s="52"/>
    </row>
    <row r="908" ht="15.75" customHeight="1">
      <c r="DG908" s="52"/>
      <c r="DH908" s="52"/>
    </row>
    <row r="909" ht="15.75" customHeight="1">
      <c r="DG909" s="52"/>
      <c r="DH909" s="52"/>
    </row>
    <row r="910" ht="15.75" customHeight="1">
      <c r="DG910" s="52"/>
      <c r="DH910" s="52"/>
    </row>
    <row r="911" ht="15.75" customHeight="1">
      <c r="DG911" s="52"/>
      <c r="DH911" s="52"/>
    </row>
    <row r="912" ht="15.75" customHeight="1">
      <c r="DG912" s="52"/>
      <c r="DH912" s="52"/>
    </row>
    <row r="913" ht="15.75" customHeight="1">
      <c r="DG913" s="52"/>
      <c r="DH913" s="52"/>
    </row>
    <row r="914" ht="15.75" customHeight="1">
      <c r="DG914" s="52"/>
      <c r="DH914" s="52"/>
    </row>
    <row r="915" ht="15.75" customHeight="1">
      <c r="DG915" s="52"/>
      <c r="DH915" s="52"/>
    </row>
    <row r="916" ht="15.75" customHeight="1">
      <c r="DG916" s="52"/>
      <c r="DH916" s="52"/>
    </row>
    <row r="917" ht="15.75" customHeight="1">
      <c r="DG917" s="52"/>
      <c r="DH917" s="52"/>
    </row>
    <row r="918" ht="15.75" customHeight="1">
      <c r="DG918" s="52"/>
      <c r="DH918" s="52"/>
    </row>
    <row r="919" ht="15.75" customHeight="1">
      <c r="DG919" s="52"/>
      <c r="DH919" s="52"/>
    </row>
    <row r="920" ht="15.75" customHeight="1">
      <c r="DG920" s="52"/>
      <c r="DH920" s="52"/>
    </row>
    <row r="921" ht="15.75" customHeight="1">
      <c r="DG921" s="52"/>
      <c r="DH921" s="52"/>
    </row>
    <row r="922" ht="15.75" customHeight="1">
      <c r="DG922" s="52"/>
      <c r="DH922" s="52"/>
    </row>
    <row r="923" ht="15.75" customHeight="1">
      <c r="DG923" s="52"/>
      <c r="DH923" s="52"/>
    </row>
    <row r="924" ht="15.75" customHeight="1">
      <c r="DG924" s="52"/>
      <c r="DH924" s="52"/>
    </row>
    <row r="925" ht="15.75" customHeight="1">
      <c r="DG925" s="52"/>
      <c r="DH925" s="52"/>
    </row>
    <row r="926" ht="15.75" customHeight="1">
      <c r="DG926" s="52"/>
      <c r="DH926" s="52"/>
    </row>
    <row r="927" ht="15.75" customHeight="1">
      <c r="DG927" s="52"/>
      <c r="DH927" s="52"/>
    </row>
    <row r="928" ht="15.75" customHeight="1">
      <c r="DG928" s="52"/>
      <c r="DH928" s="52"/>
    </row>
    <row r="929" ht="15.75" customHeight="1">
      <c r="DG929" s="52"/>
      <c r="DH929" s="52"/>
    </row>
    <row r="930" ht="15.75" customHeight="1">
      <c r="DG930" s="52"/>
      <c r="DH930" s="52"/>
    </row>
    <row r="931" ht="15.75" customHeight="1">
      <c r="DG931" s="52"/>
      <c r="DH931" s="52"/>
    </row>
    <row r="932" ht="15.75" customHeight="1">
      <c r="DG932" s="52"/>
      <c r="DH932" s="52"/>
    </row>
    <row r="933" ht="15.75" customHeight="1">
      <c r="DG933" s="52"/>
      <c r="DH933" s="52"/>
    </row>
    <row r="934" ht="15.75" customHeight="1">
      <c r="DG934" s="52"/>
      <c r="DH934" s="52"/>
    </row>
    <row r="935" ht="15.75" customHeight="1">
      <c r="DG935" s="52"/>
      <c r="DH935" s="52"/>
    </row>
    <row r="936" ht="15.75" customHeight="1">
      <c r="DG936" s="52"/>
      <c r="DH936" s="52"/>
    </row>
    <row r="937" ht="15.75" customHeight="1">
      <c r="DG937" s="52"/>
      <c r="DH937" s="52"/>
    </row>
    <row r="938" ht="15.75" customHeight="1">
      <c r="DG938" s="52"/>
      <c r="DH938" s="52"/>
    </row>
    <row r="939" ht="15.75" customHeight="1">
      <c r="DG939" s="52"/>
      <c r="DH939" s="52"/>
    </row>
    <row r="940" ht="15.75" customHeight="1">
      <c r="DG940" s="52"/>
      <c r="DH940" s="52"/>
    </row>
    <row r="941" ht="15.75" customHeight="1">
      <c r="DG941" s="52"/>
      <c r="DH941" s="52"/>
    </row>
    <row r="942" ht="15.75" customHeight="1">
      <c r="DG942" s="52"/>
      <c r="DH942" s="52"/>
    </row>
    <row r="943" ht="15.75" customHeight="1">
      <c r="DG943" s="52"/>
      <c r="DH943" s="52"/>
    </row>
    <row r="944" ht="15.75" customHeight="1">
      <c r="DG944" s="52"/>
      <c r="DH944" s="52"/>
    </row>
    <row r="945" ht="15.75" customHeight="1">
      <c r="DG945" s="52"/>
      <c r="DH945" s="52"/>
    </row>
    <row r="946" ht="15.75" customHeight="1">
      <c r="DG946" s="52"/>
      <c r="DH946" s="52"/>
    </row>
    <row r="947" ht="15.75" customHeight="1">
      <c r="DG947" s="52"/>
      <c r="DH947" s="52"/>
    </row>
    <row r="948" ht="15.75" customHeight="1">
      <c r="DG948" s="52"/>
      <c r="DH948" s="52"/>
    </row>
    <row r="949" ht="15.75" customHeight="1">
      <c r="DG949" s="52"/>
      <c r="DH949" s="52"/>
    </row>
    <row r="950" ht="15.75" customHeight="1">
      <c r="DG950" s="52"/>
      <c r="DH950" s="52"/>
    </row>
    <row r="951" ht="15.75" customHeight="1">
      <c r="DG951" s="52"/>
      <c r="DH951" s="52"/>
    </row>
    <row r="952" ht="15.75" customHeight="1">
      <c r="DG952" s="52"/>
      <c r="DH952" s="52"/>
    </row>
    <row r="953" ht="15.75" customHeight="1">
      <c r="DG953" s="52"/>
      <c r="DH953" s="52"/>
    </row>
    <row r="954" ht="15.75" customHeight="1">
      <c r="DG954" s="52"/>
      <c r="DH954" s="52"/>
    </row>
    <row r="955" ht="15.75" customHeight="1">
      <c r="DG955" s="52"/>
      <c r="DH955" s="52"/>
    </row>
    <row r="956" ht="15.75" customHeight="1">
      <c r="DG956" s="52"/>
      <c r="DH956" s="52"/>
    </row>
    <row r="957" ht="15.75" customHeight="1">
      <c r="DG957" s="52"/>
      <c r="DH957" s="52"/>
    </row>
    <row r="958" ht="15.75" customHeight="1">
      <c r="DG958" s="52"/>
      <c r="DH958" s="52"/>
    </row>
    <row r="959" ht="15.75" customHeight="1">
      <c r="DG959" s="52"/>
      <c r="DH959" s="52"/>
    </row>
    <row r="960" ht="15.75" customHeight="1">
      <c r="DG960" s="52"/>
      <c r="DH960" s="52"/>
    </row>
    <row r="961" ht="15.75" customHeight="1">
      <c r="DG961" s="52"/>
      <c r="DH961" s="52"/>
    </row>
    <row r="962" ht="15.75" customHeight="1">
      <c r="DG962" s="52"/>
      <c r="DH962" s="52"/>
    </row>
    <row r="963" ht="15.75" customHeight="1">
      <c r="DG963" s="52"/>
      <c r="DH963" s="52"/>
    </row>
    <row r="964" ht="15.75" customHeight="1">
      <c r="DG964" s="52"/>
      <c r="DH964" s="52"/>
    </row>
    <row r="965" ht="15.75" customHeight="1">
      <c r="DG965" s="52"/>
      <c r="DH965" s="52"/>
    </row>
    <row r="966" ht="15.75" customHeight="1">
      <c r="DG966" s="52"/>
      <c r="DH966" s="52"/>
    </row>
    <row r="967" ht="15.75" customHeight="1">
      <c r="DG967" s="52"/>
      <c r="DH967" s="52"/>
    </row>
    <row r="968" ht="15.75" customHeight="1">
      <c r="DG968" s="52"/>
      <c r="DH968" s="52"/>
    </row>
    <row r="969" ht="15.75" customHeight="1">
      <c r="DG969" s="52"/>
      <c r="DH969" s="52"/>
    </row>
    <row r="970" ht="15.75" customHeight="1">
      <c r="DG970" s="52"/>
      <c r="DH970" s="52"/>
    </row>
    <row r="971" ht="15.75" customHeight="1">
      <c r="DG971" s="52"/>
      <c r="DH971" s="52"/>
    </row>
    <row r="972" ht="15.75" customHeight="1">
      <c r="DG972" s="52"/>
      <c r="DH972" s="52"/>
    </row>
    <row r="973" ht="15.75" customHeight="1">
      <c r="DG973" s="52"/>
      <c r="DH973" s="52"/>
    </row>
    <row r="974" ht="15.75" customHeight="1">
      <c r="DG974" s="52"/>
      <c r="DH974" s="52"/>
    </row>
    <row r="975" ht="15.75" customHeight="1">
      <c r="DG975" s="52"/>
      <c r="DH975" s="52"/>
    </row>
    <row r="976" ht="15.75" customHeight="1">
      <c r="DG976" s="52"/>
      <c r="DH976" s="52"/>
    </row>
    <row r="977" ht="15.75" customHeight="1">
      <c r="DG977" s="52"/>
      <c r="DH977" s="52"/>
    </row>
    <row r="978" ht="15.75" customHeight="1">
      <c r="DG978" s="52"/>
      <c r="DH978" s="52"/>
    </row>
    <row r="979" ht="15.75" customHeight="1">
      <c r="DG979" s="52"/>
      <c r="DH979" s="52"/>
    </row>
    <row r="980" ht="15.75" customHeight="1">
      <c r="DG980" s="52"/>
      <c r="DH980" s="52"/>
    </row>
    <row r="981" ht="15.75" customHeight="1">
      <c r="DG981" s="52"/>
      <c r="DH981" s="52"/>
    </row>
    <row r="982" ht="15.75" customHeight="1">
      <c r="DG982" s="52"/>
      <c r="DH982" s="52"/>
    </row>
    <row r="983" ht="15.75" customHeight="1">
      <c r="DG983" s="52"/>
      <c r="DH983" s="52"/>
    </row>
    <row r="984" ht="15.75" customHeight="1">
      <c r="DG984" s="52"/>
      <c r="DH984" s="52"/>
    </row>
    <row r="985" ht="15.75" customHeight="1">
      <c r="DG985" s="52"/>
      <c r="DH985" s="52"/>
    </row>
    <row r="986" ht="15.75" customHeight="1">
      <c r="DG986" s="52"/>
      <c r="DH986" s="52"/>
    </row>
    <row r="987" ht="15.75" customHeight="1">
      <c r="DG987" s="52"/>
      <c r="DH987" s="52"/>
    </row>
    <row r="988" ht="15.75" customHeight="1">
      <c r="DG988" s="52"/>
      <c r="DH988" s="52"/>
    </row>
    <row r="989" ht="15.75" customHeight="1">
      <c r="DG989" s="52"/>
      <c r="DH989" s="52"/>
    </row>
    <row r="990" ht="15.75" customHeight="1">
      <c r="DG990" s="52"/>
      <c r="DH990" s="52"/>
    </row>
    <row r="991" ht="15.75" customHeight="1">
      <c r="DG991" s="52"/>
      <c r="DH991" s="52"/>
    </row>
    <row r="992" ht="15.75" customHeight="1">
      <c r="DG992" s="52"/>
      <c r="DH992" s="52"/>
    </row>
    <row r="993" ht="15.75" customHeight="1">
      <c r="DG993" s="52"/>
      <c r="DH993" s="52"/>
    </row>
    <row r="994" ht="15.75" customHeight="1">
      <c r="DG994" s="52"/>
      <c r="DH994" s="52"/>
    </row>
    <row r="995" ht="15.75" customHeight="1">
      <c r="DG995" s="52"/>
      <c r="DH995" s="52"/>
    </row>
    <row r="996" ht="15.75" customHeight="1">
      <c r="DG996" s="52"/>
      <c r="DH996" s="52"/>
    </row>
    <row r="997" ht="15.75" customHeight="1">
      <c r="DG997" s="52"/>
      <c r="DH997" s="52"/>
    </row>
    <row r="998" ht="15.75" customHeight="1">
      <c r="DG998" s="52"/>
      <c r="DH998" s="52"/>
    </row>
    <row r="999" ht="15.75" customHeight="1">
      <c r="DG999" s="52"/>
      <c r="DH999" s="52"/>
    </row>
    <row r="1000" ht="15.75" customHeight="1">
      <c r="DG1000" s="52"/>
      <c r="DH1000" s="52"/>
    </row>
    <row r="1001" ht="15.75" customHeight="1">
      <c r="DG1001" s="52"/>
      <c r="DH1001" s="52"/>
    </row>
    <row r="1002" ht="15.75" customHeight="1">
      <c r="DG1002" s="52"/>
      <c r="DH1002" s="52"/>
    </row>
    <row r="1003" ht="15.75" customHeight="1">
      <c r="DG1003" s="52"/>
      <c r="DH1003" s="52"/>
    </row>
    <row r="1004" ht="15.75" customHeight="1">
      <c r="DG1004" s="52"/>
      <c r="DH1004" s="52"/>
    </row>
    <row r="1005" ht="15.75" customHeight="1">
      <c r="DG1005" s="52"/>
      <c r="DH1005" s="52"/>
    </row>
    <row r="1006" ht="15.75" customHeight="1">
      <c r="DG1006" s="52"/>
      <c r="DH1006" s="52"/>
    </row>
    <row r="1007" ht="15.75" customHeight="1">
      <c r="DG1007" s="52"/>
      <c r="DH1007" s="52"/>
    </row>
    <row r="1008" ht="15.75" customHeight="1">
      <c r="DG1008" s="52"/>
      <c r="DH1008" s="52"/>
    </row>
    <row r="1009" ht="15.75" customHeight="1">
      <c r="DG1009" s="52"/>
      <c r="DH1009" s="52"/>
    </row>
    <row r="1010" ht="15.75" customHeight="1">
      <c r="DG1010" s="52"/>
      <c r="DH1010" s="52"/>
    </row>
    <row r="1011" ht="15.75" customHeight="1">
      <c r="DG1011" s="52"/>
      <c r="DH1011" s="52"/>
    </row>
    <row r="1012" ht="15.75" customHeight="1">
      <c r="DG1012" s="52"/>
      <c r="DH1012" s="52"/>
    </row>
    <row r="1013" ht="15.75" customHeight="1">
      <c r="DG1013" s="52"/>
      <c r="DH1013" s="52"/>
    </row>
    <row r="1014" ht="15.75" customHeight="1">
      <c r="DG1014" s="52"/>
      <c r="DH1014" s="52"/>
    </row>
    <row r="1015" ht="15.75" customHeight="1">
      <c r="DG1015" s="52"/>
      <c r="DH1015" s="52"/>
    </row>
    <row r="1016" ht="15.75" customHeight="1">
      <c r="DG1016" s="52"/>
      <c r="DH1016" s="52"/>
    </row>
    <row r="1017" ht="15.75" customHeight="1">
      <c r="DG1017" s="52"/>
      <c r="DH1017" s="52"/>
    </row>
    <row r="1018" ht="15.75" customHeight="1">
      <c r="DG1018" s="52"/>
      <c r="DH1018" s="52"/>
    </row>
    <row r="1019" ht="15.75" customHeight="1">
      <c r="DG1019" s="52"/>
      <c r="DH1019" s="52"/>
    </row>
    <row r="1020" ht="15.75" customHeight="1">
      <c r="DG1020" s="52"/>
      <c r="DH1020" s="52"/>
    </row>
    <row r="1021" ht="15.75" customHeight="1">
      <c r="DG1021" s="52"/>
      <c r="DH1021" s="52"/>
    </row>
    <row r="1022" ht="15.75" customHeight="1">
      <c r="DG1022" s="52"/>
      <c r="DH1022" s="52"/>
    </row>
    <row r="1023" ht="15.75" customHeight="1">
      <c r="DG1023" s="52"/>
      <c r="DH1023" s="52"/>
    </row>
    <row r="1024" ht="15.75" customHeight="1">
      <c r="DG1024" s="52"/>
      <c r="DH1024" s="52"/>
    </row>
    <row r="1025" ht="15.75" customHeight="1">
      <c r="DG1025" s="52"/>
      <c r="DH1025" s="52"/>
    </row>
    <row r="1026" ht="15.75" customHeight="1">
      <c r="DG1026" s="52"/>
      <c r="DH1026" s="52"/>
    </row>
    <row r="1027" ht="15.75" customHeight="1">
      <c r="DG1027" s="52"/>
      <c r="DH1027" s="52"/>
    </row>
    <row r="1028" ht="15.75" customHeight="1">
      <c r="DG1028" s="52"/>
      <c r="DH1028" s="52"/>
    </row>
    <row r="1029" ht="15.75" customHeight="1">
      <c r="DG1029" s="52"/>
      <c r="DH1029" s="52"/>
    </row>
    <row r="1030" ht="15.75" customHeight="1">
      <c r="DG1030" s="52"/>
      <c r="DH1030" s="52"/>
    </row>
    <row r="1031" ht="15.75" customHeight="1">
      <c r="DG1031" s="52"/>
      <c r="DH1031" s="52"/>
    </row>
    <row r="1032" ht="15.75" customHeight="1">
      <c r="DG1032" s="52"/>
      <c r="DH1032" s="52"/>
    </row>
    <row r="1033" ht="15.75" customHeight="1">
      <c r="DG1033" s="52"/>
      <c r="DH1033" s="52"/>
    </row>
    <row r="1034" ht="15.75" customHeight="1">
      <c r="DG1034" s="52"/>
      <c r="DH1034" s="52"/>
    </row>
    <row r="1035" ht="15.75" customHeight="1">
      <c r="DG1035" s="52"/>
      <c r="DH1035" s="52"/>
    </row>
    <row r="1036" ht="15.75" customHeight="1">
      <c r="DG1036" s="52"/>
      <c r="DH1036" s="52"/>
    </row>
    <row r="1037" ht="15.75" customHeight="1">
      <c r="DG1037" s="52"/>
      <c r="DH1037" s="52"/>
    </row>
    <row r="1038" ht="15.75" customHeight="1">
      <c r="DG1038" s="52"/>
      <c r="DH1038" s="52"/>
    </row>
    <row r="1039" ht="15.75" customHeight="1">
      <c r="DG1039" s="52"/>
      <c r="DH1039" s="52"/>
    </row>
    <row r="1040" ht="15.75" customHeight="1">
      <c r="DG1040" s="52"/>
      <c r="DH1040" s="52"/>
    </row>
    <row r="1041" ht="15.75" customHeight="1">
      <c r="DG1041" s="52"/>
      <c r="DH1041" s="52"/>
    </row>
    <row r="1042" ht="15.75" customHeight="1">
      <c r="DG1042" s="52"/>
      <c r="DH1042" s="52"/>
    </row>
    <row r="1043" ht="15.75" customHeight="1">
      <c r="DG1043" s="52"/>
      <c r="DH1043" s="52"/>
    </row>
    <row r="1044" ht="15.75" customHeight="1">
      <c r="DG1044" s="52"/>
      <c r="DH1044" s="52"/>
    </row>
    <row r="1045" ht="15.75" customHeight="1">
      <c r="DG1045" s="52"/>
      <c r="DH1045" s="52"/>
    </row>
    <row r="1046" ht="15.75" customHeight="1">
      <c r="DG1046" s="52"/>
      <c r="DH1046" s="52"/>
    </row>
    <row r="1047" ht="15.75" customHeight="1">
      <c r="DG1047" s="52"/>
      <c r="DH1047" s="52"/>
    </row>
    <row r="1048" ht="15.75" customHeight="1">
      <c r="DG1048" s="52"/>
      <c r="DH1048" s="52"/>
    </row>
    <row r="1049" ht="15.75" customHeight="1">
      <c r="DG1049" s="52"/>
      <c r="DH1049" s="52"/>
    </row>
    <row r="1050" ht="15.75" customHeight="1">
      <c r="DG1050" s="52"/>
      <c r="DH1050" s="52"/>
    </row>
    <row r="1051" ht="15.75" customHeight="1">
      <c r="DG1051" s="52"/>
      <c r="DH1051" s="52"/>
    </row>
    <row r="1052" ht="15.75" customHeight="1">
      <c r="DG1052" s="52"/>
      <c r="DH1052" s="52"/>
    </row>
    <row r="1053" ht="15.75" customHeight="1">
      <c r="DG1053" s="52"/>
      <c r="DH1053" s="52"/>
    </row>
    <row r="1054" ht="15.75" customHeight="1">
      <c r="DG1054" s="52"/>
      <c r="DH1054" s="52"/>
    </row>
    <row r="1055" ht="15.75" customHeight="1">
      <c r="DG1055" s="52"/>
      <c r="DH1055" s="52"/>
    </row>
    <row r="1056" ht="15.75" customHeight="1">
      <c r="DG1056" s="52"/>
      <c r="DH1056" s="52"/>
    </row>
    <row r="1057" ht="15.75" customHeight="1">
      <c r="DG1057" s="52"/>
      <c r="DH1057" s="52"/>
    </row>
    <row r="1058" ht="15.75" customHeight="1">
      <c r="DG1058" s="52"/>
      <c r="DH1058" s="52"/>
    </row>
    <row r="1059" ht="15.75" customHeight="1">
      <c r="DG1059" s="52"/>
      <c r="DH1059" s="52"/>
    </row>
    <row r="1060" ht="15.75" customHeight="1">
      <c r="DG1060" s="52"/>
      <c r="DH1060" s="52"/>
    </row>
    <row r="1061" ht="15.75" customHeight="1">
      <c r="DG1061" s="52"/>
      <c r="DH1061" s="52"/>
    </row>
    <row r="1062" ht="15.75" customHeight="1">
      <c r="DG1062" s="52"/>
      <c r="DH1062" s="52"/>
    </row>
    <row r="1063" ht="15.75" customHeight="1">
      <c r="DG1063" s="52"/>
      <c r="DH1063" s="52"/>
    </row>
    <row r="1064" ht="15.75" customHeight="1">
      <c r="DG1064" s="52"/>
      <c r="DH1064" s="52"/>
    </row>
    <row r="1065" ht="15.75" customHeight="1">
      <c r="DG1065" s="52"/>
      <c r="DH1065" s="52"/>
    </row>
    <row r="1066" ht="15.75" customHeight="1">
      <c r="DG1066" s="52"/>
      <c r="DH1066" s="52"/>
    </row>
    <row r="1067" ht="15.75" customHeight="1">
      <c r="DG1067" s="52"/>
      <c r="DH1067" s="52"/>
    </row>
    <row r="1068" ht="15.75" customHeight="1">
      <c r="DG1068" s="52"/>
      <c r="DH1068" s="52"/>
    </row>
    <row r="1069" ht="15.75" customHeight="1">
      <c r="DG1069" s="52"/>
      <c r="DH1069" s="52"/>
    </row>
    <row r="1070" ht="15.75" customHeight="1">
      <c r="DG1070" s="52"/>
      <c r="DH1070" s="52"/>
    </row>
    <row r="1071" ht="15.75" customHeight="1">
      <c r="DG1071" s="52"/>
      <c r="DH1071" s="52"/>
    </row>
    <row r="1072" ht="15.75" customHeight="1">
      <c r="DG1072" s="52"/>
      <c r="DH1072" s="52"/>
    </row>
    <row r="1073" ht="15.75" customHeight="1">
      <c r="DG1073" s="52"/>
      <c r="DH1073" s="52"/>
    </row>
    <row r="1074" ht="15.75" customHeight="1">
      <c r="DG1074" s="52"/>
      <c r="DH1074" s="52"/>
    </row>
    <row r="1075" ht="15.75" customHeight="1">
      <c r="DG1075" s="52"/>
      <c r="DH1075" s="52"/>
    </row>
    <row r="1076" ht="15.75" customHeight="1">
      <c r="DG1076" s="52"/>
      <c r="DH1076" s="52"/>
    </row>
    <row r="1077" ht="15.75" customHeight="1">
      <c r="DG1077" s="52"/>
      <c r="DH1077" s="52"/>
    </row>
    <row r="1078" ht="15.75" customHeight="1">
      <c r="DG1078" s="52"/>
      <c r="DH1078" s="52"/>
    </row>
    <row r="1079" ht="15.75" customHeight="1">
      <c r="DG1079" s="52"/>
      <c r="DH1079" s="52"/>
    </row>
    <row r="1080" ht="15.75" customHeight="1">
      <c r="DG1080" s="52"/>
      <c r="DH1080" s="52"/>
    </row>
    <row r="1081" ht="15.75" customHeight="1">
      <c r="DG1081" s="52"/>
      <c r="DH1081" s="52"/>
    </row>
    <row r="1082" ht="15.75" customHeight="1">
      <c r="DG1082" s="52"/>
      <c r="DH1082" s="52"/>
    </row>
    <row r="1083" ht="15.75" customHeight="1">
      <c r="DG1083" s="52"/>
      <c r="DH1083" s="52"/>
    </row>
    <row r="1084" ht="15.75" customHeight="1">
      <c r="DG1084" s="52"/>
      <c r="DH1084" s="52"/>
    </row>
    <row r="1085" ht="15.75" customHeight="1">
      <c r="DG1085" s="52"/>
      <c r="DH1085" s="52"/>
    </row>
    <row r="1086" ht="15.75" customHeight="1">
      <c r="DG1086" s="52"/>
      <c r="DH1086" s="52"/>
    </row>
    <row r="1087" ht="15.75" customHeight="1">
      <c r="DG1087" s="52"/>
      <c r="DH1087" s="52"/>
    </row>
    <row r="1088" ht="15.75" customHeight="1">
      <c r="DG1088" s="52"/>
      <c r="DH1088" s="52"/>
    </row>
    <row r="1089" ht="15.75" customHeight="1">
      <c r="DG1089" s="52"/>
      <c r="DH1089" s="52"/>
    </row>
    <row r="1090" ht="15.75" customHeight="1">
      <c r="DG1090" s="52"/>
      <c r="DH1090" s="52"/>
    </row>
    <row r="1091" ht="15.75" customHeight="1">
      <c r="DG1091" s="52"/>
      <c r="DH1091" s="52"/>
    </row>
    <row r="1092" ht="15.75" customHeight="1">
      <c r="DG1092" s="52"/>
      <c r="DH1092" s="52"/>
    </row>
    <row r="1093" ht="15.75" customHeight="1">
      <c r="DG1093" s="52"/>
      <c r="DH1093" s="52"/>
    </row>
    <row r="1094" ht="15.75" customHeight="1">
      <c r="DG1094" s="52"/>
      <c r="DH1094" s="52"/>
    </row>
    <row r="1095" ht="15.75" customHeight="1">
      <c r="DG1095" s="52"/>
      <c r="DH1095" s="52"/>
    </row>
    <row r="1096" ht="15.75" customHeight="1">
      <c r="DG1096" s="52"/>
      <c r="DH1096" s="52"/>
    </row>
    <row r="1097" ht="15.75" customHeight="1">
      <c r="DG1097" s="52"/>
      <c r="DH1097" s="52"/>
    </row>
    <row r="1098" ht="15.75" customHeight="1">
      <c r="DG1098" s="52"/>
      <c r="DH1098" s="52"/>
    </row>
    <row r="1099" ht="15.75" customHeight="1">
      <c r="DG1099" s="52"/>
      <c r="DH1099" s="52"/>
    </row>
    <row r="1100" ht="15.75" customHeight="1">
      <c r="DG1100" s="52"/>
      <c r="DH1100" s="52"/>
    </row>
    <row r="1101" ht="15.75" customHeight="1">
      <c r="DG1101" s="52"/>
      <c r="DH1101" s="52"/>
    </row>
    <row r="1102" ht="15.75" customHeight="1">
      <c r="DG1102" s="52"/>
      <c r="DH1102" s="52"/>
    </row>
    <row r="1103" ht="15.75" customHeight="1">
      <c r="DG1103" s="52"/>
      <c r="DH1103" s="52"/>
    </row>
    <row r="1104" ht="15.75" customHeight="1">
      <c r="DG1104" s="52"/>
      <c r="DH1104" s="52"/>
    </row>
    <row r="1105" ht="15.75" customHeight="1">
      <c r="DG1105" s="52"/>
      <c r="DH1105" s="52"/>
    </row>
    <row r="1106" ht="15.75" customHeight="1">
      <c r="DG1106" s="52"/>
      <c r="DH1106" s="52"/>
    </row>
    <row r="1107" ht="15.75" customHeight="1">
      <c r="DG1107" s="52"/>
      <c r="DH1107" s="52"/>
    </row>
    <row r="1108" ht="15.75" customHeight="1">
      <c r="DG1108" s="52"/>
      <c r="DH1108" s="52"/>
    </row>
    <row r="1109" ht="15.75" customHeight="1">
      <c r="DG1109" s="52"/>
      <c r="DH1109" s="52"/>
    </row>
    <row r="1110" ht="15.75" customHeight="1">
      <c r="DG1110" s="52"/>
      <c r="DH1110" s="52"/>
    </row>
    <row r="1111" ht="15.75" customHeight="1">
      <c r="DG1111" s="52"/>
      <c r="DH1111" s="52"/>
    </row>
    <row r="1112" ht="15.75" customHeight="1">
      <c r="DG1112" s="52"/>
      <c r="DH1112" s="52"/>
    </row>
    <row r="1113" ht="15.75" customHeight="1">
      <c r="DG1113" s="52"/>
      <c r="DH1113" s="52"/>
    </row>
    <row r="1114" ht="15.75" customHeight="1">
      <c r="DG1114" s="52"/>
      <c r="DH1114" s="52"/>
    </row>
    <row r="1115" ht="15.75" customHeight="1">
      <c r="DG1115" s="52"/>
      <c r="DH1115" s="52"/>
    </row>
    <row r="1116" ht="15.75" customHeight="1">
      <c r="DG1116" s="52"/>
      <c r="DH1116" s="52"/>
    </row>
    <row r="1117" ht="15.75" customHeight="1">
      <c r="DG1117" s="52"/>
      <c r="DH1117" s="52"/>
    </row>
    <row r="1118" ht="15.75" customHeight="1">
      <c r="DG1118" s="52"/>
      <c r="DH1118" s="52"/>
    </row>
    <row r="1119" ht="15.75" customHeight="1">
      <c r="DG1119" s="52"/>
      <c r="DH1119" s="52"/>
    </row>
    <row r="1120" ht="15.75" customHeight="1">
      <c r="DG1120" s="52"/>
      <c r="DH1120" s="52"/>
    </row>
    <row r="1121" ht="15.75" customHeight="1">
      <c r="DG1121" s="52"/>
      <c r="DH1121" s="52"/>
    </row>
    <row r="1122" ht="15.75" customHeight="1">
      <c r="DG1122" s="52"/>
      <c r="DH1122" s="52"/>
    </row>
    <row r="1123" ht="15.75" customHeight="1">
      <c r="DG1123" s="52"/>
      <c r="DH1123" s="52"/>
    </row>
    <row r="1124" ht="15.75" customHeight="1">
      <c r="DG1124" s="52"/>
      <c r="DH1124" s="52"/>
    </row>
    <row r="1125" ht="15.75" customHeight="1">
      <c r="DG1125" s="52"/>
      <c r="DH1125" s="52"/>
    </row>
    <row r="1126" ht="15.75" customHeight="1">
      <c r="DG1126" s="52"/>
      <c r="DH1126" s="52"/>
    </row>
    <row r="1127" ht="15.75" customHeight="1">
      <c r="DG1127" s="52"/>
      <c r="DH1127" s="52"/>
    </row>
    <row r="1128" ht="15.75" customHeight="1">
      <c r="DG1128" s="52"/>
      <c r="DH1128" s="52"/>
    </row>
    <row r="1129" ht="15.75" customHeight="1">
      <c r="DG1129" s="52"/>
      <c r="DH1129" s="52"/>
    </row>
    <row r="1130" ht="15.75" customHeight="1">
      <c r="DG1130" s="52"/>
      <c r="DH1130" s="52"/>
    </row>
    <row r="1131" ht="15.75" customHeight="1">
      <c r="DG1131" s="52"/>
      <c r="DH1131" s="52"/>
    </row>
    <row r="1132" ht="15.75" customHeight="1">
      <c r="DG1132" s="52"/>
      <c r="DH1132" s="52"/>
    </row>
    <row r="1133" ht="15.75" customHeight="1">
      <c r="DG1133" s="52"/>
      <c r="DH1133" s="52"/>
    </row>
    <row r="1134" ht="15.75" customHeight="1">
      <c r="DG1134" s="52"/>
      <c r="DH1134" s="52"/>
    </row>
    <row r="1135" ht="15.75" customHeight="1">
      <c r="DG1135" s="52"/>
      <c r="DH1135" s="52"/>
    </row>
    <row r="1136" ht="15.75" customHeight="1">
      <c r="DG1136" s="52"/>
      <c r="DH1136" s="52"/>
    </row>
    <row r="1137" ht="15.75" customHeight="1">
      <c r="DG1137" s="52"/>
      <c r="DH1137" s="52"/>
    </row>
    <row r="1138" ht="15.75" customHeight="1">
      <c r="DG1138" s="52"/>
      <c r="DH1138" s="52"/>
    </row>
    <row r="1139" ht="15.75" customHeight="1">
      <c r="DG1139" s="52"/>
      <c r="DH1139" s="52"/>
    </row>
    <row r="1140" ht="15.75" customHeight="1">
      <c r="DG1140" s="52"/>
      <c r="DH1140" s="52"/>
    </row>
    <row r="1141" ht="15.75" customHeight="1">
      <c r="DG1141" s="52"/>
      <c r="DH1141" s="52"/>
    </row>
    <row r="1142" ht="15.75" customHeight="1">
      <c r="DG1142" s="52"/>
      <c r="DH1142" s="52"/>
    </row>
    <row r="1143" ht="15.75" customHeight="1">
      <c r="DG1143" s="52"/>
      <c r="DH1143" s="52"/>
    </row>
    <row r="1144" ht="15.75" customHeight="1">
      <c r="DG1144" s="52"/>
      <c r="DH1144" s="52"/>
    </row>
    <row r="1145" ht="15.75" customHeight="1">
      <c r="DG1145" s="52"/>
      <c r="DH1145" s="52"/>
    </row>
    <row r="1146" ht="15.75" customHeight="1">
      <c r="DG1146" s="52"/>
      <c r="DH1146" s="52"/>
    </row>
    <row r="1147" ht="15.75" customHeight="1">
      <c r="DG1147" s="52"/>
      <c r="DH1147" s="52"/>
    </row>
    <row r="1148" ht="15.75" customHeight="1">
      <c r="DG1148" s="52"/>
      <c r="DH1148" s="52"/>
    </row>
    <row r="1149" ht="15.75" customHeight="1">
      <c r="DG1149" s="52"/>
      <c r="DH1149" s="52"/>
    </row>
    <row r="1150" ht="15.75" customHeight="1">
      <c r="DG1150" s="52"/>
      <c r="DH1150" s="52"/>
    </row>
    <row r="1151" ht="15.75" customHeight="1">
      <c r="DG1151" s="52"/>
      <c r="DH1151" s="52"/>
    </row>
    <row r="1152" ht="15.75" customHeight="1">
      <c r="DG1152" s="52"/>
      <c r="DH1152" s="52"/>
    </row>
    <row r="1153" ht="15.75" customHeight="1">
      <c r="DG1153" s="52"/>
      <c r="DH1153" s="52"/>
    </row>
    <row r="1154" ht="15.75" customHeight="1">
      <c r="DG1154" s="52"/>
      <c r="DH1154" s="52"/>
    </row>
    <row r="1155" ht="15.75" customHeight="1">
      <c r="DG1155" s="52"/>
      <c r="DH1155" s="52"/>
    </row>
    <row r="1156" ht="15.75" customHeight="1">
      <c r="DG1156" s="52"/>
      <c r="DH1156" s="52"/>
    </row>
    <row r="1157" ht="15.75" customHeight="1">
      <c r="DG1157" s="52"/>
      <c r="DH1157" s="52"/>
    </row>
    <row r="1158" ht="15.75" customHeight="1">
      <c r="DG1158" s="52"/>
      <c r="DH1158" s="52"/>
    </row>
    <row r="1159" ht="15.75" customHeight="1">
      <c r="DG1159" s="52"/>
      <c r="DH1159" s="52"/>
    </row>
    <row r="1160" ht="15.75" customHeight="1">
      <c r="DG1160" s="52"/>
      <c r="DH1160" s="52"/>
    </row>
    <row r="1161" ht="15.75" customHeight="1">
      <c r="DG1161" s="52"/>
      <c r="DH1161" s="52"/>
    </row>
    <row r="1162" ht="15.75" customHeight="1">
      <c r="DG1162" s="52"/>
      <c r="DH1162" s="52"/>
    </row>
    <row r="1163" ht="15.75" customHeight="1">
      <c r="DG1163" s="52"/>
      <c r="DH1163" s="52"/>
    </row>
    <row r="1164" ht="15.75" customHeight="1">
      <c r="DG1164" s="52"/>
      <c r="DH1164" s="52"/>
    </row>
    <row r="1165" ht="15.75" customHeight="1">
      <c r="DG1165" s="52"/>
      <c r="DH1165" s="52"/>
    </row>
    <row r="1166" ht="15.75" customHeight="1">
      <c r="DG1166" s="52"/>
      <c r="DH1166" s="52"/>
    </row>
    <row r="1167" ht="15.75" customHeight="1">
      <c r="DG1167" s="52"/>
      <c r="DH1167" s="52"/>
    </row>
    <row r="1168" ht="15.75" customHeight="1">
      <c r="DG1168" s="52"/>
      <c r="DH1168" s="52"/>
    </row>
    <row r="1169" ht="15.75" customHeight="1">
      <c r="DG1169" s="52"/>
      <c r="DH1169" s="52"/>
    </row>
    <row r="1170" ht="15.75" customHeight="1">
      <c r="DG1170" s="52"/>
      <c r="DH1170" s="52"/>
    </row>
    <row r="1171" ht="15.75" customHeight="1">
      <c r="DG1171" s="52"/>
      <c r="DH1171" s="52"/>
    </row>
    <row r="1172" ht="15.75" customHeight="1">
      <c r="DG1172" s="52"/>
      <c r="DH1172" s="52"/>
    </row>
    <row r="1173" ht="15.75" customHeight="1">
      <c r="DG1173" s="52"/>
      <c r="DH1173" s="52"/>
    </row>
    <row r="1174" ht="15.75" customHeight="1">
      <c r="DG1174" s="52"/>
      <c r="DH1174" s="52"/>
    </row>
    <row r="1175" ht="15.75" customHeight="1">
      <c r="DG1175" s="52"/>
      <c r="DH1175" s="52"/>
    </row>
    <row r="1176" ht="15.75" customHeight="1">
      <c r="DG1176" s="52"/>
      <c r="DH1176" s="52"/>
    </row>
    <row r="1177" ht="15.75" customHeight="1">
      <c r="DG1177" s="52"/>
      <c r="DH1177" s="52"/>
    </row>
    <row r="1178" ht="15.75" customHeight="1">
      <c r="DG1178" s="52"/>
      <c r="DH1178" s="52"/>
    </row>
    <row r="1179" ht="15.75" customHeight="1">
      <c r="DG1179" s="52"/>
      <c r="DH1179" s="52"/>
    </row>
    <row r="1180" ht="15.75" customHeight="1">
      <c r="DG1180" s="52"/>
      <c r="DH1180" s="52"/>
    </row>
    <row r="1181" ht="15.75" customHeight="1">
      <c r="DG1181" s="52"/>
      <c r="DH1181" s="52"/>
    </row>
    <row r="1182" ht="15.75" customHeight="1">
      <c r="DG1182" s="52"/>
      <c r="DH1182" s="52"/>
    </row>
    <row r="1183" ht="15.75" customHeight="1">
      <c r="DG1183" s="52"/>
      <c r="DH1183" s="52"/>
    </row>
    <row r="1184" ht="15.75" customHeight="1">
      <c r="DG1184" s="52"/>
      <c r="DH1184" s="52"/>
    </row>
    <row r="1185" ht="15.75" customHeight="1">
      <c r="DG1185" s="52"/>
      <c r="DH1185" s="52"/>
    </row>
    <row r="1186" ht="15.75" customHeight="1">
      <c r="DG1186" s="52"/>
      <c r="DH1186" s="52"/>
    </row>
    <row r="1187" ht="15.75" customHeight="1">
      <c r="DG1187" s="52"/>
      <c r="DH1187" s="52"/>
    </row>
    <row r="1188" ht="15.75" customHeight="1">
      <c r="DG1188" s="52"/>
      <c r="DH1188" s="52"/>
    </row>
    <row r="1189" ht="15.75" customHeight="1">
      <c r="DG1189" s="52"/>
      <c r="DH1189" s="52"/>
    </row>
    <row r="1190" ht="15.75" customHeight="1">
      <c r="DG1190" s="52"/>
      <c r="DH1190" s="52"/>
    </row>
    <row r="1191" ht="15.75" customHeight="1">
      <c r="DG1191" s="52"/>
      <c r="DH1191" s="52"/>
    </row>
    <row r="1192" ht="15.75" customHeight="1">
      <c r="DG1192" s="52"/>
      <c r="DH1192" s="52"/>
    </row>
    <row r="1193" ht="15.75" customHeight="1">
      <c r="DG1193" s="52"/>
      <c r="DH1193" s="52"/>
    </row>
    <row r="1194" ht="15.75" customHeight="1">
      <c r="DG1194" s="52"/>
      <c r="DH1194" s="52"/>
    </row>
    <row r="1195" ht="15.75" customHeight="1">
      <c r="DG1195" s="52"/>
      <c r="DH1195" s="52"/>
    </row>
    <row r="1196" ht="15.75" customHeight="1">
      <c r="DG1196" s="52"/>
      <c r="DH1196" s="52"/>
    </row>
    <row r="1197" ht="15.75" customHeight="1">
      <c r="DG1197" s="52"/>
      <c r="DH1197" s="52"/>
    </row>
    <row r="1198" ht="15.75" customHeight="1">
      <c r="DG1198" s="52"/>
      <c r="DH1198" s="52"/>
    </row>
    <row r="1199" ht="15.75" customHeight="1">
      <c r="DG1199" s="52"/>
      <c r="DH1199" s="52"/>
    </row>
    <row r="1200" ht="15.75" customHeight="1">
      <c r="DG1200" s="52"/>
      <c r="DH1200" s="52"/>
    </row>
    <row r="1201" ht="15.75" customHeight="1">
      <c r="DG1201" s="52"/>
      <c r="DH1201" s="52"/>
    </row>
    <row r="1202" ht="15.75" customHeight="1">
      <c r="DG1202" s="52"/>
      <c r="DH1202" s="52"/>
    </row>
    <row r="1203" ht="15.75" customHeight="1">
      <c r="DG1203" s="52"/>
      <c r="DH1203" s="52"/>
    </row>
    <row r="1204" ht="15.75" customHeight="1">
      <c r="DG1204" s="52"/>
      <c r="DH1204" s="52"/>
    </row>
    <row r="1205" ht="15.75" customHeight="1">
      <c r="DG1205" s="52"/>
      <c r="DH1205" s="52"/>
    </row>
    <row r="1206" ht="15.75" customHeight="1">
      <c r="DG1206" s="52"/>
      <c r="DH1206" s="52"/>
    </row>
    <row r="1207" ht="15.75" customHeight="1">
      <c r="DG1207" s="52"/>
      <c r="DH1207" s="52"/>
    </row>
    <row r="1208" ht="15.75" customHeight="1">
      <c r="DG1208" s="52"/>
      <c r="DH1208" s="52"/>
    </row>
    <row r="1209" ht="15.75" customHeight="1">
      <c r="DG1209" s="52"/>
      <c r="DH1209" s="52"/>
    </row>
    <row r="1210" ht="15.75" customHeight="1">
      <c r="DG1210" s="52"/>
      <c r="DH1210" s="52"/>
    </row>
    <row r="1211" ht="15.75" customHeight="1">
      <c r="DG1211" s="52"/>
      <c r="DH1211" s="52"/>
    </row>
    <row r="1212" ht="15.75" customHeight="1">
      <c r="DG1212" s="52"/>
      <c r="DH1212" s="52"/>
    </row>
    <row r="1213" ht="15.75" customHeight="1">
      <c r="DG1213" s="52"/>
      <c r="DH1213" s="52"/>
    </row>
    <row r="1214" ht="15.75" customHeight="1">
      <c r="DG1214" s="52"/>
      <c r="DH1214" s="52"/>
    </row>
    <row r="1215" ht="15.75" customHeight="1">
      <c r="DG1215" s="52"/>
      <c r="DH1215" s="52"/>
    </row>
    <row r="1216" ht="15.75" customHeight="1">
      <c r="DG1216" s="52"/>
      <c r="DH1216" s="52"/>
    </row>
    <row r="1217" ht="15.75" customHeight="1">
      <c r="DG1217" s="52"/>
      <c r="DH1217" s="52"/>
    </row>
    <row r="1218" ht="15.75" customHeight="1">
      <c r="DG1218" s="52"/>
      <c r="DH1218" s="52"/>
    </row>
    <row r="1219" ht="15.75" customHeight="1">
      <c r="DG1219" s="52"/>
      <c r="DH1219" s="52"/>
    </row>
    <row r="1220" ht="15.75" customHeight="1">
      <c r="DG1220" s="52"/>
      <c r="DH1220" s="52"/>
    </row>
    <row r="1221" ht="15.75" customHeight="1">
      <c r="DG1221" s="52"/>
      <c r="DH1221" s="52"/>
    </row>
    <row r="1222" ht="15.75" customHeight="1">
      <c r="DG1222" s="52"/>
      <c r="DH1222" s="52"/>
    </row>
    <row r="1223" ht="15.75" customHeight="1">
      <c r="DG1223" s="52"/>
      <c r="DH1223" s="52"/>
    </row>
    <row r="1224" ht="15.75" customHeight="1">
      <c r="DG1224" s="52"/>
      <c r="DH1224" s="52"/>
    </row>
    <row r="1225" ht="15.75" customHeight="1">
      <c r="DG1225" s="52"/>
      <c r="DH1225" s="52"/>
    </row>
    <row r="1226" ht="15.75" customHeight="1">
      <c r="DG1226" s="52"/>
      <c r="DH1226" s="52"/>
    </row>
    <row r="1227" ht="15.75" customHeight="1">
      <c r="DG1227" s="52"/>
      <c r="DH1227" s="52"/>
    </row>
    <row r="1228" ht="15.75" customHeight="1">
      <c r="DG1228" s="52"/>
      <c r="DH1228" s="52"/>
    </row>
    <row r="1229" ht="15.75" customHeight="1">
      <c r="DG1229" s="52"/>
      <c r="DH1229" s="52"/>
    </row>
    <row r="1230" ht="15.75" customHeight="1">
      <c r="DG1230" s="52"/>
      <c r="DH1230" s="52"/>
    </row>
    <row r="1231" ht="15.75" customHeight="1">
      <c r="DG1231" s="52"/>
      <c r="DH1231" s="52"/>
    </row>
    <row r="1232" ht="15.75" customHeight="1">
      <c r="DG1232" s="52"/>
      <c r="DH1232" s="52"/>
    </row>
    <row r="1233" ht="15.75" customHeight="1">
      <c r="DG1233" s="52"/>
      <c r="DH1233" s="52"/>
    </row>
    <row r="1234" ht="15.75" customHeight="1">
      <c r="DG1234" s="52"/>
      <c r="DH1234" s="52"/>
    </row>
    <row r="1235" ht="15.75" customHeight="1">
      <c r="DG1235" s="52"/>
      <c r="DH1235" s="52"/>
    </row>
    <row r="1236" ht="15.75" customHeight="1">
      <c r="DG1236" s="52"/>
      <c r="DH1236" s="52"/>
    </row>
    <row r="1237" ht="15.75" customHeight="1">
      <c r="DG1237" s="52"/>
      <c r="DH1237" s="52"/>
    </row>
    <row r="1238" ht="15.75" customHeight="1">
      <c r="DG1238" s="52"/>
      <c r="DH1238" s="52"/>
    </row>
    <row r="1239" ht="15.75" customHeight="1">
      <c r="DG1239" s="52"/>
      <c r="DH1239" s="52"/>
    </row>
    <row r="1240" ht="15.75" customHeight="1">
      <c r="DG1240" s="52"/>
      <c r="DH1240" s="52"/>
    </row>
    <row r="1241" ht="15.75" customHeight="1">
      <c r="DG1241" s="52"/>
      <c r="DH1241" s="52"/>
    </row>
    <row r="1242" ht="15.75" customHeight="1">
      <c r="DG1242" s="52"/>
      <c r="DH1242" s="52"/>
    </row>
    <row r="1243" ht="15.75" customHeight="1">
      <c r="DG1243" s="52"/>
      <c r="DH1243" s="52"/>
    </row>
    <row r="1244" ht="15.75" customHeight="1">
      <c r="DG1244" s="52"/>
      <c r="DH1244" s="52"/>
    </row>
    <row r="1245" ht="15.75" customHeight="1">
      <c r="DG1245" s="52"/>
      <c r="DH1245" s="52"/>
    </row>
    <row r="1246" ht="15.75" customHeight="1">
      <c r="DG1246" s="52"/>
      <c r="DH1246" s="52"/>
    </row>
    <row r="1247" ht="15.75" customHeight="1">
      <c r="DG1247" s="52"/>
      <c r="DH1247" s="52"/>
    </row>
    <row r="1248" ht="15.75" customHeight="1">
      <c r="DG1248" s="52"/>
      <c r="DH1248" s="52"/>
    </row>
    <row r="1249" ht="15.75" customHeight="1">
      <c r="DG1249" s="52"/>
      <c r="DH1249" s="52"/>
    </row>
    <row r="1250" ht="15.75" customHeight="1">
      <c r="DG1250" s="52"/>
      <c r="DH1250" s="52"/>
    </row>
    <row r="1251" ht="15.75" customHeight="1">
      <c r="DG1251" s="52"/>
      <c r="DH1251" s="52"/>
    </row>
    <row r="1252" ht="15.75" customHeight="1">
      <c r="DG1252" s="52"/>
      <c r="DH1252" s="52"/>
    </row>
    <row r="1253" ht="15.75" customHeight="1">
      <c r="DG1253" s="52"/>
      <c r="DH1253" s="52"/>
    </row>
    <row r="1254" ht="15.75" customHeight="1">
      <c r="DG1254" s="52"/>
      <c r="DH1254" s="52"/>
    </row>
    <row r="1255" ht="15.75" customHeight="1">
      <c r="DG1255" s="52"/>
      <c r="DH1255" s="52"/>
    </row>
    <row r="1256" ht="15.75" customHeight="1">
      <c r="DG1256" s="52"/>
      <c r="DH1256" s="52"/>
    </row>
    <row r="1257" ht="15.75" customHeight="1">
      <c r="DG1257" s="52"/>
      <c r="DH1257" s="52"/>
    </row>
    <row r="1258" ht="15.75" customHeight="1">
      <c r="DG1258" s="52"/>
      <c r="DH1258" s="52"/>
    </row>
    <row r="1259" ht="15.75" customHeight="1">
      <c r="DG1259" s="52"/>
      <c r="DH1259" s="52"/>
    </row>
    <row r="1260" ht="15.75" customHeight="1">
      <c r="DG1260" s="52"/>
      <c r="DH1260" s="52"/>
    </row>
    <row r="1261" ht="15.75" customHeight="1">
      <c r="DG1261" s="52"/>
      <c r="DH1261" s="52"/>
    </row>
    <row r="1262" ht="15.75" customHeight="1">
      <c r="DG1262" s="52"/>
      <c r="DH1262" s="52"/>
    </row>
    <row r="1263" ht="15.75" customHeight="1">
      <c r="DG1263" s="52"/>
      <c r="DH1263" s="52"/>
    </row>
    <row r="1264" ht="15.75" customHeight="1">
      <c r="DG1264" s="52"/>
      <c r="DH1264" s="52"/>
    </row>
    <row r="1265" ht="15.75" customHeight="1">
      <c r="DG1265" s="52"/>
      <c r="DH1265" s="52"/>
    </row>
    <row r="1266" ht="15.75" customHeight="1">
      <c r="DG1266" s="52"/>
      <c r="DH1266" s="52"/>
    </row>
    <row r="1267" ht="15.75" customHeight="1">
      <c r="DG1267" s="52"/>
      <c r="DH1267" s="52"/>
    </row>
    <row r="1268" ht="15.75" customHeight="1">
      <c r="DG1268" s="52"/>
      <c r="DH1268" s="52"/>
    </row>
    <row r="1269" ht="15.75" customHeight="1">
      <c r="DG1269" s="52"/>
      <c r="DH1269" s="52"/>
    </row>
    <row r="1270" ht="15.75" customHeight="1">
      <c r="DG1270" s="52"/>
      <c r="DH1270" s="52"/>
    </row>
    <row r="1271" ht="15.75" customHeight="1">
      <c r="DG1271" s="52"/>
      <c r="DH1271" s="52"/>
    </row>
    <row r="1272" ht="15.75" customHeight="1">
      <c r="DG1272" s="52"/>
      <c r="DH1272" s="52"/>
    </row>
    <row r="1273" ht="15.75" customHeight="1">
      <c r="DG1273" s="52"/>
      <c r="DH1273" s="52"/>
    </row>
    <row r="1274" ht="15.75" customHeight="1">
      <c r="DG1274" s="52"/>
      <c r="DH1274" s="52"/>
    </row>
    <row r="1275" ht="15.75" customHeight="1">
      <c r="DG1275" s="52"/>
      <c r="DH1275" s="52"/>
    </row>
    <row r="1276" ht="15.75" customHeight="1">
      <c r="DG1276" s="52"/>
      <c r="DH1276" s="52"/>
    </row>
    <row r="1277" ht="15.75" customHeight="1">
      <c r="DG1277" s="52"/>
      <c r="DH1277" s="52"/>
    </row>
    <row r="1278" ht="15.75" customHeight="1">
      <c r="DG1278" s="52"/>
      <c r="DH1278" s="52"/>
    </row>
    <row r="1279" ht="15.75" customHeight="1">
      <c r="DG1279" s="52"/>
      <c r="DH1279" s="52"/>
    </row>
    <row r="1280" ht="15.75" customHeight="1">
      <c r="DG1280" s="52"/>
      <c r="DH1280" s="52"/>
    </row>
    <row r="1281" ht="15.75" customHeight="1">
      <c r="DG1281" s="52"/>
      <c r="DH1281" s="52"/>
    </row>
    <row r="1282" ht="15.75" customHeight="1">
      <c r="DG1282" s="52"/>
      <c r="DH1282" s="52"/>
    </row>
    <row r="1283" ht="15.75" customHeight="1">
      <c r="DG1283" s="52"/>
      <c r="DH1283" s="52"/>
    </row>
    <row r="1284" ht="15.75" customHeight="1">
      <c r="DG1284" s="52"/>
      <c r="DH1284" s="52"/>
    </row>
    <row r="1285" ht="15.75" customHeight="1">
      <c r="DG1285" s="52"/>
      <c r="DH1285" s="52"/>
    </row>
    <row r="1286" ht="15.75" customHeight="1">
      <c r="DG1286" s="52"/>
      <c r="DH1286" s="52"/>
    </row>
    <row r="1287" ht="15.75" customHeight="1">
      <c r="DG1287" s="52"/>
      <c r="DH1287" s="52"/>
    </row>
    <row r="1288" ht="15.75" customHeight="1">
      <c r="DG1288" s="52"/>
      <c r="DH1288" s="52"/>
    </row>
    <row r="1289" ht="15.75" customHeight="1">
      <c r="DG1289" s="52"/>
      <c r="DH1289" s="52"/>
    </row>
    <row r="1290" ht="15.75" customHeight="1">
      <c r="DG1290" s="52"/>
      <c r="DH1290" s="52"/>
    </row>
    <row r="1291" ht="15.75" customHeight="1">
      <c r="DG1291" s="52"/>
      <c r="DH1291" s="52"/>
    </row>
    <row r="1292" ht="15.75" customHeight="1">
      <c r="DG1292" s="52"/>
      <c r="DH1292" s="52"/>
    </row>
    <row r="1293" ht="15.75" customHeight="1">
      <c r="DG1293" s="52"/>
      <c r="DH1293" s="52"/>
    </row>
    <row r="1294" ht="15.75" customHeight="1">
      <c r="DG1294" s="52"/>
      <c r="DH1294" s="52"/>
    </row>
    <row r="1295" ht="15.75" customHeight="1">
      <c r="DG1295" s="52"/>
      <c r="DH1295" s="52"/>
    </row>
    <row r="1296" ht="15.75" customHeight="1">
      <c r="DG1296" s="52"/>
      <c r="DH1296" s="52"/>
    </row>
    <row r="1297" ht="15.75" customHeight="1">
      <c r="DG1297" s="52"/>
      <c r="DH1297" s="52"/>
    </row>
    <row r="1298" ht="15.75" customHeight="1">
      <c r="DG1298" s="52"/>
      <c r="DH1298" s="52"/>
    </row>
    <row r="1299" ht="15.75" customHeight="1">
      <c r="DG1299" s="52"/>
      <c r="DH1299" s="52"/>
    </row>
    <row r="1300" ht="15.75" customHeight="1">
      <c r="DG1300" s="52"/>
      <c r="DH1300" s="52"/>
    </row>
    <row r="1301" ht="15.75" customHeight="1">
      <c r="DG1301" s="52"/>
      <c r="DH1301" s="52"/>
    </row>
    <row r="1302" ht="15.75" customHeight="1">
      <c r="DG1302" s="52"/>
      <c r="DH1302" s="52"/>
    </row>
    <row r="1303" ht="15.75" customHeight="1">
      <c r="DG1303" s="52"/>
      <c r="DH1303" s="52"/>
    </row>
    <row r="1304" ht="15.75" customHeight="1">
      <c r="DG1304" s="52"/>
      <c r="DH1304" s="52"/>
    </row>
    <row r="1305" ht="15.75" customHeight="1">
      <c r="DG1305" s="52"/>
      <c r="DH1305" s="52"/>
    </row>
    <row r="1306" ht="15.75" customHeight="1">
      <c r="DG1306" s="52"/>
      <c r="DH1306" s="52"/>
    </row>
    <row r="1307" ht="15.75" customHeight="1">
      <c r="DG1307" s="52"/>
      <c r="DH1307" s="52"/>
    </row>
    <row r="1308" ht="15.75" customHeight="1">
      <c r="DG1308" s="52"/>
      <c r="DH1308" s="52"/>
    </row>
    <row r="1309" ht="15.75" customHeight="1">
      <c r="DG1309" s="52"/>
      <c r="DH1309" s="52"/>
    </row>
    <row r="1310" ht="15.75" customHeight="1">
      <c r="DG1310" s="52"/>
      <c r="DH1310" s="52"/>
    </row>
    <row r="1311" ht="15.75" customHeight="1">
      <c r="DG1311" s="52"/>
      <c r="DH1311" s="52"/>
    </row>
    <row r="1312" ht="15.75" customHeight="1">
      <c r="DG1312" s="52"/>
      <c r="DH1312" s="52"/>
    </row>
    <row r="1313" ht="15.75" customHeight="1">
      <c r="DG1313" s="52"/>
      <c r="DH1313" s="52"/>
    </row>
    <row r="1314" ht="15.75" customHeight="1">
      <c r="DG1314" s="52"/>
      <c r="DH1314" s="52"/>
    </row>
    <row r="1315" ht="15.75" customHeight="1">
      <c r="DG1315" s="52"/>
      <c r="DH1315" s="52"/>
    </row>
    <row r="1316" ht="15.75" customHeight="1">
      <c r="DG1316" s="52"/>
      <c r="DH1316" s="52"/>
    </row>
    <row r="1317" ht="15.75" customHeight="1">
      <c r="DG1317" s="52"/>
      <c r="DH1317" s="52"/>
    </row>
    <row r="1318" ht="15.75" customHeight="1">
      <c r="DG1318" s="52"/>
      <c r="DH1318" s="52"/>
    </row>
    <row r="1319" ht="15.75" customHeight="1">
      <c r="DG1319" s="52"/>
      <c r="DH1319" s="52"/>
    </row>
    <row r="1320" ht="15.75" customHeight="1">
      <c r="DG1320" s="52"/>
      <c r="DH1320" s="52"/>
    </row>
    <row r="1321" ht="15.75" customHeight="1">
      <c r="DG1321" s="52"/>
      <c r="DH1321" s="52"/>
    </row>
    <row r="1322" ht="15.75" customHeight="1">
      <c r="DG1322" s="52"/>
      <c r="DH1322" s="52"/>
    </row>
    <row r="1323" ht="15.75" customHeight="1">
      <c r="DG1323" s="52"/>
      <c r="DH1323" s="52"/>
    </row>
    <row r="1324" ht="15.75" customHeight="1">
      <c r="DG1324" s="52"/>
      <c r="DH1324" s="52"/>
    </row>
    <row r="1325" ht="15.75" customHeight="1">
      <c r="DG1325" s="52"/>
      <c r="DH1325" s="52"/>
    </row>
    <row r="1326" ht="15.75" customHeight="1">
      <c r="DG1326" s="52"/>
      <c r="DH1326" s="52"/>
    </row>
    <row r="1327" ht="15.75" customHeight="1">
      <c r="DG1327" s="52"/>
      <c r="DH1327" s="52"/>
    </row>
    <row r="1328" ht="15.75" customHeight="1">
      <c r="DG1328" s="52"/>
      <c r="DH1328" s="52"/>
    </row>
    <row r="1329" ht="15.75" customHeight="1">
      <c r="DG1329" s="52"/>
      <c r="DH1329" s="52"/>
    </row>
    <row r="1330" ht="15.75" customHeight="1">
      <c r="DG1330" s="52"/>
      <c r="DH1330" s="52"/>
    </row>
    <row r="1331" ht="15.75" customHeight="1">
      <c r="DG1331" s="52"/>
      <c r="DH1331" s="52"/>
    </row>
    <row r="1332" ht="15.75" customHeight="1">
      <c r="DG1332" s="52"/>
      <c r="DH1332" s="52"/>
    </row>
    <row r="1333" ht="15.75" customHeight="1">
      <c r="DG1333" s="52"/>
      <c r="DH1333" s="52"/>
    </row>
    <row r="1334" ht="15.75" customHeight="1">
      <c r="DG1334" s="52"/>
      <c r="DH1334" s="52"/>
    </row>
    <row r="1335" ht="15.75" customHeight="1">
      <c r="DG1335" s="52"/>
      <c r="DH1335" s="52"/>
    </row>
    <row r="1336" ht="15.75" customHeight="1">
      <c r="DG1336" s="52"/>
      <c r="DH1336" s="52"/>
    </row>
    <row r="1337" ht="15.75" customHeight="1">
      <c r="DG1337" s="52"/>
      <c r="DH1337" s="52"/>
    </row>
    <row r="1338" ht="15.75" customHeight="1">
      <c r="DG1338" s="52"/>
      <c r="DH1338" s="52"/>
    </row>
    <row r="1339" ht="15.75" customHeight="1">
      <c r="DG1339" s="52"/>
      <c r="DH1339" s="52"/>
    </row>
    <row r="1340" ht="15.75" customHeight="1">
      <c r="DG1340" s="52"/>
      <c r="DH1340" s="52"/>
    </row>
    <row r="1341" ht="15.75" customHeight="1">
      <c r="DG1341" s="52"/>
      <c r="DH1341" s="52"/>
    </row>
    <row r="1342" ht="15.75" customHeight="1">
      <c r="DG1342" s="52"/>
      <c r="DH1342" s="52"/>
    </row>
    <row r="1343" ht="15.75" customHeight="1">
      <c r="DG1343" s="52"/>
      <c r="DH1343" s="52"/>
    </row>
    <row r="1344" ht="15.75" customHeight="1">
      <c r="DG1344" s="52"/>
      <c r="DH1344" s="52"/>
    </row>
    <row r="1345" ht="15.75" customHeight="1">
      <c r="DG1345" s="52"/>
      <c r="DH1345" s="52"/>
    </row>
    <row r="1346" ht="15.75" customHeight="1">
      <c r="DG1346" s="52"/>
      <c r="DH1346" s="52"/>
    </row>
    <row r="1347" ht="15.75" customHeight="1">
      <c r="DG1347" s="52"/>
      <c r="DH1347" s="52"/>
    </row>
    <row r="1348" ht="15.75" customHeight="1">
      <c r="DG1348" s="52"/>
      <c r="DH1348" s="52"/>
    </row>
    <row r="1349" ht="15.75" customHeight="1">
      <c r="DG1349" s="52"/>
      <c r="DH1349" s="52"/>
    </row>
    <row r="1350" ht="15.75" customHeight="1">
      <c r="DG1350" s="52"/>
      <c r="DH1350" s="52"/>
    </row>
    <row r="1351" ht="15.75" customHeight="1">
      <c r="DG1351" s="52"/>
      <c r="DH1351" s="52"/>
    </row>
    <row r="1352" ht="15.75" customHeight="1">
      <c r="DG1352" s="52"/>
      <c r="DH1352" s="52"/>
    </row>
    <row r="1353" ht="15.75" customHeight="1">
      <c r="DG1353" s="52"/>
      <c r="DH1353" s="52"/>
    </row>
    <row r="1354" ht="15.75" customHeight="1">
      <c r="DG1354" s="52"/>
      <c r="DH1354" s="52"/>
    </row>
    <row r="1355" ht="15.75" customHeight="1">
      <c r="DG1355" s="52"/>
      <c r="DH1355" s="52"/>
    </row>
    <row r="1356" ht="15.75" customHeight="1">
      <c r="DG1356" s="52"/>
      <c r="DH1356" s="52"/>
    </row>
    <row r="1357" ht="15.75" customHeight="1">
      <c r="DG1357" s="52"/>
      <c r="DH1357" s="52"/>
    </row>
    <row r="1358" ht="15.75" customHeight="1">
      <c r="DG1358" s="52"/>
      <c r="DH1358" s="52"/>
    </row>
    <row r="1359" ht="15.75" customHeight="1">
      <c r="DG1359" s="52"/>
      <c r="DH1359" s="52"/>
    </row>
    <row r="1360" ht="15.75" customHeight="1">
      <c r="DG1360" s="52"/>
      <c r="DH1360" s="52"/>
    </row>
    <row r="1361" ht="15.75" customHeight="1">
      <c r="DG1361" s="52"/>
      <c r="DH1361" s="52"/>
    </row>
    <row r="1362" ht="15.75" customHeight="1">
      <c r="DG1362" s="52"/>
      <c r="DH1362" s="52"/>
    </row>
    <row r="1363" ht="15.75" customHeight="1">
      <c r="DG1363" s="52"/>
      <c r="DH1363" s="52"/>
    </row>
    <row r="1364" ht="15.75" customHeight="1">
      <c r="DG1364" s="52"/>
      <c r="DH1364" s="52"/>
    </row>
    <row r="1365" ht="15.75" customHeight="1">
      <c r="DG1365" s="52"/>
      <c r="DH1365" s="52"/>
    </row>
    <row r="1366" ht="15.75" customHeight="1">
      <c r="DG1366" s="52"/>
      <c r="DH1366" s="52"/>
    </row>
    <row r="1367" ht="15.75" customHeight="1">
      <c r="DG1367" s="52"/>
      <c r="DH1367" s="52"/>
    </row>
    <row r="1368" ht="15.75" customHeight="1">
      <c r="DG1368" s="52"/>
      <c r="DH1368" s="52"/>
    </row>
    <row r="1369" ht="15.75" customHeight="1">
      <c r="DG1369" s="52"/>
      <c r="DH1369" s="52"/>
    </row>
    <row r="1370" ht="15.75" customHeight="1">
      <c r="DG1370" s="52"/>
      <c r="DH1370" s="52"/>
    </row>
    <row r="1371" ht="15.75" customHeight="1">
      <c r="DG1371" s="52"/>
      <c r="DH1371" s="52"/>
    </row>
    <row r="1372" ht="15.75" customHeight="1">
      <c r="DG1372" s="52"/>
      <c r="DH1372" s="52"/>
    </row>
    <row r="1373" ht="15.75" customHeight="1">
      <c r="DG1373" s="52"/>
      <c r="DH1373" s="52"/>
    </row>
    <row r="1374" ht="15.75" customHeight="1">
      <c r="DG1374" s="52"/>
      <c r="DH1374" s="52"/>
    </row>
    <row r="1375" ht="15.75" customHeight="1">
      <c r="DG1375" s="52"/>
      <c r="DH1375" s="52"/>
    </row>
    <row r="1376" ht="15.75" customHeight="1">
      <c r="DG1376" s="52"/>
      <c r="DH1376" s="52"/>
    </row>
    <row r="1377" ht="15.75" customHeight="1">
      <c r="DG1377" s="52"/>
      <c r="DH1377" s="52"/>
    </row>
    <row r="1378" ht="15.75" customHeight="1">
      <c r="DG1378" s="52"/>
      <c r="DH1378" s="52"/>
    </row>
    <row r="1379" ht="15.75" customHeight="1">
      <c r="DG1379" s="52"/>
      <c r="DH1379" s="52"/>
    </row>
    <row r="1380" ht="15.75" customHeight="1">
      <c r="DG1380" s="52"/>
      <c r="DH1380" s="52"/>
    </row>
    <row r="1381" ht="15.75" customHeight="1">
      <c r="DG1381" s="52"/>
      <c r="DH1381" s="52"/>
    </row>
    <row r="1382" ht="15.75" customHeight="1">
      <c r="DG1382" s="52"/>
      <c r="DH1382" s="52"/>
    </row>
    <row r="1383" ht="15.75" customHeight="1">
      <c r="DG1383" s="52"/>
      <c r="DH1383" s="52"/>
    </row>
    <row r="1384" ht="15.75" customHeight="1">
      <c r="DG1384" s="52"/>
      <c r="DH1384" s="52"/>
    </row>
    <row r="1385" ht="15.75" customHeight="1">
      <c r="DG1385" s="52"/>
      <c r="DH1385" s="52"/>
    </row>
    <row r="1386" ht="15.75" customHeight="1">
      <c r="DG1386" s="52"/>
      <c r="DH1386" s="52"/>
    </row>
    <row r="1387" ht="15.75" customHeight="1">
      <c r="DG1387" s="52"/>
      <c r="DH1387" s="52"/>
    </row>
    <row r="1388" ht="15.75" customHeight="1">
      <c r="DG1388" s="52"/>
      <c r="DH1388" s="52"/>
    </row>
    <row r="1389" ht="15.75" customHeight="1">
      <c r="DG1389" s="52"/>
      <c r="DH1389" s="52"/>
    </row>
    <row r="1390" ht="15.75" customHeight="1">
      <c r="DG1390" s="52"/>
      <c r="DH1390" s="52"/>
    </row>
    <row r="1391" ht="15.75" customHeight="1">
      <c r="DG1391" s="52"/>
      <c r="DH1391" s="52"/>
    </row>
    <row r="1392" ht="15.75" customHeight="1">
      <c r="DG1392" s="52"/>
      <c r="DH1392" s="52"/>
    </row>
    <row r="1393" ht="15.75" customHeight="1">
      <c r="DG1393" s="52"/>
      <c r="DH1393" s="52"/>
    </row>
    <row r="1394" ht="15.75" customHeight="1">
      <c r="DG1394" s="52"/>
      <c r="DH1394" s="52"/>
    </row>
    <row r="1395" ht="15.75" customHeight="1">
      <c r="DG1395" s="52"/>
      <c r="DH1395" s="52"/>
    </row>
    <row r="1396" ht="15.75" customHeight="1">
      <c r="DG1396" s="52"/>
      <c r="DH1396" s="52"/>
    </row>
    <row r="1397" ht="15.75" customHeight="1">
      <c r="DG1397" s="52"/>
      <c r="DH1397" s="52"/>
    </row>
    <row r="1398" ht="15.75" customHeight="1">
      <c r="DG1398" s="52"/>
      <c r="DH1398" s="52"/>
    </row>
    <row r="1399" ht="15.75" customHeight="1">
      <c r="DG1399" s="52"/>
      <c r="DH1399" s="52"/>
    </row>
    <row r="1400" ht="15.75" customHeight="1">
      <c r="DG1400" s="52"/>
      <c r="DH1400" s="52"/>
    </row>
    <row r="1401" ht="15.75" customHeight="1">
      <c r="DG1401" s="52"/>
      <c r="DH1401" s="52"/>
    </row>
    <row r="1402" ht="15.75" customHeight="1">
      <c r="DG1402" s="52"/>
      <c r="DH1402" s="52"/>
    </row>
    <row r="1403" ht="15.75" customHeight="1">
      <c r="DG1403" s="52"/>
      <c r="DH1403" s="52"/>
    </row>
    <row r="1404" ht="15.75" customHeight="1">
      <c r="DG1404" s="52"/>
      <c r="DH1404" s="52"/>
    </row>
    <row r="1405" ht="15.75" customHeight="1">
      <c r="DG1405" s="52"/>
      <c r="DH1405" s="52"/>
    </row>
    <row r="1406" ht="15.75" customHeight="1">
      <c r="DG1406" s="52"/>
      <c r="DH1406" s="52"/>
    </row>
    <row r="1407" ht="15.75" customHeight="1">
      <c r="DG1407" s="52"/>
      <c r="DH1407" s="52"/>
    </row>
    <row r="1408" ht="15.75" customHeight="1">
      <c r="DG1408" s="52"/>
      <c r="DH1408" s="52"/>
    </row>
    <row r="1409" ht="15.75" customHeight="1">
      <c r="DG1409" s="52"/>
      <c r="DH1409" s="52"/>
    </row>
    <row r="1410" ht="15.75" customHeight="1">
      <c r="DG1410" s="52"/>
      <c r="DH1410" s="52"/>
    </row>
    <row r="1411" ht="15.75" customHeight="1">
      <c r="DG1411" s="52"/>
      <c r="DH1411" s="52"/>
    </row>
    <row r="1412" ht="15.75" customHeight="1">
      <c r="DG1412" s="52"/>
      <c r="DH1412" s="52"/>
    </row>
    <row r="1413" ht="15.75" customHeight="1">
      <c r="DG1413" s="52"/>
      <c r="DH1413" s="52"/>
    </row>
    <row r="1414" ht="15.75" customHeight="1">
      <c r="DG1414" s="52"/>
      <c r="DH1414" s="52"/>
    </row>
    <row r="1415" ht="15.75" customHeight="1">
      <c r="DG1415" s="52"/>
      <c r="DH1415" s="52"/>
    </row>
    <row r="1416" ht="15.75" customHeight="1">
      <c r="DG1416" s="52"/>
      <c r="DH1416" s="52"/>
    </row>
    <row r="1417" ht="15.75" customHeight="1">
      <c r="DG1417" s="52"/>
      <c r="DH1417" s="52"/>
    </row>
    <row r="1418" ht="15.75" customHeight="1">
      <c r="DG1418" s="52"/>
      <c r="DH1418" s="52"/>
    </row>
    <row r="1419" ht="15.75" customHeight="1">
      <c r="DG1419" s="52"/>
      <c r="DH1419" s="52"/>
    </row>
    <row r="1420" ht="15.75" customHeight="1">
      <c r="DG1420" s="52"/>
      <c r="DH1420" s="52"/>
    </row>
    <row r="1421" ht="15.75" customHeight="1">
      <c r="DG1421" s="52"/>
      <c r="DH1421" s="52"/>
    </row>
    <row r="1422" ht="15.75" customHeight="1">
      <c r="DG1422" s="52"/>
      <c r="DH1422" s="52"/>
    </row>
    <row r="1423" ht="15.75" customHeight="1">
      <c r="DG1423" s="52"/>
      <c r="DH1423" s="52"/>
    </row>
    <row r="1424" ht="15.75" customHeight="1">
      <c r="DG1424" s="52"/>
      <c r="DH1424" s="52"/>
    </row>
    <row r="1425" ht="15.75" customHeight="1">
      <c r="DG1425" s="52"/>
      <c r="DH1425" s="52"/>
    </row>
    <row r="1426" ht="15.75" customHeight="1">
      <c r="DG1426" s="52"/>
      <c r="DH1426" s="52"/>
    </row>
    <row r="1427" ht="15.75" customHeight="1">
      <c r="DG1427" s="52"/>
      <c r="DH1427" s="52"/>
    </row>
    <row r="1428" ht="15.75" customHeight="1">
      <c r="DG1428" s="52"/>
      <c r="DH1428" s="52"/>
    </row>
    <row r="1429" ht="15.75" customHeight="1">
      <c r="DG1429" s="52"/>
      <c r="DH1429" s="52"/>
    </row>
    <row r="1430" ht="15.75" customHeight="1">
      <c r="DG1430" s="52"/>
      <c r="DH1430" s="52"/>
    </row>
    <row r="1431" ht="15.75" customHeight="1">
      <c r="DG1431" s="52"/>
      <c r="DH1431" s="52"/>
    </row>
    <row r="1432" ht="15.75" customHeight="1">
      <c r="DG1432" s="52"/>
      <c r="DH1432" s="52"/>
    </row>
    <row r="1433" ht="15.75" customHeight="1">
      <c r="DG1433" s="52"/>
      <c r="DH1433" s="52"/>
    </row>
    <row r="1434" ht="15.75" customHeight="1">
      <c r="DG1434" s="52"/>
      <c r="DH1434" s="52"/>
    </row>
    <row r="1435" ht="15.75" customHeight="1">
      <c r="DG1435" s="52"/>
      <c r="DH1435" s="52"/>
    </row>
    <row r="1436" ht="15.75" customHeight="1">
      <c r="DG1436" s="52"/>
      <c r="DH1436" s="52"/>
    </row>
    <row r="1437" ht="15.75" customHeight="1">
      <c r="DG1437" s="52"/>
      <c r="DH1437" s="52"/>
    </row>
    <row r="1438" ht="15.75" customHeight="1">
      <c r="DG1438" s="52"/>
      <c r="DH1438" s="52"/>
    </row>
    <row r="1439" ht="15.75" customHeight="1">
      <c r="DG1439" s="52"/>
      <c r="DH1439" s="52"/>
    </row>
    <row r="1440" ht="15.75" customHeight="1">
      <c r="DG1440" s="52"/>
      <c r="DH1440" s="52"/>
    </row>
    <row r="1441" ht="15.75" customHeight="1">
      <c r="DG1441" s="52"/>
      <c r="DH1441" s="52"/>
    </row>
    <row r="1442" ht="15.75" customHeight="1">
      <c r="DG1442" s="52"/>
      <c r="DH1442" s="52"/>
    </row>
    <row r="1443" ht="15.75" customHeight="1">
      <c r="DG1443" s="52"/>
      <c r="DH1443" s="52"/>
    </row>
    <row r="1444" ht="15.75" customHeight="1">
      <c r="DG1444" s="52"/>
      <c r="DH1444" s="52"/>
    </row>
    <row r="1445" ht="15.75" customHeight="1">
      <c r="DG1445" s="52"/>
      <c r="DH1445" s="52"/>
    </row>
    <row r="1446" ht="15.75" customHeight="1">
      <c r="DG1446" s="52"/>
      <c r="DH1446" s="52"/>
    </row>
    <row r="1447" ht="15.75" customHeight="1">
      <c r="DG1447" s="52"/>
      <c r="DH1447" s="52"/>
    </row>
    <row r="1448" ht="15.75" customHeight="1">
      <c r="DG1448" s="52"/>
      <c r="DH1448" s="52"/>
    </row>
    <row r="1449" ht="15.75" customHeight="1">
      <c r="DG1449" s="52"/>
      <c r="DH1449" s="52"/>
    </row>
    <row r="1450" ht="15.75" customHeight="1">
      <c r="DG1450" s="52"/>
      <c r="DH1450" s="52"/>
    </row>
    <row r="1451" ht="15.75" customHeight="1">
      <c r="DG1451" s="52"/>
      <c r="DH1451" s="52"/>
    </row>
    <row r="1452" ht="15.75" customHeight="1">
      <c r="DG1452" s="52"/>
      <c r="DH1452" s="52"/>
    </row>
    <row r="1453" ht="15.75" customHeight="1">
      <c r="DG1453" s="52"/>
      <c r="DH1453" s="52"/>
    </row>
    <row r="1454" ht="15.75" customHeight="1">
      <c r="DG1454" s="52"/>
      <c r="DH1454" s="52"/>
    </row>
    <row r="1455" ht="15.75" customHeight="1">
      <c r="DG1455" s="52"/>
      <c r="DH1455" s="52"/>
    </row>
    <row r="1456" ht="15.75" customHeight="1">
      <c r="DG1456" s="52"/>
      <c r="DH1456" s="52"/>
    </row>
    <row r="1457" ht="15.75" customHeight="1">
      <c r="DG1457" s="52"/>
      <c r="DH1457" s="52"/>
    </row>
    <row r="1458" ht="15.75" customHeight="1">
      <c r="DG1458" s="52"/>
      <c r="DH1458" s="52"/>
    </row>
    <row r="1459" ht="15.75" customHeight="1">
      <c r="DG1459" s="52"/>
      <c r="DH1459" s="52"/>
    </row>
    <row r="1460" ht="15.75" customHeight="1">
      <c r="DG1460" s="52"/>
      <c r="DH1460" s="52"/>
    </row>
    <row r="1461" ht="15.75" customHeight="1">
      <c r="DG1461" s="52"/>
      <c r="DH1461" s="52"/>
    </row>
    <row r="1462" ht="15.75" customHeight="1">
      <c r="DG1462" s="52"/>
      <c r="DH1462" s="52"/>
    </row>
    <row r="1463" ht="15.75" customHeight="1">
      <c r="DG1463" s="52"/>
      <c r="DH1463" s="52"/>
    </row>
    <row r="1464" ht="15.75" customHeight="1">
      <c r="DG1464" s="52"/>
      <c r="DH1464" s="52"/>
    </row>
    <row r="1465" ht="15.75" customHeight="1">
      <c r="DG1465" s="52"/>
      <c r="DH1465" s="52"/>
    </row>
    <row r="1466" ht="15.75" customHeight="1">
      <c r="DG1466" s="52"/>
      <c r="DH1466" s="52"/>
    </row>
    <row r="1467" ht="15.75" customHeight="1">
      <c r="DG1467" s="52"/>
      <c r="DH1467" s="52"/>
    </row>
    <row r="1468" ht="15.75" customHeight="1">
      <c r="DG1468" s="52"/>
      <c r="DH1468" s="52"/>
    </row>
    <row r="1469" ht="15.75" customHeight="1">
      <c r="DG1469" s="52"/>
      <c r="DH1469" s="52"/>
    </row>
    <row r="1470" ht="15.75" customHeight="1">
      <c r="DG1470" s="52"/>
      <c r="DH1470" s="52"/>
    </row>
    <row r="1471" ht="15.75" customHeight="1">
      <c r="DG1471" s="52"/>
      <c r="DH1471" s="52"/>
    </row>
    <row r="1472" ht="15.75" customHeight="1">
      <c r="DG1472" s="52"/>
      <c r="DH1472" s="52"/>
    </row>
    <row r="1473" ht="15.75" customHeight="1">
      <c r="DG1473" s="52"/>
      <c r="DH1473" s="52"/>
    </row>
    <row r="1474" ht="15.75" customHeight="1">
      <c r="DG1474" s="52"/>
      <c r="DH1474" s="52"/>
    </row>
    <row r="1475" ht="15.75" customHeight="1">
      <c r="DG1475" s="52"/>
      <c r="DH1475" s="52"/>
    </row>
    <row r="1476" ht="15.75" customHeight="1">
      <c r="DG1476" s="52"/>
      <c r="DH1476" s="52"/>
    </row>
    <row r="1477" ht="15.75" customHeight="1">
      <c r="DG1477" s="52"/>
      <c r="DH1477" s="52"/>
    </row>
    <row r="1478" ht="15.75" customHeight="1">
      <c r="DG1478" s="52"/>
      <c r="DH1478" s="52"/>
    </row>
    <row r="1479" ht="15.75" customHeight="1">
      <c r="DG1479" s="52"/>
      <c r="DH1479" s="52"/>
    </row>
    <row r="1480" ht="15.75" customHeight="1">
      <c r="DG1480" s="52"/>
      <c r="DH1480" s="52"/>
    </row>
    <row r="1481" ht="15.75" customHeight="1">
      <c r="DG1481" s="52"/>
      <c r="DH1481" s="52"/>
    </row>
    <row r="1482" ht="15.75" customHeight="1">
      <c r="DG1482" s="52"/>
      <c r="DH1482" s="52"/>
    </row>
    <row r="1483" ht="15.75" customHeight="1">
      <c r="DG1483" s="52"/>
      <c r="DH1483" s="52"/>
    </row>
    <row r="1484" ht="15.75" customHeight="1">
      <c r="DG1484" s="52"/>
      <c r="DH1484" s="52"/>
    </row>
    <row r="1485" ht="15.75" customHeight="1">
      <c r="DG1485" s="52"/>
      <c r="DH1485" s="52"/>
    </row>
    <row r="1486" ht="15.75" customHeight="1">
      <c r="DG1486" s="52"/>
      <c r="DH1486" s="52"/>
    </row>
    <row r="1487" ht="15.75" customHeight="1">
      <c r="DG1487" s="52"/>
      <c r="DH1487" s="52"/>
    </row>
    <row r="1488" ht="15.75" customHeight="1">
      <c r="DG1488" s="52"/>
      <c r="DH1488" s="52"/>
    </row>
    <row r="1489" ht="15.75" customHeight="1">
      <c r="DG1489" s="52"/>
      <c r="DH1489" s="52"/>
    </row>
    <row r="1490" ht="15.75" customHeight="1">
      <c r="DG1490" s="52"/>
      <c r="DH1490" s="52"/>
    </row>
    <row r="1491" ht="15.75" customHeight="1">
      <c r="DG1491" s="52"/>
      <c r="DH1491" s="52"/>
    </row>
    <row r="1492" ht="15.75" customHeight="1">
      <c r="DG1492" s="52"/>
      <c r="DH1492" s="52"/>
    </row>
    <row r="1493" ht="15.75" customHeight="1">
      <c r="DG1493" s="52"/>
      <c r="DH1493" s="52"/>
    </row>
    <row r="1494" ht="15.75" customHeight="1">
      <c r="DG1494" s="52"/>
      <c r="DH1494" s="52"/>
    </row>
    <row r="1495" ht="15.75" customHeight="1">
      <c r="DG1495" s="52"/>
      <c r="DH1495" s="52"/>
    </row>
    <row r="1496" ht="15.75" customHeight="1">
      <c r="DG1496" s="52"/>
      <c r="DH1496" s="52"/>
    </row>
    <row r="1497" ht="15.75" customHeight="1">
      <c r="DG1497" s="52"/>
      <c r="DH1497" s="52"/>
    </row>
    <row r="1498" ht="15.75" customHeight="1">
      <c r="DG1498" s="52"/>
      <c r="DH1498" s="52"/>
    </row>
    <row r="1499" ht="15.75" customHeight="1">
      <c r="DG1499" s="52"/>
      <c r="DH1499" s="52"/>
    </row>
    <row r="1500" ht="15.75" customHeight="1">
      <c r="DG1500" s="52"/>
      <c r="DH1500" s="52"/>
    </row>
    <row r="1501" ht="15.75" customHeight="1">
      <c r="DG1501" s="52"/>
      <c r="DH1501" s="52"/>
    </row>
    <row r="1502" ht="15.75" customHeight="1">
      <c r="DG1502" s="52"/>
      <c r="DH1502" s="52"/>
    </row>
    <row r="1503" ht="15.75" customHeight="1">
      <c r="DG1503" s="52"/>
      <c r="DH1503" s="52"/>
    </row>
    <row r="1504" ht="15.75" customHeight="1">
      <c r="DG1504" s="52"/>
      <c r="DH1504" s="52"/>
    </row>
    <row r="1505" ht="15.75" customHeight="1">
      <c r="DG1505" s="52"/>
      <c r="DH1505" s="52"/>
    </row>
    <row r="1506" ht="15.75" customHeight="1">
      <c r="DG1506" s="52"/>
      <c r="DH1506" s="52"/>
    </row>
    <row r="1507" ht="15.75" customHeight="1">
      <c r="DG1507" s="52"/>
      <c r="DH1507" s="52"/>
    </row>
    <row r="1508" ht="15.75" customHeight="1">
      <c r="DG1508" s="52"/>
      <c r="DH1508" s="52"/>
    </row>
    <row r="1509" ht="15.75" customHeight="1">
      <c r="DG1509" s="52"/>
      <c r="DH1509" s="52"/>
    </row>
    <row r="1510" ht="15.75" customHeight="1">
      <c r="DG1510" s="52"/>
      <c r="DH1510" s="52"/>
    </row>
    <row r="1511" ht="15.75" customHeight="1">
      <c r="DG1511" s="52"/>
      <c r="DH1511" s="52"/>
    </row>
    <row r="1512" ht="15.75" customHeight="1">
      <c r="DG1512" s="52"/>
      <c r="DH1512" s="52"/>
    </row>
    <row r="1513" ht="15.75" customHeight="1">
      <c r="DG1513" s="52"/>
      <c r="DH1513" s="52"/>
    </row>
    <row r="1514" ht="15.75" customHeight="1">
      <c r="DG1514" s="52"/>
      <c r="DH1514" s="52"/>
    </row>
    <row r="1515" ht="15.75" customHeight="1">
      <c r="DG1515" s="52"/>
      <c r="DH1515" s="52"/>
    </row>
    <row r="1516" ht="15.75" customHeight="1">
      <c r="DG1516" s="52"/>
      <c r="DH1516" s="52"/>
    </row>
    <row r="1517" ht="15.75" customHeight="1">
      <c r="DG1517" s="52"/>
      <c r="DH1517" s="52"/>
    </row>
    <row r="1518" ht="15.75" customHeight="1">
      <c r="DG1518" s="52"/>
      <c r="DH1518" s="52"/>
    </row>
    <row r="1519" ht="15.75" customHeight="1">
      <c r="DG1519" s="52"/>
      <c r="DH1519" s="52"/>
    </row>
    <row r="1520" ht="15.75" customHeight="1">
      <c r="DG1520" s="52"/>
      <c r="DH1520" s="52"/>
    </row>
    <row r="1521" ht="15.75" customHeight="1">
      <c r="DG1521" s="52"/>
      <c r="DH1521" s="52"/>
    </row>
    <row r="1522" ht="15.75" customHeight="1">
      <c r="DG1522" s="52"/>
      <c r="DH1522" s="52"/>
    </row>
    <row r="1523" ht="15.75" customHeight="1">
      <c r="DG1523" s="52"/>
      <c r="DH1523" s="52"/>
    </row>
    <row r="1524" ht="15.75" customHeight="1">
      <c r="DG1524" s="52"/>
      <c r="DH1524" s="52"/>
    </row>
    <row r="1525" ht="15.75" customHeight="1">
      <c r="DG1525" s="52"/>
      <c r="DH1525" s="52"/>
    </row>
    <row r="1526" ht="15.75" customHeight="1">
      <c r="DG1526" s="52"/>
      <c r="DH1526" s="52"/>
    </row>
    <row r="1527" ht="15.75" customHeight="1">
      <c r="DG1527" s="52"/>
      <c r="DH1527" s="52"/>
    </row>
    <row r="1528" ht="15.75" customHeight="1">
      <c r="DG1528" s="52"/>
      <c r="DH1528" s="52"/>
    </row>
    <row r="1529" ht="15.75" customHeight="1">
      <c r="DG1529" s="52"/>
      <c r="DH1529" s="52"/>
    </row>
    <row r="1530" ht="15.75" customHeight="1">
      <c r="DG1530" s="52"/>
      <c r="DH1530" s="52"/>
    </row>
    <row r="1531" ht="15.75" customHeight="1">
      <c r="DG1531" s="52"/>
      <c r="DH1531" s="52"/>
    </row>
    <row r="1532" ht="15.75" customHeight="1">
      <c r="DG1532" s="52"/>
      <c r="DH1532" s="52"/>
    </row>
    <row r="1533" ht="15.75" customHeight="1">
      <c r="DG1533" s="52"/>
      <c r="DH1533" s="52"/>
    </row>
    <row r="1534" ht="15.75" customHeight="1">
      <c r="DG1534" s="52"/>
      <c r="DH1534" s="52"/>
    </row>
    <row r="1535" ht="15.75" customHeight="1">
      <c r="DG1535" s="52"/>
      <c r="DH1535" s="52"/>
    </row>
    <row r="1536" ht="15.75" customHeight="1">
      <c r="DG1536" s="52"/>
      <c r="DH1536" s="52"/>
    </row>
    <row r="1537" ht="15.75" customHeight="1">
      <c r="DG1537" s="52"/>
      <c r="DH1537" s="52"/>
    </row>
    <row r="1538" ht="15.75" customHeight="1">
      <c r="DG1538" s="52"/>
      <c r="DH1538" s="52"/>
    </row>
    <row r="1539" ht="15.75" customHeight="1">
      <c r="DG1539" s="52"/>
      <c r="DH1539" s="52"/>
    </row>
    <row r="1540" ht="15.75" customHeight="1">
      <c r="DG1540" s="52"/>
      <c r="DH1540" s="52"/>
    </row>
    <row r="1541" ht="15.75" customHeight="1">
      <c r="DG1541" s="52"/>
      <c r="DH1541" s="52"/>
    </row>
    <row r="1542" ht="15.75" customHeight="1">
      <c r="DG1542" s="52"/>
      <c r="DH1542" s="52"/>
    </row>
    <row r="1543" ht="15.75" customHeight="1">
      <c r="DG1543" s="52"/>
      <c r="DH1543" s="52"/>
    </row>
    <row r="1544" ht="15.75" customHeight="1">
      <c r="DG1544" s="52"/>
      <c r="DH1544" s="52"/>
    </row>
    <row r="1545" ht="15.75" customHeight="1">
      <c r="DG1545" s="52"/>
      <c r="DH1545" s="52"/>
    </row>
    <row r="1546" ht="15.75" customHeight="1">
      <c r="DG1546" s="52"/>
      <c r="DH1546" s="52"/>
    </row>
    <row r="1547" ht="15.75" customHeight="1">
      <c r="DG1547" s="52"/>
      <c r="DH1547" s="52"/>
    </row>
    <row r="1548" ht="15.75" customHeight="1">
      <c r="DG1548" s="52"/>
      <c r="DH1548" s="52"/>
    </row>
    <row r="1549" ht="15.75" customHeight="1">
      <c r="DG1549" s="52"/>
      <c r="DH1549" s="52"/>
    </row>
    <row r="1550" ht="15.75" customHeight="1">
      <c r="DG1550" s="52"/>
      <c r="DH1550" s="52"/>
    </row>
    <row r="1551" ht="15.75" customHeight="1">
      <c r="DG1551" s="52"/>
      <c r="DH1551" s="52"/>
    </row>
    <row r="1552" ht="15.75" customHeight="1">
      <c r="DG1552" s="52"/>
      <c r="DH1552" s="52"/>
    </row>
    <row r="1553" ht="15.75" customHeight="1">
      <c r="DG1553" s="52"/>
      <c r="DH1553" s="52"/>
    </row>
    <row r="1554" ht="15.75" customHeight="1">
      <c r="DG1554" s="52"/>
      <c r="DH1554" s="52"/>
    </row>
    <row r="1555" ht="15.75" customHeight="1">
      <c r="DG1555" s="52"/>
      <c r="DH1555" s="52"/>
    </row>
    <row r="1556" ht="15.75" customHeight="1">
      <c r="DG1556" s="52"/>
      <c r="DH1556" s="52"/>
    </row>
    <row r="1557" ht="15.75" customHeight="1">
      <c r="DG1557" s="52"/>
      <c r="DH1557" s="52"/>
    </row>
    <row r="1558" ht="15.75" customHeight="1">
      <c r="DG1558" s="52"/>
      <c r="DH1558" s="52"/>
    </row>
    <row r="1559" ht="15.75" customHeight="1">
      <c r="DG1559" s="52"/>
      <c r="DH1559" s="52"/>
    </row>
    <row r="1560" ht="15.75" customHeight="1">
      <c r="DG1560" s="52"/>
      <c r="DH1560" s="52"/>
    </row>
    <row r="1561" ht="15.75" customHeight="1">
      <c r="DG1561" s="52"/>
      <c r="DH1561" s="52"/>
    </row>
    <row r="1562" ht="15.75" customHeight="1">
      <c r="DG1562" s="52"/>
      <c r="DH1562" s="52"/>
    </row>
    <row r="1563" ht="15.75" customHeight="1">
      <c r="DG1563" s="52"/>
      <c r="DH1563" s="52"/>
    </row>
    <row r="1564" ht="15.75" customHeight="1">
      <c r="DG1564" s="52"/>
      <c r="DH1564" s="52"/>
    </row>
    <row r="1565" ht="15.75" customHeight="1">
      <c r="DG1565" s="52"/>
      <c r="DH1565" s="52"/>
    </row>
    <row r="1566" ht="15.75" customHeight="1">
      <c r="DG1566" s="52"/>
      <c r="DH1566" s="52"/>
    </row>
    <row r="1567" ht="15.75" customHeight="1">
      <c r="DG1567" s="52"/>
      <c r="DH1567" s="52"/>
    </row>
    <row r="1568" ht="15.75" customHeight="1">
      <c r="DG1568" s="52"/>
      <c r="DH1568" s="52"/>
    </row>
    <row r="1569" ht="15.75" customHeight="1">
      <c r="DG1569" s="52"/>
      <c r="DH1569" s="52"/>
    </row>
    <row r="1570" ht="15.75" customHeight="1">
      <c r="DG1570" s="52"/>
      <c r="DH1570" s="52"/>
    </row>
    <row r="1571" ht="15.75" customHeight="1">
      <c r="DG1571" s="52"/>
      <c r="DH1571" s="52"/>
    </row>
    <row r="1572" ht="15.75" customHeight="1">
      <c r="DG1572" s="52"/>
      <c r="DH1572" s="52"/>
    </row>
    <row r="1573" ht="15.75" customHeight="1">
      <c r="DG1573" s="52"/>
      <c r="DH1573" s="52"/>
    </row>
    <row r="1574" ht="15.75" customHeight="1">
      <c r="DG1574" s="52"/>
      <c r="DH1574" s="52"/>
    </row>
    <row r="1575" ht="15.75" customHeight="1">
      <c r="DG1575" s="52"/>
      <c r="DH1575" s="52"/>
    </row>
    <row r="1576" ht="15.75" customHeight="1">
      <c r="DG1576" s="52"/>
      <c r="DH1576" s="52"/>
    </row>
    <row r="1577" ht="15.75" customHeight="1">
      <c r="DG1577" s="52"/>
      <c r="DH1577" s="52"/>
    </row>
    <row r="1578" ht="15.75" customHeight="1">
      <c r="DG1578" s="52"/>
      <c r="DH1578" s="52"/>
    </row>
    <row r="1579" ht="15.75" customHeight="1">
      <c r="DG1579" s="52"/>
      <c r="DH1579" s="52"/>
    </row>
    <row r="1580" ht="15.75" customHeight="1">
      <c r="DG1580" s="52"/>
      <c r="DH1580" s="52"/>
    </row>
    <row r="1581" ht="15.75" customHeight="1">
      <c r="DG1581" s="52"/>
      <c r="DH1581" s="52"/>
    </row>
    <row r="1582" ht="15.75" customHeight="1">
      <c r="DG1582" s="52"/>
      <c r="DH1582" s="52"/>
    </row>
    <row r="1583" ht="15.75" customHeight="1">
      <c r="DG1583" s="52"/>
      <c r="DH1583" s="52"/>
    </row>
    <row r="1584" ht="15.75" customHeight="1">
      <c r="DG1584" s="52"/>
      <c r="DH1584" s="52"/>
    </row>
    <row r="1585" ht="15.75" customHeight="1">
      <c r="DG1585" s="52"/>
      <c r="DH1585" s="52"/>
    </row>
    <row r="1586" ht="15.75" customHeight="1">
      <c r="DG1586" s="52"/>
      <c r="DH1586" s="52"/>
    </row>
    <row r="1587" ht="15.75" customHeight="1">
      <c r="DG1587" s="52"/>
      <c r="DH1587" s="52"/>
    </row>
    <row r="1588" ht="15.75" customHeight="1">
      <c r="DG1588" s="52"/>
      <c r="DH1588" s="52"/>
    </row>
    <row r="1589" ht="15.75" customHeight="1">
      <c r="DG1589" s="52"/>
      <c r="DH1589" s="52"/>
    </row>
    <row r="1590" ht="15.75" customHeight="1">
      <c r="DG1590" s="52"/>
      <c r="DH1590" s="52"/>
    </row>
    <row r="1591" ht="15.75" customHeight="1">
      <c r="DG1591" s="52"/>
      <c r="DH1591" s="52"/>
    </row>
    <row r="1592" ht="15.75" customHeight="1">
      <c r="DG1592" s="52"/>
      <c r="DH1592" s="52"/>
    </row>
    <row r="1593" ht="15.75" customHeight="1">
      <c r="DG1593" s="52"/>
      <c r="DH1593" s="52"/>
    </row>
    <row r="1594" ht="15.75" customHeight="1">
      <c r="DG1594" s="52"/>
      <c r="DH1594" s="52"/>
    </row>
    <row r="1595" ht="15.75" customHeight="1">
      <c r="DG1595" s="52"/>
      <c r="DH1595" s="52"/>
    </row>
    <row r="1596" ht="15.75" customHeight="1">
      <c r="DG1596" s="52"/>
      <c r="DH1596" s="52"/>
    </row>
    <row r="1597" ht="15.75" customHeight="1">
      <c r="DG1597" s="52"/>
      <c r="DH1597" s="52"/>
    </row>
    <row r="1598" ht="15.75" customHeight="1">
      <c r="DG1598" s="52"/>
      <c r="DH1598" s="52"/>
    </row>
    <row r="1599" ht="15.75" customHeight="1">
      <c r="DG1599" s="52"/>
      <c r="DH1599" s="52"/>
    </row>
    <row r="1600" ht="15.75" customHeight="1">
      <c r="DG1600" s="52"/>
      <c r="DH1600" s="52"/>
    </row>
    <row r="1601" ht="15.75" customHeight="1">
      <c r="DG1601" s="52"/>
      <c r="DH1601" s="52"/>
    </row>
    <row r="1602" ht="15.75" customHeight="1">
      <c r="DG1602" s="52"/>
      <c r="DH1602" s="52"/>
    </row>
    <row r="1603" ht="15.75" customHeight="1">
      <c r="DG1603" s="52"/>
      <c r="DH1603" s="52"/>
    </row>
    <row r="1604" ht="15.75" customHeight="1">
      <c r="DG1604" s="52"/>
      <c r="DH1604" s="52"/>
    </row>
    <row r="1605" ht="15.75" customHeight="1">
      <c r="DG1605" s="52"/>
      <c r="DH1605" s="52"/>
    </row>
    <row r="1606" ht="15.75" customHeight="1">
      <c r="DG1606" s="52"/>
      <c r="DH1606" s="52"/>
    </row>
    <row r="1607" ht="15.75" customHeight="1">
      <c r="DG1607" s="52"/>
      <c r="DH1607" s="52"/>
    </row>
    <row r="1608" ht="15.75" customHeight="1">
      <c r="DG1608" s="52"/>
      <c r="DH1608" s="52"/>
    </row>
    <row r="1609" ht="15.75" customHeight="1">
      <c r="DG1609" s="52"/>
      <c r="DH1609" s="52"/>
    </row>
    <row r="1610" ht="15.75" customHeight="1">
      <c r="DG1610" s="52"/>
      <c r="DH1610" s="52"/>
    </row>
    <row r="1611" ht="15.75" customHeight="1">
      <c r="DG1611" s="52"/>
      <c r="DH1611" s="52"/>
    </row>
    <row r="1612" ht="15.75" customHeight="1">
      <c r="DG1612" s="52"/>
      <c r="DH1612" s="52"/>
    </row>
    <row r="1613" ht="15.75" customHeight="1">
      <c r="DG1613" s="52"/>
      <c r="DH1613" s="52"/>
    </row>
    <row r="1614" ht="15.75" customHeight="1">
      <c r="DG1614" s="52"/>
      <c r="DH1614" s="52"/>
    </row>
    <row r="1615" ht="15.75" customHeight="1">
      <c r="DG1615" s="52"/>
      <c r="DH1615" s="52"/>
    </row>
    <row r="1616" ht="15.75" customHeight="1">
      <c r="DG1616" s="52"/>
      <c r="DH1616" s="52"/>
    </row>
    <row r="1617" ht="15.75" customHeight="1">
      <c r="DG1617" s="52"/>
      <c r="DH1617" s="52"/>
    </row>
    <row r="1618" ht="15.75" customHeight="1">
      <c r="DG1618" s="52"/>
      <c r="DH1618" s="52"/>
    </row>
    <row r="1619" ht="15.75" customHeight="1">
      <c r="DG1619" s="52"/>
      <c r="DH1619" s="52"/>
    </row>
    <row r="1620" ht="15.75" customHeight="1">
      <c r="DG1620" s="52"/>
      <c r="DH1620" s="52"/>
    </row>
    <row r="1621" ht="15.75" customHeight="1">
      <c r="DG1621" s="52"/>
      <c r="DH1621" s="52"/>
    </row>
    <row r="1622" ht="15.75" customHeight="1">
      <c r="DG1622" s="52"/>
      <c r="DH1622" s="52"/>
    </row>
    <row r="1623" ht="15.75" customHeight="1">
      <c r="DG1623" s="52"/>
      <c r="DH1623" s="52"/>
    </row>
    <row r="1624" ht="15.75" customHeight="1">
      <c r="DG1624" s="52"/>
      <c r="DH1624" s="52"/>
    </row>
    <row r="1625" ht="15.75" customHeight="1">
      <c r="DG1625" s="52"/>
      <c r="DH1625" s="52"/>
    </row>
    <row r="1626" ht="15.75" customHeight="1">
      <c r="DG1626" s="52"/>
      <c r="DH1626" s="52"/>
    </row>
    <row r="1627" ht="15.75" customHeight="1">
      <c r="DG1627" s="52"/>
      <c r="DH1627" s="52"/>
    </row>
    <row r="1628" ht="15.75" customHeight="1">
      <c r="DG1628" s="52"/>
      <c r="DH1628" s="52"/>
    </row>
    <row r="1629" ht="15.75" customHeight="1">
      <c r="DG1629" s="52"/>
      <c r="DH1629" s="52"/>
    </row>
    <row r="1630" ht="15.75" customHeight="1">
      <c r="DG1630" s="52"/>
      <c r="DH1630" s="52"/>
    </row>
    <row r="1631" ht="15.75" customHeight="1">
      <c r="DG1631" s="52"/>
      <c r="DH1631" s="52"/>
    </row>
    <row r="1632" ht="15.75" customHeight="1">
      <c r="DG1632" s="52"/>
      <c r="DH1632" s="52"/>
    </row>
    <row r="1633" ht="15.75" customHeight="1">
      <c r="DG1633" s="52"/>
      <c r="DH1633" s="52"/>
    </row>
    <row r="1634" ht="15.75" customHeight="1">
      <c r="DG1634" s="52"/>
      <c r="DH1634" s="52"/>
    </row>
    <row r="1635" ht="15.75" customHeight="1">
      <c r="DG1635" s="52"/>
      <c r="DH1635" s="52"/>
    </row>
    <row r="1636" ht="15.75" customHeight="1">
      <c r="DG1636" s="52"/>
      <c r="DH1636" s="52"/>
    </row>
    <row r="1637" ht="15.75" customHeight="1">
      <c r="DG1637" s="52"/>
      <c r="DH1637" s="52"/>
    </row>
    <row r="1638" ht="15.75" customHeight="1">
      <c r="DG1638" s="52"/>
      <c r="DH1638" s="52"/>
    </row>
    <row r="1639" ht="15.75" customHeight="1">
      <c r="DG1639" s="52"/>
      <c r="DH1639" s="52"/>
    </row>
    <row r="1640" ht="15.75" customHeight="1">
      <c r="DG1640" s="52"/>
      <c r="DH1640" s="52"/>
    </row>
    <row r="1641" ht="15.75" customHeight="1">
      <c r="DG1641" s="52"/>
      <c r="DH1641" s="52"/>
    </row>
    <row r="1642" ht="15.75" customHeight="1">
      <c r="DG1642" s="52"/>
      <c r="DH1642" s="52"/>
    </row>
    <row r="1643" ht="15.75" customHeight="1">
      <c r="DG1643" s="52"/>
      <c r="DH1643" s="52"/>
    </row>
    <row r="1644" ht="15.75" customHeight="1">
      <c r="DG1644" s="52"/>
      <c r="DH1644" s="52"/>
    </row>
    <row r="1645" ht="15.75" customHeight="1">
      <c r="DG1645" s="52"/>
      <c r="DH1645" s="52"/>
    </row>
    <row r="1646" ht="15.75" customHeight="1">
      <c r="DG1646" s="52"/>
      <c r="DH1646" s="52"/>
    </row>
    <row r="1647" ht="15.75" customHeight="1">
      <c r="DG1647" s="52"/>
      <c r="DH1647" s="52"/>
    </row>
    <row r="1648" ht="15.75" customHeight="1">
      <c r="DG1648" s="52"/>
      <c r="DH1648" s="52"/>
    </row>
    <row r="1649" ht="15.75" customHeight="1">
      <c r="DG1649" s="52"/>
      <c r="DH1649" s="52"/>
    </row>
    <row r="1650" ht="15.75" customHeight="1">
      <c r="DG1650" s="52"/>
      <c r="DH1650" s="52"/>
    </row>
    <row r="1651" ht="15.75" customHeight="1">
      <c r="DG1651" s="52"/>
      <c r="DH1651" s="52"/>
    </row>
    <row r="1652" ht="15.75" customHeight="1">
      <c r="DG1652" s="52"/>
      <c r="DH1652" s="52"/>
    </row>
    <row r="1653" ht="15.75" customHeight="1">
      <c r="DG1653" s="52"/>
      <c r="DH1653" s="52"/>
    </row>
    <row r="1654" ht="15.75" customHeight="1">
      <c r="DG1654" s="52"/>
      <c r="DH1654" s="52"/>
    </row>
    <row r="1655" ht="15.75" customHeight="1">
      <c r="DG1655" s="52"/>
      <c r="DH1655" s="52"/>
    </row>
    <row r="1656" ht="15.75" customHeight="1">
      <c r="DG1656" s="52"/>
      <c r="DH1656" s="52"/>
    </row>
    <row r="1657" ht="15.75" customHeight="1">
      <c r="DG1657" s="52"/>
      <c r="DH1657" s="52"/>
    </row>
    <row r="1658" ht="15.75" customHeight="1">
      <c r="DG1658" s="52"/>
      <c r="DH1658" s="52"/>
    </row>
    <row r="1659" ht="15.75" customHeight="1">
      <c r="DG1659" s="52"/>
      <c r="DH1659" s="52"/>
    </row>
    <row r="1660" ht="15.75" customHeight="1">
      <c r="DG1660" s="52"/>
      <c r="DH1660" s="52"/>
    </row>
    <row r="1661" ht="15.75" customHeight="1">
      <c r="DG1661" s="52"/>
      <c r="DH1661" s="52"/>
    </row>
    <row r="1662" ht="15.75" customHeight="1">
      <c r="DG1662" s="52"/>
      <c r="DH1662" s="52"/>
    </row>
    <row r="1663" ht="15.75" customHeight="1">
      <c r="DG1663" s="52"/>
      <c r="DH1663" s="52"/>
    </row>
    <row r="1664" ht="15.75" customHeight="1">
      <c r="DG1664" s="52"/>
      <c r="DH1664" s="52"/>
    </row>
    <row r="1665" ht="15.75" customHeight="1">
      <c r="DG1665" s="52"/>
      <c r="DH1665" s="52"/>
    </row>
    <row r="1666" ht="15.75" customHeight="1">
      <c r="DG1666" s="52"/>
      <c r="DH1666" s="52"/>
    </row>
    <row r="1667" ht="15.75" customHeight="1">
      <c r="DG1667" s="52"/>
      <c r="DH1667" s="52"/>
    </row>
    <row r="1668" ht="15.75" customHeight="1">
      <c r="DG1668" s="52"/>
      <c r="DH1668" s="52"/>
    </row>
    <row r="1669" ht="15.75" customHeight="1">
      <c r="DG1669" s="52"/>
      <c r="DH1669" s="52"/>
    </row>
    <row r="1670" ht="15.75" customHeight="1">
      <c r="DG1670" s="52"/>
      <c r="DH1670" s="52"/>
    </row>
    <row r="1671" ht="15.75" customHeight="1">
      <c r="DG1671" s="52"/>
      <c r="DH1671" s="52"/>
    </row>
    <row r="1672" ht="15.75" customHeight="1">
      <c r="DG1672" s="52"/>
      <c r="DH1672" s="52"/>
    </row>
    <row r="1673" ht="15.75" customHeight="1">
      <c r="DG1673" s="52"/>
      <c r="DH1673" s="52"/>
    </row>
    <row r="1674" ht="15.75" customHeight="1">
      <c r="DG1674" s="52"/>
      <c r="DH1674" s="52"/>
    </row>
    <row r="1675" ht="15.75" customHeight="1">
      <c r="DG1675" s="52"/>
      <c r="DH1675" s="52"/>
    </row>
    <row r="1676" ht="15.75" customHeight="1">
      <c r="DG1676" s="52"/>
      <c r="DH1676" s="52"/>
    </row>
    <row r="1677" ht="15.75" customHeight="1">
      <c r="DG1677" s="52"/>
      <c r="DH1677" s="52"/>
    </row>
    <row r="1678" ht="15.75" customHeight="1">
      <c r="DG1678" s="52"/>
      <c r="DH1678" s="52"/>
    </row>
    <row r="1679" ht="15.75" customHeight="1">
      <c r="DG1679" s="52"/>
      <c r="DH1679" s="52"/>
    </row>
    <row r="1680" ht="15.75" customHeight="1">
      <c r="DG1680" s="52"/>
      <c r="DH1680" s="52"/>
    </row>
    <row r="1681" ht="15.75" customHeight="1">
      <c r="DG1681" s="52"/>
      <c r="DH1681" s="52"/>
    </row>
    <row r="1682" ht="15.75" customHeight="1">
      <c r="DG1682" s="52"/>
      <c r="DH1682" s="52"/>
    </row>
    <row r="1683" ht="15.75" customHeight="1">
      <c r="DG1683" s="52"/>
      <c r="DH1683" s="52"/>
    </row>
    <row r="1684" ht="15.75" customHeight="1">
      <c r="DG1684" s="52"/>
      <c r="DH1684" s="52"/>
    </row>
    <row r="1685" ht="15.75" customHeight="1">
      <c r="DG1685" s="52"/>
      <c r="DH1685" s="52"/>
    </row>
    <row r="1686" ht="15.75" customHeight="1">
      <c r="DG1686" s="52"/>
      <c r="DH1686" s="52"/>
    </row>
    <row r="1687" ht="15.75" customHeight="1">
      <c r="DG1687" s="52"/>
      <c r="DH1687" s="52"/>
    </row>
    <row r="1688" ht="15.75" customHeight="1">
      <c r="DG1688" s="52"/>
      <c r="DH1688" s="52"/>
    </row>
    <row r="1689" ht="15.75" customHeight="1">
      <c r="DG1689" s="52"/>
      <c r="DH1689" s="52"/>
    </row>
    <row r="1690" ht="15.75" customHeight="1">
      <c r="DG1690" s="52"/>
      <c r="DH1690" s="52"/>
    </row>
    <row r="1691" ht="15.75" customHeight="1">
      <c r="DG1691" s="52"/>
      <c r="DH1691" s="52"/>
    </row>
    <row r="1692" ht="15.75" customHeight="1">
      <c r="DG1692" s="52"/>
      <c r="DH1692" s="52"/>
    </row>
    <row r="1693" ht="15.75" customHeight="1">
      <c r="DG1693" s="52"/>
      <c r="DH1693" s="52"/>
    </row>
    <row r="1694" ht="15.75" customHeight="1">
      <c r="DG1694" s="52"/>
      <c r="DH1694" s="52"/>
    </row>
    <row r="1695" ht="15.75" customHeight="1">
      <c r="DG1695" s="52"/>
      <c r="DH1695" s="52"/>
    </row>
    <row r="1696" ht="15.75" customHeight="1">
      <c r="DG1696" s="52"/>
      <c r="DH1696" s="52"/>
    </row>
    <row r="1697" ht="15.75" customHeight="1">
      <c r="DG1697" s="52"/>
      <c r="DH1697" s="52"/>
    </row>
    <row r="1698" ht="15.75" customHeight="1">
      <c r="DG1698" s="52"/>
      <c r="DH1698" s="52"/>
    </row>
    <row r="1699" ht="15.75" customHeight="1">
      <c r="DG1699" s="52"/>
      <c r="DH1699" s="52"/>
    </row>
    <row r="1700" ht="15.75" customHeight="1">
      <c r="DG1700" s="52"/>
      <c r="DH1700" s="52"/>
    </row>
    <row r="1701" ht="15.75" customHeight="1">
      <c r="DG1701" s="52"/>
      <c r="DH1701" s="52"/>
    </row>
    <row r="1702" ht="15.75" customHeight="1">
      <c r="DG1702" s="52"/>
      <c r="DH1702" s="52"/>
    </row>
    <row r="1703" ht="15.75" customHeight="1">
      <c r="DG1703" s="52"/>
      <c r="DH1703" s="52"/>
    </row>
    <row r="1704" ht="15.75" customHeight="1">
      <c r="DG1704" s="52"/>
      <c r="DH1704" s="52"/>
    </row>
    <row r="1705" ht="15.75" customHeight="1">
      <c r="DG1705" s="52"/>
      <c r="DH1705" s="52"/>
    </row>
    <row r="1706" ht="15.75" customHeight="1">
      <c r="DG1706" s="52"/>
      <c r="DH1706" s="52"/>
    </row>
    <row r="1707" ht="15.75" customHeight="1">
      <c r="DG1707" s="52"/>
      <c r="DH1707" s="52"/>
    </row>
    <row r="1708" ht="15.75" customHeight="1">
      <c r="DG1708" s="52"/>
      <c r="DH1708" s="52"/>
    </row>
    <row r="1709" ht="15.75" customHeight="1">
      <c r="DG1709" s="52"/>
      <c r="DH1709" s="52"/>
    </row>
    <row r="1710" ht="15.75" customHeight="1">
      <c r="DG1710" s="52"/>
      <c r="DH1710" s="52"/>
    </row>
    <row r="1711" ht="15.75" customHeight="1">
      <c r="DG1711" s="52"/>
      <c r="DH1711" s="52"/>
    </row>
    <row r="1712" ht="15.75" customHeight="1">
      <c r="DG1712" s="52"/>
      <c r="DH1712" s="52"/>
    </row>
    <row r="1713" ht="15.75" customHeight="1">
      <c r="DG1713" s="52"/>
      <c r="DH1713" s="52"/>
    </row>
    <row r="1714" ht="15.75" customHeight="1">
      <c r="DG1714" s="52"/>
      <c r="DH1714" s="52"/>
    </row>
    <row r="1715" ht="15.75" customHeight="1">
      <c r="DG1715" s="52"/>
      <c r="DH1715" s="52"/>
    </row>
    <row r="1716" ht="15.75" customHeight="1">
      <c r="DG1716" s="52"/>
      <c r="DH1716" s="52"/>
    </row>
    <row r="1717" ht="15.75" customHeight="1">
      <c r="DG1717" s="52"/>
      <c r="DH1717" s="52"/>
    </row>
    <row r="1718" ht="15.75" customHeight="1">
      <c r="DG1718" s="52"/>
      <c r="DH1718" s="52"/>
    </row>
    <row r="1719" ht="15.75" customHeight="1">
      <c r="DG1719" s="52"/>
      <c r="DH1719" s="52"/>
    </row>
    <row r="1720" ht="15.75" customHeight="1">
      <c r="DG1720" s="52"/>
      <c r="DH1720" s="52"/>
    </row>
    <row r="1721" ht="15.75" customHeight="1">
      <c r="DG1721" s="52"/>
      <c r="DH1721" s="52"/>
    </row>
    <row r="1722" ht="15.75" customHeight="1">
      <c r="DG1722" s="52"/>
      <c r="DH1722" s="52"/>
    </row>
    <row r="1723" ht="15.75" customHeight="1">
      <c r="DG1723" s="52"/>
      <c r="DH1723" s="52"/>
    </row>
    <row r="1724" ht="15.75" customHeight="1">
      <c r="DG1724" s="52"/>
      <c r="DH1724" s="52"/>
    </row>
    <row r="1725" ht="15.75" customHeight="1">
      <c r="DG1725" s="52"/>
      <c r="DH1725" s="52"/>
    </row>
    <row r="1726" ht="15.75" customHeight="1">
      <c r="DG1726" s="52"/>
      <c r="DH1726" s="52"/>
    </row>
    <row r="1727" ht="15.75" customHeight="1">
      <c r="DG1727" s="52"/>
      <c r="DH1727" s="52"/>
    </row>
    <row r="1728" ht="15.75" customHeight="1">
      <c r="DG1728" s="52"/>
      <c r="DH1728" s="52"/>
    </row>
    <row r="1729" ht="15.75" customHeight="1">
      <c r="DG1729" s="52"/>
      <c r="DH1729" s="52"/>
    </row>
    <row r="1730" ht="15.75" customHeight="1">
      <c r="DG1730" s="52"/>
      <c r="DH1730" s="52"/>
    </row>
    <row r="1731" ht="15.75" customHeight="1">
      <c r="DG1731" s="52"/>
      <c r="DH1731" s="52"/>
    </row>
    <row r="1732" ht="15.75" customHeight="1">
      <c r="DG1732" s="52"/>
      <c r="DH1732" s="52"/>
    </row>
    <row r="1733" ht="15.75" customHeight="1">
      <c r="DG1733" s="52"/>
      <c r="DH1733" s="52"/>
    </row>
    <row r="1734" ht="15.75" customHeight="1">
      <c r="DG1734" s="52"/>
      <c r="DH1734" s="52"/>
    </row>
    <row r="1735" ht="15.75" customHeight="1">
      <c r="DG1735" s="52"/>
      <c r="DH1735" s="52"/>
    </row>
    <row r="1736" ht="15.75" customHeight="1">
      <c r="DG1736" s="52"/>
      <c r="DH1736" s="52"/>
    </row>
    <row r="1737" ht="15.75" customHeight="1">
      <c r="DG1737" s="52"/>
      <c r="DH1737" s="52"/>
    </row>
    <row r="1738" ht="15.75" customHeight="1">
      <c r="DG1738" s="52"/>
      <c r="DH1738" s="52"/>
    </row>
    <row r="1739" ht="15.75" customHeight="1">
      <c r="DG1739" s="52"/>
      <c r="DH1739" s="52"/>
    </row>
    <row r="1740" ht="15.75" customHeight="1">
      <c r="DG1740" s="52"/>
      <c r="DH1740" s="52"/>
    </row>
    <row r="1741" ht="15.75" customHeight="1">
      <c r="DG1741" s="52"/>
      <c r="DH1741" s="52"/>
    </row>
    <row r="1742" ht="15.75" customHeight="1">
      <c r="DG1742" s="52"/>
      <c r="DH1742" s="52"/>
    </row>
    <row r="1743" ht="15.75" customHeight="1">
      <c r="DG1743" s="52"/>
      <c r="DH1743" s="52"/>
    </row>
    <row r="1744" ht="15.75" customHeight="1">
      <c r="DG1744" s="52"/>
      <c r="DH1744" s="52"/>
    </row>
    <row r="1745" ht="15.75" customHeight="1">
      <c r="DG1745" s="52"/>
      <c r="DH1745" s="52"/>
    </row>
    <row r="1746" ht="15.75" customHeight="1">
      <c r="DG1746" s="52"/>
      <c r="DH1746" s="52"/>
    </row>
    <row r="1747" ht="15.75" customHeight="1">
      <c r="DG1747" s="52"/>
      <c r="DH1747" s="52"/>
    </row>
    <row r="1748" ht="15.75" customHeight="1">
      <c r="DG1748" s="52"/>
      <c r="DH1748" s="52"/>
    </row>
    <row r="1749" ht="15.75" customHeight="1">
      <c r="DG1749" s="52"/>
      <c r="DH1749" s="52"/>
    </row>
    <row r="1750" ht="15.75" customHeight="1">
      <c r="DG1750" s="52"/>
      <c r="DH1750" s="52"/>
    </row>
    <row r="1751" ht="15.75" customHeight="1">
      <c r="DG1751" s="52"/>
      <c r="DH1751" s="52"/>
    </row>
    <row r="1752" ht="15.75" customHeight="1">
      <c r="DG1752" s="52"/>
      <c r="DH1752" s="52"/>
    </row>
    <row r="1753" ht="15.75" customHeight="1">
      <c r="DG1753" s="52"/>
      <c r="DH1753" s="52"/>
    </row>
    <row r="1754" ht="15.75" customHeight="1">
      <c r="DG1754" s="52"/>
      <c r="DH1754" s="52"/>
    </row>
    <row r="1755" ht="15.75" customHeight="1">
      <c r="DG1755" s="52"/>
      <c r="DH1755" s="52"/>
    </row>
    <row r="1756" ht="15.75" customHeight="1">
      <c r="DG1756" s="52"/>
      <c r="DH1756" s="52"/>
    </row>
    <row r="1757" ht="15.75" customHeight="1">
      <c r="DG1757" s="52"/>
      <c r="DH1757" s="52"/>
    </row>
    <row r="1758" ht="15.75" customHeight="1">
      <c r="DG1758" s="52"/>
      <c r="DH1758" s="52"/>
    </row>
    <row r="1759" ht="15.75" customHeight="1">
      <c r="DG1759" s="52"/>
      <c r="DH1759" s="52"/>
    </row>
    <row r="1760" ht="15.75" customHeight="1">
      <c r="DG1760" s="52"/>
      <c r="DH1760" s="52"/>
    </row>
    <row r="1761" ht="15.75" customHeight="1">
      <c r="DG1761" s="52"/>
      <c r="DH1761" s="52"/>
    </row>
    <row r="1762" ht="15.75" customHeight="1">
      <c r="DG1762" s="52"/>
      <c r="DH1762" s="52"/>
    </row>
    <row r="1763" ht="15.75" customHeight="1">
      <c r="DG1763" s="52"/>
      <c r="DH1763" s="52"/>
    </row>
    <row r="1764" ht="15.75" customHeight="1">
      <c r="DG1764" s="52"/>
      <c r="DH1764" s="52"/>
    </row>
    <row r="1765" ht="15.75" customHeight="1">
      <c r="DG1765" s="52"/>
      <c r="DH1765" s="52"/>
    </row>
    <row r="1766" ht="15.75" customHeight="1">
      <c r="DG1766" s="52"/>
      <c r="DH1766" s="52"/>
    </row>
    <row r="1767" ht="15.75" customHeight="1">
      <c r="DG1767" s="52"/>
      <c r="DH1767" s="52"/>
    </row>
    <row r="1768" ht="15.75" customHeight="1">
      <c r="DG1768" s="52"/>
      <c r="DH1768" s="52"/>
    </row>
    <row r="1769" ht="15.75" customHeight="1">
      <c r="DG1769" s="52"/>
      <c r="DH1769" s="52"/>
    </row>
    <row r="1770" ht="15.75" customHeight="1">
      <c r="DG1770" s="52"/>
      <c r="DH1770" s="52"/>
    </row>
    <row r="1771" ht="15.75" customHeight="1">
      <c r="DG1771" s="52"/>
      <c r="DH1771" s="52"/>
    </row>
    <row r="1772" ht="15.75" customHeight="1">
      <c r="DG1772" s="52"/>
      <c r="DH1772" s="52"/>
    </row>
    <row r="1773" ht="15.75" customHeight="1">
      <c r="DG1773" s="52"/>
      <c r="DH1773" s="52"/>
    </row>
    <row r="1774" ht="15.75" customHeight="1">
      <c r="DG1774" s="52"/>
      <c r="DH1774" s="52"/>
    </row>
    <row r="1775" ht="15.75" customHeight="1">
      <c r="DG1775" s="52"/>
      <c r="DH1775" s="52"/>
    </row>
    <row r="1776" ht="15.75" customHeight="1">
      <c r="DG1776" s="52"/>
      <c r="DH1776" s="52"/>
    </row>
    <row r="1777" ht="15.75" customHeight="1">
      <c r="DG1777" s="52"/>
      <c r="DH1777" s="52"/>
    </row>
    <row r="1778" ht="15.75" customHeight="1">
      <c r="DG1778" s="52"/>
      <c r="DH1778" s="52"/>
    </row>
    <row r="1779" ht="15.75" customHeight="1">
      <c r="DG1779" s="52"/>
      <c r="DH1779" s="52"/>
    </row>
    <row r="1780" ht="15.75" customHeight="1">
      <c r="DG1780" s="52"/>
      <c r="DH1780" s="52"/>
    </row>
    <row r="1781" ht="15.75" customHeight="1">
      <c r="DG1781" s="52"/>
      <c r="DH1781" s="52"/>
    </row>
    <row r="1782" ht="15.75" customHeight="1">
      <c r="DG1782" s="52"/>
      <c r="DH1782" s="52"/>
    </row>
    <row r="1783" ht="15.75" customHeight="1">
      <c r="DG1783" s="52"/>
      <c r="DH1783" s="52"/>
    </row>
    <row r="1784" ht="15.75" customHeight="1">
      <c r="DG1784" s="52"/>
      <c r="DH1784" s="52"/>
    </row>
    <row r="1785" ht="15.75" customHeight="1">
      <c r="DG1785" s="52"/>
      <c r="DH1785" s="52"/>
    </row>
    <row r="1786" ht="15.75" customHeight="1">
      <c r="DG1786" s="52"/>
      <c r="DH1786" s="52"/>
    </row>
    <row r="1787" ht="15.75" customHeight="1">
      <c r="DG1787" s="52"/>
      <c r="DH1787" s="52"/>
    </row>
    <row r="1788" ht="15.75" customHeight="1">
      <c r="DG1788" s="52"/>
      <c r="DH1788" s="52"/>
    </row>
    <row r="1789" ht="15.75" customHeight="1">
      <c r="DG1789" s="52"/>
      <c r="DH1789" s="52"/>
    </row>
    <row r="1790" ht="15.75" customHeight="1">
      <c r="DG1790" s="52"/>
      <c r="DH1790" s="52"/>
    </row>
    <row r="1791" ht="15.75" customHeight="1">
      <c r="DG1791" s="52"/>
      <c r="DH1791" s="52"/>
    </row>
    <row r="1792" ht="15.75" customHeight="1">
      <c r="DG1792" s="52"/>
      <c r="DH1792" s="52"/>
    </row>
    <row r="1793" ht="15.75" customHeight="1">
      <c r="DG1793" s="52"/>
      <c r="DH1793" s="52"/>
    </row>
    <row r="1794" ht="15.75" customHeight="1">
      <c r="DG1794" s="52"/>
      <c r="DH1794" s="52"/>
    </row>
    <row r="1795" ht="15.75" customHeight="1">
      <c r="DG1795" s="52"/>
      <c r="DH1795" s="52"/>
    </row>
    <row r="1796" ht="15.75" customHeight="1">
      <c r="DG1796" s="52"/>
      <c r="DH1796" s="52"/>
    </row>
    <row r="1797" ht="15.75" customHeight="1">
      <c r="DG1797" s="52"/>
      <c r="DH1797" s="52"/>
    </row>
    <row r="1798" ht="15.75" customHeight="1">
      <c r="DG1798" s="52"/>
      <c r="DH1798" s="52"/>
    </row>
    <row r="1799" ht="15.75" customHeight="1">
      <c r="DG1799" s="52"/>
      <c r="DH1799" s="52"/>
    </row>
    <row r="1800" ht="15.75" customHeight="1">
      <c r="DG1800" s="52"/>
      <c r="DH1800" s="52"/>
    </row>
    <row r="1801" ht="15.75" customHeight="1">
      <c r="DG1801" s="52"/>
      <c r="DH1801" s="52"/>
    </row>
    <row r="1802" ht="15.75" customHeight="1">
      <c r="DG1802" s="52"/>
      <c r="DH1802" s="52"/>
    </row>
    <row r="1803" ht="15.75" customHeight="1">
      <c r="DG1803" s="52"/>
      <c r="DH1803" s="52"/>
    </row>
    <row r="1804" ht="15.75" customHeight="1">
      <c r="DG1804" s="52"/>
      <c r="DH1804" s="52"/>
    </row>
    <row r="1805" ht="15.75" customHeight="1">
      <c r="DG1805" s="52"/>
      <c r="DH1805" s="52"/>
    </row>
    <row r="1806" ht="15.75" customHeight="1">
      <c r="DG1806" s="52"/>
      <c r="DH1806" s="52"/>
    </row>
    <row r="1807" ht="15.75" customHeight="1">
      <c r="DG1807" s="52"/>
      <c r="DH1807" s="52"/>
    </row>
    <row r="1808" ht="15.75" customHeight="1">
      <c r="DG1808" s="52"/>
      <c r="DH1808" s="52"/>
    </row>
    <row r="1809" ht="15.75" customHeight="1">
      <c r="DG1809" s="52"/>
      <c r="DH1809" s="52"/>
    </row>
    <row r="1810" ht="15.75" customHeight="1">
      <c r="DG1810" s="52"/>
      <c r="DH1810" s="52"/>
    </row>
    <row r="1811" ht="15.75" customHeight="1">
      <c r="DG1811" s="52"/>
      <c r="DH1811" s="52"/>
    </row>
    <row r="1812" ht="15.75" customHeight="1">
      <c r="DG1812" s="52"/>
      <c r="DH1812" s="52"/>
    </row>
    <row r="1813" ht="15.75" customHeight="1">
      <c r="DG1813" s="52"/>
      <c r="DH1813" s="52"/>
    </row>
    <row r="1814" ht="15.75" customHeight="1">
      <c r="DG1814" s="52"/>
      <c r="DH1814" s="52"/>
    </row>
    <row r="1815" ht="15.75" customHeight="1">
      <c r="DG1815" s="52"/>
      <c r="DH1815" s="52"/>
    </row>
    <row r="1816" ht="15.75" customHeight="1">
      <c r="DG1816" s="52"/>
      <c r="DH1816" s="52"/>
    </row>
    <row r="1817" ht="15.75" customHeight="1">
      <c r="DG1817" s="52"/>
      <c r="DH1817" s="52"/>
    </row>
    <row r="1818" ht="15.75" customHeight="1">
      <c r="DG1818" s="52"/>
      <c r="DH1818" s="52"/>
    </row>
    <row r="1819" ht="15.75" customHeight="1">
      <c r="DG1819" s="52"/>
      <c r="DH1819" s="52"/>
    </row>
    <row r="1820" ht="15.75" customHeight="1">
      <c r="DG1820" s="52"/>
      <c r="DH1820" s="52"/>
    </row>
    <row r="1821" ht="15.75" customHeight="1">
      <c r="DG1821" s="52"/>
      <c r="DH1821" s="52"/>
    </row>
    <row r="1822" ht="15.75" customHeight="1">
      <c r="DG1822" s="52"/>
      <c r="DH1822" s="52"/>
    </row>
    <row r="1823" ht="15.75" customHeight="1">
      <c r="DG1823" s="52"/>
      <c r="DH1823" s="52"/>
    </row>
    <row r="1824" ht="15.75" customHeight="1">
      <c r="DG1824" s="52"/>
      <c r="DH1824" s="52"/>
    </row>
    <row r="1825" ht="15.75" customHeight="1">
      <c r="DG1825" s="52"/>
      <c r="DH1825" s="52"/>
    </row>
    <row r="1826" ht="15.75" customHeight="1">
      <c r="DG1826" s="52"/>
      <c r="DH1826" s="52"/>
    </row>
    <row r="1827" ht="15.75" customHeight="1">
      <c r="DG1827" s="52"/>
      <c r="DH1827" s="52"/>
    </row>
    <row r="1828" ht="15.75" customHeight="1">
      <c r="DG1828" s="52"/>
      <c r="DH1828" s="52"/>
    </row>
    <row r="1829" ht="15.75" customHeight="1">
      <c r="DG1829" s="52"/>
      <c r="DH1829" s="52"/>
    </row>
    <row r="1830" ht="15.75" customHeight="1">
      <c r="DG1830" s="52"/>
      <c r="DH1830" s="52"/>
    </row>
    <row r="1831" ht="15.75" customHeight="1">
      <c r="DG1831" s="52"/>
      <c r="DH1831" s="52"/>
    </row>
    <row r="1832" ht="15.75" customHeight="1">
      <c r="DG1832" s="52"/>
      <c r="DH1832" s="52"/>
    </row>
    <row r="1833" ht="15.75" customHeight="1">
      <c r="DG1833" s="52"/>
      <c r="DH1833" s="52"/>
    </row>
    <row r="1834" ht="15.75" customHeight="1">
      <c r="DG1834" s="52"/>
      <c r="DH1834" s="52"/>
    </row>
    <row r="1835" ht="15.75" customHeight="1">
      <c r="DG1835" s="52"/>
      <c r="DH1835" s="52"/>
    </row>
    <row r="1836" ht="15.75" customHeight="1">
      <c r="DG1836" s="52"/>
      <c r="DH1836" s="52"/>
    </row>
    <row r="1837" ht="15.75" customHeight="1">
      <c r="DG1837" s="52"/>
      <c r="DH1837" s="52"/>
    </row>
    <row r="1838" ht="15.75" customHeight="1">
      <c r="DG1838" s="52"/>
      <c r="DH1838" s="52"/>
    </row>
    <row r="1839" ht="15.75" customHeight="1">
      <c r="DG1839" s="52"/>
      <c r="DH1839" s="52"/>
    </row>
    <row r="1840" ht="15.75" customHeight="1">
      <c r="DG1840" s="52"/>
      <c r="DH1840" s="52"/>
    </row>
    <row r="1841" ht="15.75" customHeight="1">
      <c r="DG1841" s="52"/>
      <c r="DH1841" s="52"/>
    </row>
    <row r="1842" ht="15.75" customHeight="1">
      <c r="DG1842" s="52"/>
      <c r="DH1842" s="52"/>
    </row>
    <row r="1843" ht="15.75" customHeight="1">
      <c r="DG1843" s="52"/>
      <c r="DH1843" s="52"/>
    </row>
    <row r="1844" ht="15.75" customHeight="1">
      <c r="DG1844" s="52"/>
      <c r="DH1844" s="52"/>
    </row>
    <row r="1845" ht="15.75" customHeight="1">
      <c r="DG1845" s="52"/>
      <c r="DH1845" s="52"/>
    </row>
    <row r="1846" ht="15.75" customHeight="1">
      <c r="DG1846" s="52"/>
      <c r="DH1846" s="52"/>
    </row>
    <row r="1847" ht="15.75" customHeight="1">
      <c r="DG1847" s="52"/>
      <c r="DH1847" s="52"/>
    </row>
    <row r="1848" ht="15.75" customHeight="1">
      <c r="DG1848" s="52"/>
      <c r="DH1848" s="52"/>
    </row>
    <row r="1849" ht="15.75" customHeight="1">
      <c r="DG1849" s="52"/>
      <c r="DH1849" s="52"/>
    </row>
    <row r="1850" ht="15.75" customHeight="1">
      <c r="DG1850" s="52"/>
      <c r="DH1850" s="52"/>
    </row>
    <row r="1851" ht="15.75" customHeight="1">
      <c r="DG1851" s="52"/>
      <c r="DH1851" s="52"/>
    </row>
    <row r="1852" ht="15.75" customHeight="1">
      <c r="DG1852" s="52"/>
      <c r="DH1852" s="52"/>
    </row>
    <row r="1853" ht="15.75" customHeight="1">
      <c r="DG1853" s="52"/>
      <c r="DH1853" s="52"/>
    </row>
    <row r="1854" ht="15.75" customHeight="1">
      <c r="DG1854" s="52"/>
      <c r="DH1854" s="52"/>
    </row>
    <row r="1855" ht="15.75" customHeight="1">
      <c r="DG1855" s="52"/>
      <c r="DH1855" s="52"/>
    </row>
    <row r="1856" ht="15.75" customHeight="1">
      <c r="DG1856" s="52"/>
      <c r="DH1856" s="52"/>
    </row>
    <row r="1857" ht="15.75" customHeight="1">
      <c r="DG1857" s="52"/>
      <c r="DH1857" s="52"/>
    </row>
    <row r="1858" ht="15.75" customHeight="1">
      <c r="DG1858" s="52"/>
      <c r="DH1858" s="52"/>
    </row>
    <row r="1859" ht="15.75" customHeight="1">
      <c r="DG1859" s="52"/>
      <c r="DH1859" s="52"/>
    </row>
    <row r="1860" ht="15.75" customHeight="1">
      <c r="DG1860" s="52"/>
      <c r="DH1860" s="52"/>
    </row>
    <row r="1861" ht="15.75" customHeight="1">
      <c r="DG1861" s="52"/>
      <c r="DH1861" s="52"/>
    </row>
    <row r="1862" ht="15.75" customHeight="1">
      <c r="DG1862" s="52"/>
      <c r="DH1862" s="52"/>
    </row>
    <row r="1863" ht="15.75" customHeight="1">
      <c r="DG1863" s="52"/>
      <c r="DH1863" s="52"/>
    </row>
    <row r="1864" ht="15.75" customHeight="1">
      <c r="DG1864" s="52"/>
      <c r="DH1864" s="52"/>
    </row>
    <row r="1865" ht="15.75" customHeight="1">
      <c r="DG1865" s="52"/>
      <c r="DH1865" s="52"/>
    </row>
    <row r="1866" ht="15.75" customHeight="1">
      <c r="DG1866" s="52"/>
      <c r="DH1866" s="52"/>
    </row>
    <row r="1867" ht="15.75" customHeight="1">
      <c r="DG1867" s="52"/>
      <c r="DH1867" s="52"/>
    </row>
    <row r="1868" ht="15.75" customHeight="1">
      <c r="DG1868" s="52"/>
      <c r="DH1868" s="52"/>
    </row>
    <row r="1869" ht="15.75" customHeight="1">
      <c r="DG1869" s="52"/>
      <c r="DH1869" s="52"/>
    </row>
    <row r="1870" ht="15.75" customHeight="1">
      <c r="DG1870" s="52"/>
      <c r="DH1870" s="52"/>
    </row>
    <row r="1871" ht="15.75" customHeight="1">
      <c r="DG1871" s="52"/>
      <c r="DH1871" s="52"/>
    </row>
    <row r="1872" ht="15.75" customHeight="1">
      <c r="DG1872" s="52"/>
      <c r="DH1872" s="52"/>
    </row>
    <row r="1873" ht="15.75" customHeight="1">
      <c r="DG1873" s="52"/>
      <c r="DH1873" s="52"/>
    </row>
    <row r="1874" ht="15.75" customHeight="1">
      <c r="DG1874" s="52"/>
      <c r="DH1874" s="52"/>
    </row>
    <row r="1875" ht="15.75" customHeight="1">
      <c r="DG1875" s="52"/>
      <c r="DH1875" s="52"/>
    </row>
    <row r="1876" ht="15.75" customHeight="1">
      <c r="DG1876" s="52"/>
      <c r="DH1876" s="52"/>
    </row>
    <row r="1877" ht="15.75" customHeight="1">
      <c r="DG1877" s="52"/>
      <c r="DH1877" s="52"/>
    </row>
    <row r="1878" ht="15.75" customHeight="1">
      <c r="DG1878" s="52"/>
      <c r="DH1878" s="52"/>
    </row>
    <row r="1879" ht="15.75" customHeight="1">
      <c r="DG1879" s="52"/>
      <c r="DH1879" s="52"/>
    </row>
    <row r="1880" ht="15.75" customHeight="1">
      <c r="DG1880" s="52"/>
      <c r="DH1880" s="52"/>
    </row>
    <row r="1881" ht="15.75" customHeight="1">
      <c r="DG1881" s="52"/>
      <c r="DH1881" s="52"/>
    </row>
    <row r="1882" ht="15.75" customHeight="1">
      <c r="DG1882" s="52"/>
      <c r="DH1882" s="52"/>
    </row>
    <row r="1883" ht="15.75" customHeight="1">
      <c r="DG1883" s="52"/>
      <c r="DH1883" s="52"/>
    </row>
    <row r="1884" ht="15.75" customHeight="1">
      <c r="DG1884" s="52"/>
      <c r="DH1884" s="52"/>
    </row>
    <row r="1885" ht="15.75" customHeight="1">
      <c r="DG1885" s="52"/>
      <c r="DH1885" s="52"/>
    </row>
    <row r="1886" ht="15.75" customHeight="1">
      <c r="DG1886" s="52"/>
      <c r="DH1886" s="52"/>
    </row>
    <row r="1887" ht="15.75" customHeight="1">
      <c r="DG1887" s="52"/>
      <c r="DH1887" s="52"/>
    </row>
    <row r="1888" ht="15.75" customHeight="1">
      <c r="DG1888" s="52"/>
      <c r="DH1888" s="52"/>
    </row>
    <row r="1889" ht="15.75" customHeight="1">
      <c r="DG1889" s="52"/>
      <c r="DH1889" s="52"/>
    </row>
    <row r="1890" ht="15.75" customHeight="1">
      <c r="DG1890" s="52"/>
      <c r="DH1890" s="52"/>
    </row>
    <row r="1891" ht="15.75" customHeight="1">
      <c r="DG1891" s="52"/>
      <c r="DH1891" s="52"/>
    </row>
    <row r="1892" ht="15.75" customHeight="1">
      <c r="DG1892" s="52"/>
      <c r="DH1892" s="52"/>
    </row>
    <row r="1893" ht="15.75" customHeight="1">
      <c r="DG1893" s="52"/>
      <c r="DH1893" s="52"/>
    </row>
    <row r="1894" ht="15.75" customHeight="1">
      <c r="DG1894" s="52"/>
      <c r="DH1894" s="52"/>
    </row>
    <row r="1895" ht="15.75" customHeight="1">
      <c r="DG1895" s="52"/>
      <c r="DH1895" s="52"/>
    </row>
    <row r="1896" ht="15.75" customHeight="1">
      <c r="DG1896" s="52"/>
      <c r="DH1896" s="52"/>
    </row>
    <row r="1897" ht="15.75" customHeight="1">
      <c r="DG1897" s="52"/>
      <c r="DH1897" s="52"/>
    </row>
    <row r="1898" ht="15.75" customHeight="1">
      <c r="DG1898" s="52"/>
      <c r="DH1898" s="52"/>
    </row>
    <row r="1899" ht="15.75" customHeight="1">
      <c r="DG1899" s="52"/>
      <c r="DH1899" s="52"/>
    </row>
    <row r="1900" ht="15.75" customHeight="1">
      <c r="DG1900" s="52"/>
      <c r="DH1900" s="52"/>
    </row>
    <row r="1901" ht="15.75" customHeight="1">
      <c r="DG1901" s="52"/>
      <c r="DH1901" s="52"/>
    </row>
    <row r="1902" ht="15.75" customHeight="1">
      <c r="DG1902" s="52"/>
      <c r="DH1902" s="52"/>
    </row>
    <row r="1903" ht="15.75" customHeight="1">
      <c r="DG1903" s="52"/>
      <c r="DH1903" s="52"/>
    </row>
    <row r="1904" ht="15.75" customHeight="1">
      <c r="DG1904" s="52"/>
      <c r="DH1904" s="52"/>
    </row>
    <row r="1905" ht="15.75" customHeight="1">
      <c r="DG1905" s="52"/>
      <c r="DH1905" s="52"/>
    </row>
    <row r="1906" ht="15.75" customHeight="1">
      <c r="DG1906" s="52"/>
      <c r="DH1906" s="52"/>
    </row>
    <row r="1907" ht="15.75" customHeight="1">
      <c r="DG1907" s="52"/>
      <c r="DH1907" s="52"/>
    </row>
    <row r="1908" ht="15.75" customHeight="1">
      <c r="DG1908" s="52"/>
      <c r="DH1908" s="52"/>
    </row>
    <row r="1909" ht="15.75" customHeight="1">
      <c r="DG1909" s="52"/>
      <c r="DH1909" s="52"/>
    </row>
    <row r="1910" ht="15.75" customHeight="1">
      <c r="DG1910" s="52"/>
      <c r="DH1910" s="52"/>
    </row>
    <row r="1911" ht="15.75" customHeight="1">
      <c r="DG1911" s="52"/>
      <c r="DH1911" s="52"/>
    </row>
    <row r="1912" ht="15.75" customHeight="1">
      <c r="DG1912" s="52"/>
      <c r="DH1912" s="52"/>
    </row>
    <row r="1913" ht="15.75" customHeight="1">
      <c r="DG1913" s="52"/>
      <c r="DH1913" s="52"/>
    </row>
    <row r="1914" ht="15.75" customHeight="1">
      <c r="DG1914" s="52"/>
      <c r="DH1914" s="52"/>
    </row>
    <row r="1915" ht="15.75" customHeight="1">
      <c r="DG1915" s="52"/>
      <c r="DH1915" s="52"/>
    </row>
    <row r="1916" ht="15.75" customHeight="1">
      <c r="DG1916" s="52"/>
      <c r="DH1916" s="52"/>
    </row>
    <row r="1917" ht="15.75" customHeight="1">
      <c r="DG1917" s="52"/>
      <c r="DH1917" s="52"/>
    </row>
    <row r="1918" ht="15.75" customHeight="1">
      <c r="DG1918" s="52"/>
      <c r="DH1918" s="52"/>
    </row>
    <row r="1919" ht="15.75" customHeight="1">
      <c r="DG1919" s="52"/>
      <c r="DH1919" s="52"/>
    </row>
    <row r="1920" ht="15.75" customHeight="1">
      <c r="DG1920" s="52"/>
      <c r="DH1920" s="52"/>
    </row>
    <row r="1921" ht="15.75" customHeight="1">
      <c r="DG1921" s="52"/>
      <c r="DH1921" s="52"/>
    </row>
    <row r="1922" ht="15.75" customHeight="1">
      <c r="DG1922" s="52"/>
      <c r="DH1922" s="52"/>
    </row>
    <row r="1923" ht="15.75" customHeight="1">
      <c r="DG1923" s="52"/>
      <c r="DH1923" s="52"/>
    </row>
    <row r="1924" ht="15.75" customHeight="1">
      <c r="DG1924" s="52"/>
      <c r="DH1924" s="52"/>
    </row>
    <row r="1925" ht="15.75" customHeight="1">
      <c r="DG1925" s="52"/>
      <c r="DH1925" s="52"/>
    </row>
    <row r="1926" ht="15.75" customHeight="1">
      <c r="DG1926" s="52"/>
      <c r="DH1926" s="52"/>
    </row>
    <row r="1927" ht="15.75" customHeight="1">
      <c r="DG1927" s="52"/>
      <c r="DH1927" s="52"/>
    </row>
    <row r="1928" ht="15.75" customHeight="1">
      <c r="DG1928" s="52"/>
      <c r="DH1928" s="52"/>
    </row>
    <row r="1929" ht="15.75" customHeight="1">
      <c r="DG1929" s="52"/>
      <c r="DH1929" s="52"/>
    </row>
    <row r="1930" ht="15.75" customHeight="1">
      <c r="DG1930" s="52"/>
      <c r="DH1930" s="52"/>
    </row>
    <row r="1931" ht="15.75" customHeight="1">
      <c r="DG1931" s="52"/>
      <c r="DH1931" s="52"/>
    </row>
    <row r="1932" ht="15.75" customHeight="1">
      <c r="DG1932" s="52"/>
      <c r="DH1932" s="52"/>
    </row>
    <row r="1933" ht="15.75" customHeight="1">
      <c r="DG1933" s="52"/>
      <c r="DH1933" s="52"/>
    </row>
    <row r="1934" ht="15.75" customHeight="1">
      <c r="DG1934" s="52"/>
      <c r="DH1934" s="52"/>
    </row>
    <row r="1935" ht="15.75" customHeight="1">
      <c r="DG1935" s="52"/>
      <c r="DH1935" s="52"/>
    </row>
    <row r="1936" ht="15.75" customHeight="1">
      <c r="DG1936" s="52"/>
      <c r="DH1936" s="52"/>
    </row>
    <row r="1937" ht="15.75" customHeight="1">
      <c r="DG1937" s="52"/>
      <c r="DH1937" s="52"/>
    </row>
    <row r="1938" ht="15.75" customHeight="1">
      <c r="DG1938" s="52"/>
      <c r="DH1938" s="52"/>
    </row>
    <row r="1939" ht="15.75" customHeight="1">
      <c r="DG1939" s="52"/>
      <c r="DH1939" s="52"/>
    </row>
    <row r="1940" ht="15.75" customHeight="1">
      <c r="DG1940" s="52"/>
      <c r="DH1940" s="52"/>
    </row>
    <row r="1941" ht="15.75" customHeight="1">
      <c r="DG1941" s="52"/>
      <c r="DH1941" s="52"/>
    </row>
    <row r="1942" ht="15.75" customHeight="1">
      <c r="DG1942" s="52"/>
      <c r="DH1942" s="52"/>
    </row>
    <row r="1943" ht="15.75" customHeight="1">
      <c r="DG1943" s="52"/>
      <c r="DH1943" s="52"/>
    </row>
    <row r="1944" ht="15.75" customHeight="1">
      <c r="DG1944" s="52"/>
      <c r="DH1944" s="52"/>
    </row>
    <row r="1945" ht="15.75" customHeight="1">
      <c r="DG1945" s="52"/>
      <c r="DH1945" s="52"/>
    </row>
    <row r="1946" ht="15.75" customHeight="1">
      <c r="DG1946" s="52"/>
      <c r="DH1946" s="52"/>
    </row>
    <row r="1947" ht="15.75" customHeight="1">
      <c r="DG1947" s="52"/>
      <c r="DH1947" s="52"/>
    </row>
    <row r="1948" ht="15.75" customHeight="1">
      <c r="DG1948" s="52"/>
      <c r="DH1948" s="52"/>
    </row>
    <row r="1949" ht="15.75" customHeight="1">
      <c r="DG1949" s="52"/>
      <c r="DH1949" s="52"/>
    </row>
    <row r="1950" ht="15.75" customHeight="1">
      <c r="DG1950" s="52"/>
      <c r="DH1950" s="52"/>
    </row>
    <row r="1951" ht="15.75" customHeight="1">
      <c r="DG1951" s="52"/>
      <c r="DH1951" s="52"/>
    </row>
    <row r="1952" ht="15.75" customHeight="1">
      <c r="DG1952" s="52"/>
      <c r="DH1952" s="52"/>
    </row>
    <row r="1953" ht="15.75" customHeight="1">
      <c r="DG1953" s="52"/>
      <c r="DH1953" s="52"/>
    </row>
    <row r="1954" ht="15.75" customHeight="1">
      <c r="DG1954" s="52"/>
      <c r="DH1954" s="52"/>
    </row>
    <row r="1955" ht="15.75" customHeight="1">
      <c r="DG1955" s="52"/>
      <c r="DH1955" s="52"/>
    </row>
    <row r="1956" ht="15.75" customHeight="1">
      <c r="DG1956" s="52"/>
      <c r="DH1956" s="52"/>
    </row>
    <row r="1957" ht="15.75" customHeight="1">
      <c r="DG1957" s="52"/>
      <c r="DH1957" s="52"/>
    </row>
    <row r="1958" ht="15.75" customHeight="1">
      <c r="DG1958" s="52"/>
      <c r="DH1958" s="52"/>
    </row>
    <row r="1959" ht="15.75" customHeight="1">
      <c r="DG1959" s="52"/>
      <c r="DH1959" s="52"/>
    </row>
    <row r="1960" ht="15.75" customHeight="1">
      <c r="DG1960" s="52"/>
      <c r="DH1960" s="52"/>
    </row>
    <row r="1961" ht="15.75" customHeight="1">
      <c r="DG1961" s="52"/>
      <c r="DH1961" s="52"/>
    </row>
    <row r="1962" ht="15.75" customHeight="1">
      <c r="DG1962" s="52"/>
      <c r="DH1962" s="52"/>
    </row>
    <row r="1963" ht="15.75" customHeight="1">
      <c r="DG1963" s="52"/>
      <c r="DH1963" s="52"/>
    </row>
    <row r="1964" ht="15.75" customHeight="1">
      <c r="DG1964" s="52"/>
      <c r="DH1964" s="52"/>
    </row>
    <row r="1965" ht="15.75" customHeight="1">
      <c r="DG1965" s="52"/>
      <c r="DH1965" s="52"/>
    </row>
    <row r="1966" ht="15.75" customHeight="1">
      <c r="DG1966" s="52"/>
      <c r="DH1966" s="52"/>
    </row>
    <row r="1967" ht="15.75" customHeight="1">
      <c r="DG1967" s="52"/>
      <c r="DH1967" s="52"/>
    </row>
    <row r="1968" ht="15.75" customHeight="1">
      <c r="DG1968" s="52"/>
      <c r="DH1968" s="52"/>
    </row>
    <row r="1969" ht="15.75" customHeight="1">
      <c r="DG1969" s="52"/>
      <c r="DH1969" s="52"/>
    </row>
    <row r="1970" ht="15.75" customHeight="1">
      <c r="DG1970" s="52"/>
      <c r="DH1970" s="52"/>
    </row>
    <row r="1971" ht="15.75" customHeight="1">
      <c r="DG1971" s="52"/>
      <c r="DH1971" s="52"/>
    </row>
    <row r="1972" ht="15.75" customHeight="1">
      <c r="DG1972" s="52"/>
      <c r="DH1972" s="52"/>
    </row>
    <row r="1973" ht="15.75" customHeight="1">
      <c r="DG1973" s="52"/>
      <c r="DH1973" s="52"/>
    </row>
    <row r="1974" ht="15.75" customHeight="1">
      <c r="DG1974" s="52"/>
      <c r="DH1974" s="52"/>
    </row>
    <row r="1975" ht="15.75" customHeight="1">
      <c r="DG1975" s="52"/>
      <c r="DH1975" s="52"/>
    </row>
    <row r="1976" ht="15.75" customHeight="1">
      <c r="DG1976" s="52"/>
      <c r="DH1976" s="52"/>
    </row>
    <row r="1977" ht="15.75" customHeight="1">
      <c r="DG1977" s="52"/>
      <c r="DH1977" s="52"/>
    </row>
    <row r="1978" ht="15.75" customHeight="1">
      <c r="DG1978" s="52"/>
      <c r="DH1978" s="52"/>
    </row>
    <row r="1979" ht="15.75" customHeight="1">
      <c r="DG1979" s="52"/>
      <c r="DH1979" s="52"/>
    </row>
    <row r="1980" ht="15.75" customHeight="1">
      <c r="DG1980" s="52"/>
      <c r="DH1980" s="52"/>
    </row>
    <row r="1981" ht="15.75" customHeight="1">
      <c r="DG1981" s="52"/>
      <c r="DH1981" s="52"/>
    </row>
    <row r="1982" ht="15.75" customHeight="1">
      <c r="DG1982" s="52"/>
      <c r="DH1982" s="52"/>
    </row>
    <row r="1983" ht="15.75" customHeight="1">
      <c r="DG1983" s="52"/>
      <c r="DH1983" s="52"/>
    </row>
    <row r="1984" ht="15.75" customHeight="1">
      <c r="DG1984" s="52"/>
      <c r="DH1984" s="52"/>
    </row>
    <row r="1985" ht="15.75" customHeight="1">
      <c r="DG1985" s="52"/>
      <c r="DH1985" s="52"/>
    </row>
    <row r="1986" ht="15.75" customHeight="1">
      <c r="DG1986" s="52"/>
      <c r="DH1986" s="52"/>
    </row>
    <row r="1987" ht="15.75" customHeight="1">
      <c r="DG1987" s="52"/>
      <c r="DH1987" s="52"/>
    </row>
    <row r="1988" ht="15.75" customHeight="1">
      <c r="DG1988" s="52"/>
      <c r="DH1988" s="52"/>
    </row>
    <row r="1989" ht="15.75" customHeight="1">
      <c r="DG1989" s="52"/>
      <c r="DH1989" s="52"/>
    </row>
    <row r="1990" ht="15.75" customHeight="1">
      <c r="DG1990" s="52"/>
      <c r="DH1990" s="52"/>
    </row>
    <row r="1991" ht="15.75" customHeight="1">
      <c r="DG1991" s="52"/>
      <c r="DH1991" s="52"/>
    </row>
    <row r="1992" ht="15.75" customHeight="1">
      <c r="DG1992" s="52"/>
      <c r="DH1992" s="52"/>
    </row>
    <row r="1993" ht="15.75" customHeight="1">
      <c r="DG1993" s="52"/>
      <c r="DH1993" s="52"/>
    </row>
    <row r="1994" ht="15.75" customHeight="1">
      <c r="DG1994" s="52"/>
      <c r="DH1994" s="52"/>
    </row>
    <row r="1995" ht="15.75" customHeight="1">
      <c r="DG1995" s="52"/>
      <c r="DH1995" s="52"/>
    </row>
    <row r="1996" ht="15.75" customHeight="1">
      <c r="DG1996" s="52"/>
      <c r="DH1996" s="52"/>
    </row>
    <row r="1997" ht="15.75" customHeight="1">
      <c r="DG1997" s="52"/>
      <c r="DH1997" s="52"/>
    </row>
    <row r="1998" ht="15.75" customHeight="1">
      <c r="DG1998" s="52"/>
      <c r="DH1998" s="52"/>
    </row>
    <row r="1999" ht="15.75" customHeight="1">
      <c r="DG1999" s="52"/>
      <c r="DH1999" s="52"/>
    </row>
    <row r="2000" ht="15.75" customHeight="1">
      <c r="DG2000" s="52"/>
      <c r="DH2000" s="52"/>
    </row>
    <row r="2001" ht="15.75" customHeight="1">
      <c r="DG2001" s="52"/>
      <c r="DH2001" s="52"/>
    </row>
    <row r="2002" ht="15.75" customHeight="1">
      <c r="DG2002" s="52"/>
      <c r="DH2002" s="52"/>
    </row>
    <row r="2003" ht="15.75" customHeight="1">
      <c r="DG2003" s="52"/>
      <c r="DH2003" s="52"/>
    </row>
    <row r="2004" ht="15.75" customHeight="1">
      <c r="DG2004" s="52"/>
      <c r="DH2004" s="52"/>
    </row>
    <row r="2005" ht="15.75" customHeight="1">
      <c r="DG2005" s="52"/>
      <c r="DH2005" s="52"/>
    </row>
    <row r="2006" ht="15.75" customHeight="1">
      <c r="DG2006" s="52"/>
      <c r="DH2006" s="52"/>
    </row>
    <row r="2007" ht="15.75" customHeight="1">
      <c r="DG2007" s="52"/>
      <c r="DH2007" s="52"/>
    </row>
    <row r="2008" ht="15.75" customHeight="1">
      <c r="DG2008" s="52"/>
      <c r="DH2008" s="52"/>
    </row>
    <row r="2009" ht="15.75" customHeight="1">
      <c r="DG2009" s="52"/>
      <c r="DH2009" s="52"/>
    </row>
    <row r="2010" ht="15.75" customHeight="1">
      <c r="DG2010" s="52"/>
      <c r="DH2010" s="52"/>
    </row>
    <row r="2011" ht="15.75" customHeight="1">
      <c r="DG2011" s="52"/>
      <c r="DH2011" s="52"/>
    </row>
    <row r="2012" ht="15.75" customHeight="1">
      <c r="DG2012" s="52"/>
      <c r="DH2012" s="52"/>
    </row>
    <row r="2013" ht="15.75" customHeight="1">
      <c r="DG2013" s="52"/>
      <c r="DH2013" s="52"/>
    </row>
    <row r="2014" ht="15.75" customHeight="1">
      <c r="DG2014" s="52"/>
      <c r="DH2014" s="52"/>
    </row>
    <row r="2015" ht="15.75" customHeight="1">
      <c r="DG2015" s="52"/>
      <c r="DH2015" s="52"/>
    </row>
    <row r="2016" ht="15.75" customHeight="1">
      <c r="DG2016" s="52"/>
      <c r="DH2016" s="52"/>
    </row>
    <row r="2017" ht="15.75" customHeight="1">
      <c r="DG2017" s="52"/>
      <c r="DH2017" s="52"/>
    </row>
    <row r="2018" ht="15.75" customHeight="1">
      <c r="DG2018" s="52"/>
      <c r="DH2018" s="52"/>
    </row>
    <row r="2019" ht="15.75" customHeight="1">
      <c r="DG2019" s="52"/>
      <c r="DH2019" s="52"/>
    </row>
    <row r="2020" ht="15.75" customHeight="1">
      <c r="DG2020" s="52"/>
      <c r="DH2020" s="52"/>
    </row>
    <row r="2021" ht="15.75" customHeight="1">
      <c r="DG2021" s="52"/>
      <c r="DH2021" s="52"/>
    </row>
    <row r="2022" ht="15.75" customHeight="1">
      <c r="DG2022" s="52"/>
      <c r="DH2022" s="52"/>
    </row>
    <row r="2023" ht="15.75" customHeight="1">
      <c r="DG2023" s="52"/>
      <c r="DH2023" s="52"/>
    </row>
    <row r="2024" ht="15.75" customHeight="1">
      <c r="DG2024" s="52"/>
      <c r="DH2024" s="52"/>
    </row>
    <row r="2025" ht="15.75" customHeight="1">
      <c r="DG2025" s="52"/>
      <c r="DH2025" s="52"/>
    </row>
    <row r="2026" ht="15.75" customHeight="1">
      <c r="DG2026" s="52"/>
      <c r="DH2026" s="52"/>
    </row>
    <row r="2027" ht="15.75" customHeight="1">
      <c r="DG2027" s="52"/>
      <c r="DH2027" s="52"/>
    </row>
    <row r="2028" ht="15.75" customHeight="1">
      <c r="DG2028" s="52"/>
      <c r="DH2028" s="52"/>
    </row>
    <row r="2029" ht="15.75" customHeight="1">
      <c r="DG2029" s="52"/>
      <c r="DH2029" s="52"/>
    </row>
    <row r="2030" ht="15.75" customHeight="1">
      <c r="DG2030" s="52"/>
      <c r="DH2030" s="52"/>
    </row>
    <row r="2031" ht="15.75" customHeight="1">
      <c r="DG2031" s="52"/>
      <c r="DH2031" s="52"/>
    </row>
    <row r="2032" ht="15.75" customHeight="1">
      <c r="DG2032" s="52"/>
      <c r="DH2032" s="52"/>
    </row>
    <row r="2033" ht="15.75" customHeight="1">
      <c r="DG2033" s="52"/>
      <c r="DH2033" s="52"/>
    </row>
    <row r="2034" ht="15.75" customHeight="1">
      <c r="DG2034" s="52"/>
      <c r="DH2034" s="52"/>
    </row>
    <row r="2035" ht="15.75" customHeight="1">
      <c r="DG2035" s="52"/>
      <c r="DH2035" s="52"/>
    </row>
    <row r="2036" ht="15.75" customHeight="1">
      <c r="DG2036" s="52"/>
      <c r="DH2036" s="52"/>
    </row>
    <row r="2037" ht="15.75" customHeight="1">
      <c r="DG2037" s="52"/>
      <c r="DH2037" s="52"/>
    </row>
    <row r="2038" ht="15.75" customHeight="1">
      <c r="DG2038" s="52"/>
      <c r="DH2038" s="52"/>
    </row>
    <row r="2039" ht="15.75" customHeight="1">
      <c r="DG2039" s="52"/>
      <c r="DH2039" s="52"/>
    </row>
    <row r="2040" ht="15.75" customHeight="1">
      <c r="DG2040" s="52"/>
      <c r="DH2040" s="52"/>
    </row>
    <row r="2041" ht="15.75" customHeight="1">
      <c r="DG2041" s="52"/>
      <c r="DH2041" s="52"/>
    </row>
    <row r="2042" ht="15.75" customHeight="1">
      <c r="DG2042" s="52"/>
      <c r="DH2042" s="52"/>
    </row>
    <row r="2043" ht="15.75" customHeight="1">
      <c r="DG2043" s="52"/>
      <c r="DH2043" s="52"/>
    </row>
    <row r="2044" ht="15.75" customHeight="1">
      <c r="DG2044" s="52"/>
      <c r="DH2044" s="52"/>
    </row>
    <row r="2045" ht="15.75" customHeight="1">
      <c r="DG2045" s="52"/>
      <c r="DH2045" s="52"/>
    </row>
    <row r="2046" ht="15.75" customHeight="1">
      <c r="DG2046" s="52"/>
      <c r="DH2046" s="52"/>
    </row>
    <row r="2047" ht="15.75" customHeight="1">
      <c r="DG2047" s="52"/>
      <c r="DH2047" s="52"/>
    </row>
    <row r="2048" ht="15.75" customHeight="1">
      <c r="DG2048" s="52"/>
      <c r="DH2048" s="52"/>
    </row>
    <row r="2049" ht="15.75" customHeight="1">
      <c r="DG2049" s="52"/>
      <c r="DH2049" s="52"/>
    </row>
    <row r="2050" ht="15.75" customHeight="1">
      <c r="DG2050" s="52"/>
      <c r="DH2050" s="52"/>
    </row>
    <row r="2051" ht="15.75" customHeight="1">
      <c r="DG2051" s="52"/>
      <c r="DH2051" s="52"/>
    </row>
    <row r="2052" ht="15.75" customHeight="1">
      <c r="DG2052" s="52"/>
      <c r="DH2052" s="52"/>
    </row>
    <row r="2053" ht="15.75" customHeight="1">
      <c r="DG2053" s="52"/>
      <c r="DH2053" s="52"/>
    </row>
    <row r="2054" ht="15.75" customHeight="1">
      <c r="DG2054" s="52"/>
      <c r="DH2054" s="52"/>
    </row>
    <row r="2055" ht="15.75" customHeight="1">
      <c r="DG2055" s="52"/>
      <c r="DH2055" s="52"/>
    </row>
    <row r="2056" ht="15.75" customHeight="1">
      <c r="DG2056" s="52"/>
      <c r="DH2056" s="52"/>
    </row>
    <row r="2057" ht="15.75" customHeight="1">
      <c r="DG2057" s="52"/>
      <c r="DH2057" s="52"/>
    </row>
    <row r="2058" ht="15.75" customHeight="1">
      <c r="DG2058" s="52"/>
      <c r="DH2058" s="52"/>
    </row>
    <row r="2059" ht="15.75" customHeight="1">
      <c r="DG2059" s="52"/>
      <c r="DH2059" s="52"/>
    </row>
    <row r="2060" ht="15.75" customHeight="1">
      <c r="DG2060" s="52"/>
      <c r="DH2060" s="52"/>
    </row>
    <row r="2061" ht="15.75" customHeight="1">
      <c r="DG2061" s="52"/>
      <c r="DH2061" s="52"/>
    </row>
    <row r="2062" ht="15.75" customHeight="1">
      <c r="DG2062" s="52"/>
      <c r="DH2062" s="52"/>
    </row>
    <row r="2063" ht="15.75" customHeight="1">
      <c r="DG2063" s="52"/>
      <c r="DH2063" s="52"/>
    </row>
    <row r="2064" ht="15.75" customHeight="1">
      <c r="DG2064" s="52"/>
      <c r="DH2064" s="52"/>
    </row>
    <row r="2065" ht="15.75" customHeight="1">
      <c r="DG2065" s="52"/>
      <c r="DH2065" s="52"/>
    </row>
    <row r="2066" ht="15.75" customHeight="1">
      <c r="DG2066" s="52"/>
      <c r="DH2066" s="52"/>
    </row>
    <row r="2067" ht="15.75" customHeight="1">
      <c r="DG2067" s="52"/>
      <c r="DH2067" s="52"/>
    </row>
    <row r="2068" ht="15.75" customHeight="1">
      <c r="DG2068" s="52"/>
      <c r="DH2068" s="52"/>
    </row>
    <row r="2069" ht="15.75" customHeight="1">
      <c r="DG2069" s="52"/>
      <c r="DH2069" s="52"/>
    </row>
    <row r="2070" ht="15.75" customHeight="1">
      <c r="DG2070" s="52"/>
      <c r="DH2070" s="52"/>
    </row>
    <row r="2071" ht="15.75" customHeight="1">
      <c r="DG2071" s="52"/>
      <c r="DH2071" s="52"/>
    </row>
    <row r="2072" ht="15.75" customHeight="1">
      <c r="DG2072" s="52"/>
      <c r="DH2072" s="52"/>
    </row>
    <row r="2073" ht="15.75" customHeight="1">
      <c r="DG2073" s="52"/>
      <c r="DH2073" s="52"/>
    </row>
    <row r="2074" ht="15.75" customHeight="1">
      <c r="DG2074" s="52"/>
      <c r="DH2074" s="52"/>
    </row>
    <row r="2075" ht="15.75" customHeight="1">
      <c r="DG2075" s="52"/>
      <c r="DH2075" s="52"/>
    </row>
    <row r="2076" ht="15.75" customHeight="1">
      <c r="DG2076" s="52"/>
      <c r="DH2076" s="52"/>
    </row>
    <row r="2077" ht="15.75" customHeight="1">
      <c r="DG2077" s="52"/>
      <c r="DH2077" s="52"/>
    </row>
    <row r="2078" ht="15.75" customHeight="1">
      <c r="DG2078" s="52"/>
      <c r="DH2078" s="52"/>
    </row>
    <row r="2079" ht="15.75" customHeight="1">
      <c r="DG2079" s="52"/>
      <c r="DH2079" s="52"/>
    </row>
    <row r="2080" ht="15.75" customHeight="1">
      <c r="DG2080" s="52"/>
      <c r="DH2080" s="52"/>
    </row>
    <row r="2081" ht="15.75" customHeight="1">
      <c r="DG2081" s="52"/>
      <c r="DH2081" s="52"/>
    </row>
    <row r="2082" ht="15.75" customHeight="1">
      <c r="DG2082" s="52"/>
      <c r="DH2082" s="52"/>
    </row>
    <row r="2083" ht="15.75" customHeight="1">
      <c r="DG2083" s="52"/>
      <c r="DH2083" s="52"/>
    </row>
    <row r="2084" ht="15.75" customHeight="1">
      <c r="DG2084" s="52"/>
      <c r="DH2084" s="52"/>
    </row>
    <row r="2085" ht="15.75" customHeight="1">
      <c r="DG2085" s="52"/>
      <c r="DH2085" s="52"/>
    </row>
    <row r="2086" ht="15.75" customHeight="1">
      <c r="DG2086" s="52"/>
      <c r="DH2086" s="52"/>
    </row>
    <row r="2087" ht="15.75" customHeight="1">
      <c r="DG2087" s="52"/>
      <c r="DH2087" s="52"/>
    </row>
    <row r="2088" ht="15.75" customHeight="1">
      <c r="DG2088" s="52"/>
      <c r="DH2088" s="52"/>
    </row>
    <row r="2089" ht="15.75" customHeight="1">
      <c r="DG2089" s="52"/>
      <c r="DH2089" s="52"/>
    </row>
    <row r="2090" ht="15.75" customHeight="1">
      <c r="DG2090" s="52"/>
      <c r="DH2090" s="52"/>
    </row>
    <row r="2091" ht="15.75" customHeight="1">
      <c r="DG2091" s="52"/>
      <c r="DH2091" s="52"/>
    </row>
    <row r="2092" ht="15.75" customHeight="1">
      <c r="DG2092" s="52"/>
      <c r="DH2092" s="52"/>
    </row>
    <row r="2093" ht="15.75" customHeight="1">
      <c r="DG2093" s="52"/>
      <c r="DH2093" s="52"/>
    </row>
    <row r="2094" ht="15.75" customHeight="1">
      <c r="DG2094" s="52"/>
      <c r="DH2094" s="52"/>
    </row>
    <row r="2095" ht="15.75" customHeight="1">
      <c r="DG2095" s="52"/>
      <c r="DH2095" s="52"/>
    </row>
    <row r="2096" ht="15.75" customHeight="1">
      <c r="DG2096" s="52"/>
      <c r="DH2096" s="52"/>
    </row>
    <row r="2097" ht="15.75" customHeight="1">
      <c r="DG2097" s="52"/>
      <c r="DH2097" s="52"/>
    </row>
    <row r="2098" ht="15.75" customHeight="1">
      <c r="DG2098" s="52"/>
      <c r="DH2098" s="52"/>
    </row>
    <row r="2099" ht="15.75" customHeight="1">
      <c r="DG2099" s="52"/>
      <c r="DH2099" s="52"/>
    </row>
    <row r="2100" ht="15.75" customHeight="1">
      <c r="DG2100" s="52"/>
      <c r="DH2100" s="52"/>
    </row>
    <row r="2101" ht="15.75" customHeight="1">
      <c r="DG2101" s="52"/>
      <c r="DH2101" s="52"/>
    </row>
    <row r="2102" ht="15.75" customHeight="1">
      <c r="DG2102" s="52"/>
      <c r="DH2102" s="52"/>
    </row>
    <row r="2103" ht="15.75" customHeight="1">
      <c r="DG2103" s="52"/>
      <c r="DH2103" s="52"/>
    </row>
    <row r="2104" ht="15.75" customHeight="1">
      <c r="DG2104" s="52"/>
      <c r="DH2104" s="52"/>
    </row>
    <row r="2105" ht="15.75" customHeight="1">
      <c r="DG2105" s="52"/>
      <c r="DH2105" s="52"/>
    </row>
    <row r="2106" ht="15.75" customHeight="1">
      <c r="DG2106" s="52"/>
      <c r="DH2106" s="52"/>
    </row>
    <row r="2107" ht="15.75" customHeight="1">
      <c r="DG2107" s="52"/>
      <c r="DH2107" s="52"/>
    </row>
    <row r="2108" ht="15.75" customHeight="1">
      <c r="DG2108" s="52"/>
      <c r="DH2108" s="52"/>
    </row>
    <row r="2109" ht="15.75" customHeight="1">
      <c r="DG2109" s="52"/>
      <c r="DH2109" s="52"/>
    </row>
    <row r="2110" ht="15.75" customHeight="1">
      <c r="DG2110" s="52"/>
      <c r="DH2110" s="52"/>
    </row>
    <row r="2111" ht="15.75" customHeight="1">
      <c r="DG2111" s="52"/>
      <c r="DH2111" s="52"/>
    </row>
    <row r="2112" ht="15.75" customHeight="1">
      <c r="DG2112" s="52"/>
      <c r="DH2112" s="52"/>
    </row>
    <row r="2113" ht="15.75" customHeight="1">
      <c r="DG2113" s="52"/>
      <c r="DH2113" s="52"/>
    </row>
    <row r="2114" ht="15.75" customHeight="1">
      <c r="DG2114" s="52"/>
      <c r="DH2114" s="52"/>
    </row>
    <row r="2115" ht="15.75" customHeight="1">
      <c r="DG2115" s="52"/>
      <c r="DH2115" s="52"/>
    </row>
    <row r="2116" ht="15.75" customHeight="1">
      <c r="DG2116" s="52"/>
      <c r="DH2116" s="52"/>
    </row>
    <row r="2117" ht="15.75" customHeight="1">
      <c r="DG2117" s="52"/>
      <c r="DH2117" s="52"/>
    </row>
    <row r="2118" ht="15.75" customHeight="1">
      <c r="DG2118" s="52"/>
      <c r="DH2118" s="52"/>
    </row>
    <row r="2119" ht="15.75" customHeight="1">
      <c r="DG2119" s="52"/>
      <c r="DH2119" s="52"/>
    </row>
    <row r="2120" ht="15.75" customHeight="1">
      <c r="DG2120" s="52"/>
      <c r="DH2120" s="52"/>
    </row>
    <row r="2121" ht="15.75" customHeight="1">
      <c r="DG2121" s="52"/>
      <c r="DH2121" s="52"/>
    </row>
    <row r="2122" ht="15.75" customHeight="1">
      <c r="DG2122" s="52"/>
      <c r="DH2122" s="52"/>
    </row>
    <row r="2123" ht="15.75" customHeight="1">
      <c r="DG2123" s="52"/>
      <c r="DH2123" s="52"/>
    </row>
    <row r="2124" ht="15.75" customHeight="1">
      <c r="DG2124" s="52"/>
      <c r="DH2124" s="52"/>
    </row>
    <row r="2125" ht="15.75" customHeight="1">
      <c r="DG2125" s="52"/>
      <c r="DH2125" s="52"/>
    </row>
    <row r="2126" ht="15.75" customHeight="1">
      <c r="DG2126" s="52"/>
      <c r="DH2126" s="52"/>
    </row>
    <row r="2127" ht="15.75" customHeight="1">
      <c r="DG2127" s="52"/>
      <c r="DH2127" s="52"/>
    </row>
    <row r="2128" ht="15.75" customHeight="1">
      <c r="DG2128" s="52"/>
      <c r="DH2128" s="52"/>
    </row>
    <row r="2129" ht="15.75" customHeight="1">
      <c r="DG2129" s="52"/>
      <c r="DH2129" s="52"/>
    </row>
    <row r="2130" ht="15.75" customHeight="1">
      <c r="DG2130" s="52"/>
      <c r="DH2130" s="52"/>
    </row>
    <row r="2131" ht="15.75" customHeight="1">
      <c r="DG2131" s="52"/>
      <c r="DH2131" s="52"/>
    </row>
    <row r="2132" ht="15.75" customHeight="1">
      <c r="DG2132" s="52"/>
      <c r="DH2132" s="52"/>
    </row>
    <row r="2133" ht="15.75" customHeight="1">
      <c r="DG2133" s="52"/>
      <c r="DH2133" s="52"/>
    </row>
    <row r="2134" ht="15.75" customHeight="1">
      <c r="DG2134" s="52"/>
      <c r="DH2134" s="52"/>
    </row>
    <row r="2135" ht="15.75" customHeight="1">
      <c r="DG2135" s="52"/>
      <c r="DH2135" s="52"/>
    </row>
    <row r="2136" ht="15.75" customHeight="1">
      <c r="DG2136" s="52"/>
      <c r="DH2136" s="52"/>
    </row>
    <row r="2137" ht="15.75" customHeight="1">
      <c r="DG2137" s="52"/>
      <c r="DH2137" s="52"/>
    </row>
    <row r="2138" ht="15.75" customHeight="1">
      <c r="DG2138" s="52"/>
      <c r="DH2138" s="52"/>
    </row>
    <row r="2139" ht="15.75" customHeight="1">
      <c r="DG2139" s="52"/>
      <c r="DH2139" s="52"/>
    </row>
    <row r="2140" ht="15.75" customHeight="1">
      <c r="DG2140" s="52"/>
      <c r="DH2140" s="52"/>
    </row>
    <row r="2141" ht="15.75" customHeight="1">
      <c r="DG2141" s="52"/>
      <c r="DH2141" s="52"/>
    </row>
    <row r="2142" ht="15.75" customHeight="1">
      <c r="DG2142" s="52"/>
      <c r="DH2142" s="52"/>
    </row>
    <row r="2143" ht="15.75" customHeight="1">
      <c r="DG2143" s="52"/>
      <c r="DH2143" s="52"/>
    </row>
    <row r="2144" ht="15.75" customHeight="1">
      <c r="DG2144" s="52"/>
      <c r="DH2144" s="52"/>
    </row>
    <row r="2145" ht="15.75" customHeight="1">
      <c r="DG2145" s="52"/>
      <c r="DH2145" s="52"/>
    </row>
    <row r="2146" ht="15.75" customHeight="1">
      <c r="DG2146" s="52"/>
      <c r="DH2146" s="52"/>
    </row>
    <row r="2147" ht="15.75" customHeight="1">
      <c r="DG2147" s="52"/>
      <c r="DH2147" s="52"/>
    </row>
    <row r="2148" ht="15.75" customHeight="1">
      <c r="DG2148" s="52"/>
      <c r="DH2148" s="52"/>
    </row>
    <row r="2149" ht="15.75" customHeight="1">
      <c r="DG2149" s="52"/>
      <c r="DH2149" s="52"/>
    </row>
    <row r="2150" ht="15.75" customHeight="1">
      <c r="DG2150" s="52"/>
      <c r="DH2150" s="52"/>
    </row>
    <row r="2151" ht="15.75" customHeight="1">
      <c r="DG2151" s="52"/>
      <c r="DH2151" s="52"/>
    </row>
    <row r="2152" ht="15.75" customHeight="1">
      <c r="DG2152" s="52"/>
      <c r="DH2152" s="52"/>
    </row>
    <row r="2153" ht="15.75" customHeight="1">
      <c r="DG2153" s="52"/>
      <c r="DH2153" s="52"/>
    </row>
    <row r="2154" ht="15.75" customHeight="1">
      <c r="DG2154" s="52"/>
      <c r="DH2154" s="52"/>
    </row>
    <row r="2155" ht="15.75" customHeight="1">
      <c r="DG2155" s="52"/>
      <c r="DH2155" s="52"/>
    </row>
    <row r="2156" ht="15.75" customHeight="1">
      <c r="DG2156" s="52"/>
      <c r="DH2156" s="52"/>
    </row>
    <row r="2157" ht="15.75" customHeight="1">
      <c r="DG2157" s="52"/>
      <c r="DH2157" s="52"/>
    </row>
    <row r="2158" ht="15.75" customHeight="1">
      <c r="DG2158" s="52"/>
      <c r="DH2158" s="52"/>
    </row>
    <row r="2159" ht="15.75" customHeight="1">
      <c r="DG2159" s="52"/>
      <c r="DH2159" s="52"/>
    </row>
    <row r="2160" ht="15.75" customHeight="1">
      <c r="DG2160" s="52"/>
      <c r="DH2160" s="52"/>
    </row>
    <row r="2161" ht="15.75" customHeight="1">
      <c r="DG2161" s="52"/>
      <c r="DH2161" s="52"/>
    </row>
    <row r="2162" ht="15.75" customHeight="1">
      <c r="DG2162" s="52"/>
      <c r="DH2162" s="52"/>
    </row>
    <row r="2163" ht="15.75" customHeight="1">
      <c r="DG2163" s="52"/>
      <c r="DH2163" s="52"/>
    </row>
    <row r="2164" ht="15.75" customHeight="1">
      <c r="DG2164" s="52"/>
      <c r="DH2164" s="52"/>
    </row>
    <row r="2165" ht="15.75" customHeight="1">
      <c r="DG2165" s="52"/>
      <c r="DH2165" s="52"/>
    </row>
    <row r="2166" ht="15.75" customHeight="1">
      <c r="DG2166" s="52"/>
      <c r="DH2166" s="52"/>
    </row>
    <row r="2167" ht="15.75" customHeight="1">
      <c r="DG2167" s="52"/>
      <c r="DH2167" s="52"/>
    </row>
    <row r="2168" ht="15.75" customHeight="1">
      <c r="DG2168" s="52"/>
      <c r="DH2168" s="52"/>
    </row>
    <row r="2169" ht="15.75" customHeight="1">
      <c r="DG2169" s="52"/>
      <c r="DH2169" s="52"/>
    </row>
    <row r="2170" ht="15.75" customHeight="1">
      <c r="DG2170" s="52"/>
      <c r="DH2170" s="52"/>
    </row>
    <row r="2171" ht="15.75" customHeight="1">
      <c r="DG2171" s="52"/>
      <c r="DH2171" s="52"/>
    </row>
    <row r="2172" ht="15.75" customHeight="1">
      <c r="DG2172" s="52"/>
      <c r="DH2172" s="52"/>
    </row>
    <row r="2173" ht="15.75" customHeight="1">
      <c r="DG2173" s="52"/>
      <c r="DH2173" s="52"/>
    </row>
    <row r="2174" ht="15.75" customHeight="1">
      <c r="DG2174" s="52"/>
      <c r="DH2174" s="52"/>
    </row>
    <row r="2175" ht="15.75" customHeight="1">
      <c r="DG2175" s="52"/>
      <c r="DH2175" s="52"/>
    </row>
    <row r="2176" ht="15.75" customHeight="1">
      <c r="DG2176" s="52"/>
      <c r="DH2176" s="52"/>
    </row>
    <row r="2177" ht="15.75" customHeight="1">
      <c r="DG2177" s="52"/>
      <c r="DH2177" s="52"/>
    </row>
    <row r="2178" ht="15.75" customHeight="1">
      <c r="DG2178" s="52"/>
      <c r="DH2178" s="52"/>
    </row>
    <row r="2179" ht="15.75" customHeight="1">
      <c r="DG2179" s="52"/>
      <c r="DH2179" s="52"/>
    </row>
    <row r="2180" ht="15.75" customHeight="1">
      <c r="DG2180" s="52"/>
      <c r="DH2180" s="52"/>
    </row>
    <row r="2181" ht="15.75" customHeight="1">
      <c r="DG2181" s="52"/>
      <c r="DH2181" s="52"/>
    </row>
    <row r="2182" ht="15.75" customHeight="1">
      <c r="DG2182" s="52"/>
      <c r="DH2182" s="52"/>
    </row>
    <row r="2183" ht="15.75" customHeight="1">
      <c r="DG2183" s="52"/>
      <c r="DH2183" s="52"/>
    </row>
    <row r="2184" ht="15.75" customHeight="1">
      <c r="DG2184" s="52"/>
      <c r="DH2184" s="52"/>
    </row>
    <row r="2185" ht="15.75" customHeight="1">
      <c r="DG2185" s="52"/>
      <c r="DH2185" s="52"/>
    </row>
    <row r="2186" ht="15.75" customHeight="1">
      <c r="DG2186" s="52"/>
      <c r="DH2186" s="52"/>
    </row>
    <row r="2187" ht="15.75" customHeight="1">
      <c r="DG2187" s="52"/>
      <c r="DH2187" s="52"/>
    </row>
    <row r="2188" ht="15.75" customHeight="1">
      <c r="DG2188" s="52"/>
      <c r="DH2188" s="52"/>
    </row>
    <row r="2189" ht="15.75" customHeight="1">
      <c r="DG2189" s="52"/>
      <c r="DH2189" s="52"/>
    </row>
    <row r="2190" ht="15.75" customHeight="1">
      <c r="DG2190" s="52"/>
      <c r="DH2190" s="52"/>
    </row>
    <row r="2191" ht="15.75" customHeight="1">
      <c r="DG2191" s="52"/>
      <c r="DH2191" s="52"/>
    </row>
    <row r="2192" ht="15.75" customHeight="1">
      <c r="DG2192" s="52"/>
      <c r="DH2192" s="52"/>
    </row>
    <row r="2193" ht="15.75" customHeight="1">
      <c r="DG2193" s="52"/>
      <c r="DH2193" s="52"/>
    </row>
    <row r="2194" ht="15.75" customHeight="1">
      <c r="DG2194" s="52"/>
      <c r="DH2194" s="52"/>
    </row>
    <row r="2195" ht="15.75" customHeight="1">
      <c r="DG2195" s="52"/>
      <c r="DH2195" s="52"/>
    </row>
    <row r="2196" ht="15.75" customHeight="1">
      <c r="DG2196" s="52"/>
      <c r="DH2196" s="52"/>
    </row>
    <row r="2197" ht="15.75" customHeight="1">
      <c r="DG2197" s="52"/>
      <c r="DH2197" s="52"/>
    </row>
    <row r="2198" ht="15.75" customHeight="1">
      <c r="DG2198" s="52"/>
      <c r="DH2198" s="52"/>
    </row>
    <row r="2199" ht="15.75" customHeight="1">
      <c r="DG2199" s="52"/>
      <c r="DH2199" s="52"/>
    </row>
    <row r="2200" ht="15.75" customHeight="1">
      <c r="DG2200" s="52"/>
      <c r="DH2200" s="52"/>
    </row>
    <row r="2201" ht="15.75" customHeight="1">
      <c r="DG2201" s="52"/>
      <c r="DH2201" s="52"/>
    </row>
    <row r="2202" ht="15.75" customHeight="1">
      <c r="DG2202" s="52"/>
      <c r="DH2202" s="52"/>
    </row>
    <row r="2203" ht="15.75" customHeight="1">
      <c r="DG2203" s="52"/>
      <c r="DH2203" s="52"/>
    </row>
    <row r="2204" ht="15.75" customHeight="1">
      <c r="DG2204" s="52"/>
      <c r="DH2204" s="52"/>
    </row>
    <row r="2205" ht="15.75" customHeight="1">
      <c r="DG2205" s="52"/>
      <c r="DH2205" s="52"/>
    </row>
    <row r="2206" ht="15.75" customHeight="1">
      <c r="DG2206" s="52"/>
      <c r="DH2206" s="52"/>
    </row>
    <row r="2207" ht="15.75" customHeight="1">
      <c r="DG2207" s="52"/>
      <c r="DH2207" s="52"/>
    </row>
    <row r="2208" ht="15.75" customHeight="1">
      <c r="DG2208" s="52"/>
      <c r="DH2208" s="52"/>
    </row>
    <row r="2209" ht="15.75" customHeight="1">
      <c r="DG2209" s="52"/>
      <c r="DH2209" s="52"/>
    </row>
    <row r="2210" ht="15.75" customHeight="1">
      <c r="DG2210" s="52"/>
      <c r="DH2210" s="52"/>
    </row>
    <row r="2211" ht="15.75" customHeight="1">
      <c r="DG2211" s="52"/>
      <c r="DH2211" s="52"/>
    </row>
    <row r="2212" ht="15.75" customHeight="1">
      <c r="DG2212" s="52"/>
      <c r="DH2212" s="52"/>
    </row>
    <row r="2213" ht="15.75" customHeight="1">
      <c r="DG2213" s="52"/>
      <c r="DH2213" s="52"/>
    </row>
    <row r="2214" ht="15.75" customHeight="1">
      <c r="DG2214" s="52"/>
      <c r="DH2214" s="52"/>
    </row>
    <row r="2215" ht="15.75" customHeight="1">
      <c r="DG2215" s="52"/>
      <c r="DH2215" s="52"/>
    </row>
    <row r="2216" ht="15.75" customHeight="1">
      <c r="DG2216" s="52"/>
      <c r="DH2216" s="52"/>
    </row>
    <row r="2217" ht="15.75" customHeight="1">
      <c r="DG2217" s="52"/>
      <c r="DH2217" s="52"/>
    </row>
    <row r="2218" ht="15.75" customHeight="1">
      <c r="DG2218" s="52"/>
      <c r="DH2218" s="52"/>
    </row>
    <row r="2219" ht="15.75" customHeight="1">
      <c r="DG2219" s="52"/>
      <c r="DH2219" s="52"/>
    </row>
    <row r="2220" ht="15.75" customHeight="1">
      <c r="DG2220" s="52"/>
      <c r="DH2220" s="52"/>
    </row>
    <row r="2221" ht="15.75" customHeight="1">
      <c r="DG2221" s="52"/>
      <c r="DH2221" s="52"/>
    </row>
    <row r="2222" ht="15.75" customHeight="1">
      <c r="DG2222" s="52"/>
      <c r="DH2222" s="52"/>
    </row>
    <row r="2223" ht="15.75" customHeight="1">
      <c r="DG2223" s="52"/>
      <c r="DH2223" s="52"/>
    </row>
    <row r="2224" ht="15.75" customHeight="1">
      <c r="DG2224" s="52"/>
      <c r="DH2224" s="52"/>
    </row>
    <row r="2225" ht="15.75" customHeight="1">
      <c r="DG2225" s="52"/>
      <c r="DH2225" s="52"/>
    </row>
    <row r="2226" ht="15.75" customHeight="1">
      <c r="DG2226" s="52"/>
      <c r="DH2226" s="52"/>
    </row>
    <row r="2227" ht="15.75" customHeight="1">
      <c r="DG2227" s="52"/>
      <c r="DH2227" s="52"/>
    </row>
    <row r="2228" ht="15.75" customHeight="1">
      <c r="DG2228" s="52"/>
      <c r="DH2228" s="52"/>
    </row>
    <row r="2229" ht="15.75" customHeight="1">
      <c r="DG2229" s="52"/>
      <c r="DH2229" s="52"/>
    </row>
    <row r="2230" ht="15.75" customHeight="1">
      <c r="DG2230" s="52"/>
      <c r="DH2230" s="52"/>
    </row>
    <row r="2231" ht="15.75" customHeight="1">
      <c r="DG2231" s="52"/>
      <c r="DH2231" s="52"/>
    </row>
    <row r="2232" ht="15.75" customHeight="1">
      <c r="DG2232" s="52"/>
      <c r="DH2232" s="52"/>
    </row>
    <row r="2233" ht="15.75" customHeight="1">
      <c r="DG2233" s="52"/>
      <c r="DH2233" s="52"/>
    </row>
    <row r="2234" ht="15.75" customHeight="1">
      <c r="DG2234" s="52"/>
      <c r="DH2234" s="52"/>
    </row>
    <row r="2235" ht="15.75" customHeight="1">
      <c r="DG2235" s="52"/>
      <c r="DH2235" s="52"/>
    </row>
    <row r="2236" ht="15.75" customHeight="1">
      <c r="DG2236" s="52"/>
      <c r="DH2236" s="52"/>
    </row>
    <row r="2237" ht="15.75" customHeight="1">
      <c r="DG2237" s="52"/>
      <c r="DH2237" s="52"/>
    </row>
    <row r="2238" ht="15.75" customHeight="1">
      <c r="DG2238" s="52"/>
      <c r="DH2238" s="52"/>
    </row>
    <row r="2239" ht="15.75" customHeight="1">
      <c r="DG2239" s="52"/>
      <c r="DH2239" s="52"/>
    </row>
    <row r="2240" ht="15.75" customHeight="1">
      <c r="DG2240" s="52"/>
      <c r="DH2240" s="52"/>
    </row>
    <row r="2241" ht="15.75" customHeight="1">
      <c r="DG2241" s="52"/>
      <c r="DH2241" s="52"/>
    </row>
    <row r="2242" ht="15.75" customHeight="1">
      <c r="DG2242" s="52"/>
      <c r="DH2242" s="52"/>
    </row>
    <row r="2243" ht="15.75" customHeight="1">
      <c r="DG2243" s="52"/>
      <c r="DH2243" s="52"/>
    </row>
    <row r="2244" ht="15.75" customHeight="1">
      <c r="DG2244" s="52"/>
      <c r="DH2244" s="52"/>
    </row>
    <row r="2245" ht="15.75" customHeight="1">
      <c r="DG2245" s="52"/>
      <c r="DH2245" s="52"/>
    </row>
    <row r="2246" ht="15.75" customHeight="1">
      <c r="DG2246" s="52"/>
      <c r="DH2246" s="52"/>
    </row>
    <row r="2247" ht="15.75" customHeight="1">
      <c r="DG2247" s="52"/>
      <c r="DH2247" s="52"/>
    </row>
    <row r="2248" ht="15.75" customHeight="1">
      <c r="DG2248" s="52"/>
      <c r="DH2248" s="52"/>
    </row>
    <row r="2249" ht="15.75" customHeight="1">
      <c r="DG2249" s="52"/>
      <c r="DH2249" s="52"/>
    </row>
    <row r="2250" ht="15.75" customHeight="1">
      <c r="DG2250" s="52"/>
      <c r="DH2250" s="52"/>
    </row>
    <row r="2251" ht="15.75" customHeight="1">
      <c r="DG2251" s="52"/>
      <c r="DH2251" s="52"/>
    </row>
    <row r="2252" ht="15.75" customHeight="1">
      <c r="DG2252" s="52"/>
      <c r="DH2252" s="52"/>
    </row>
    <row r="2253" ht="15.75" customHeight="1">
      <c r="DG2253" s="52"/>
      <c r="DH2253" s="52"/>
    </row>
    <row r="2254" ht="15.75" customHeight="1">
      <c r="DG2254" s="52"/>
      <c r="DH2254" s="52"/>
    </row>
    <row r="2255" ht="15.75" customHeight="1">
      <c r="DG2255" s="52"/>
      <c r="DH2255" s="52"/>
    </row>
    <row r="2256" ht="15.75" customHeight="1">
      <c r="DG2256" s="52"/>
      <c r="DH2256" s="52"/>
    </row>
    <row r="2257" ht="15.75" customHeight="1">
      <c r="DG2257" s="52"/>
      <c r="DH2257" s="52"/>
    </row>
    <row r="2258" ht="15.75" customHeight="1">
      <c r="DG2258" s="52"/>
      <c r="DH2258" s="52"/>
    </row>
    <row r="2259" ht="15.75" customHeight="1">
      <c r="DG2259" s="52"/>
      <c r="DH2259" s="52"/>
    </row>
    <row r="2260" ht="15.75" customHeight="1">
      <c r="DG2260" s="52"/>
      <c r="DH2260" s="52"/>
    </row>
    <row r="2261" ht="15.75" customHeight="1">
      <c r="DG2261" s="52"/>
      <c r="DH2261" s="52"/>
    </row>
    <row r="2262" ht="15.75" customHeight="1">
      <c r="DG2262" s="52"/>
      <c r="DH2262" s="52"/>
    </row>
    <row r="2263" ht="15.75" customHeight="1">
      <c r="DG2263" s="52"/>
      <c r="DH2263" s="52"/>
    </row>
    <row r="2264" ht="15.75" customHeight="1">
      <c r="DG2264" s="52"/>
      <c r="DH2264" s="52"/>
    </row>
    <row r="2265" ht="15.75" customHeight="1">
      <c r="DG2265" s="52"/>
      <c r="DH2265" s="52"/>
    </row>
    <row r="2266" ht="15.75" customHeight="1">
      <c r="DG2266" s="52"/>
      <c r="DH2266" s="52"/>
    </row>
    <row r="2267" ht="15.75" customHeight="1">
      <c r="DG2267" s="52"/>
      <c r="DH2267" s="52"/>
    </row>
    <row r="2268" ht="15.75" customHeight="1">
      <c r="DG2268" s="52"/>
      <c r="DH2268" s="52"/>
    </row>
    <row r="2269" ht="15.75" customHeight="1">
      <c r="DG2269" s="52"/>
      <c r="DH2269" s="52"/>
    </row>
    <row r="2270" ht="15.75" customHeight="1">
      <c r="DG2270" s="52"/>
      <c r="DH2270" s="52"/>
    </row>
    <row r="2271" ht="15.75" customHeight="1">
      <c r="DG2271" s="52"/>
      <c r="DH2271" s="52"/>
    </row>
    <row r="2272" ht="15.75" customHeight="1">
      <c r="DG2272" s="52"/>
      <c r="DH2272" s="52"/>
    </row>
    <row r="2273" ht="15.75" customHeight="1">
      <c r="DG2273" s="52"/>
      <c r="DH2273" s="52"/>
    </row>
    <row r="2274" ht="15.75" customHeight="1">
      <c r="DG2274" s="52"/>
      <c r="DH2274" s="52"/>
    </row>
    <row r="2275" ht="15.75" customHeight="1">
      <c r="DG2275" s="52"/>
      <c r="DH2275" s="52"/>
    </row>
    <row r="2276" ht="15.75" customHeight="1">
      <c r="DG2276" s="52"/>
      <c r="DH2276" s="52"/>
    </row>
    <row r="2277" ht="15.75" customHeight="1">
      <c r="DG2277" s="52"/>
      <c r="DH2277" s="52"/>
    </row>
    <row r="2278" ht="15.75" customHeight="1">
      <c r="DG2278" s="52"/>
      <c r="DH2278" s="52"/>
    </row>
    <row r="2279" ht="15.75" customHeight="1">
      <c r="DG2279" s="52"/>
      <c r="DH2279" s="52"/>
    </row>
    <row r="2280" ht="15.75" customHeight="1">
      <c r="DG2280" s="52"/>
      <c r="DH2280" s="52"/>
    </row>
    <row r="2281" ht="15.75" customHeight="1">
      <c r="DG2281" s="52"/>
      <c r="DH2281" s="52"/>
    </row>
    <row r="2282" ht="15.75" customHeight="1">
      <c r="DG2282" s="52"/>
      <c r="DH2282" s="52"/>
    </row>
    <row r="2283" ht="15.75" customHeight="1">
      <c r="DG2283" s="52"/>
      <c r="DH2283" s="52"/>
    </row>
    <row r="2284" ht="15.75" customHeight="1">
      <c r="DG2284" s="52"/>
      <c r="DH2284" s="52"/>
    </row>
    <row r="2285" ht="15.75" customHeight="1">
      <c r="DG2285" s="52"/>
      <c r="DH2285" s="52"/>
    </row>
    <row r="2286" ht="15.75" customHeight="1">
      <c r="DG2286" s="52"/>
      <c r="DH2286" s="52"/>
    </row>
    <row r="2287" ht="15.75" customHeight="1">
      <c r="DG2287" s="52"/>
      <c r="DH2287" s="52"/>
    </row>
    <row r="2288" ht="15.75" customHeight="1">
      <c r="DG2288" s="52"/>
      <c r="DH2288" s="52"/>
    </row>
    <row r="2289" ht="15.75" customHeight="1">
      <c r="DG2289" s="52"/>
      <c r="DH2289" s="52"/>
    </row>
    <row r="2290" ht="15.75" customHeight="1">
      <c r="DG2290" s="52"/>
      <c r="DH2290" s="52"/>
    </row>
    <row r="2291" ht="15.75" customHeight="1">
      <c r="DG2291" s="52"/>
      <c r="DH2291" s="52"/>
    </row>
    <row r="2292" ht="15.75" customHeight="1">
      <c r="DG2292" s="52"/>
      <c r="DH2292" s="52"/>
    </row>
    <row r="2293" ht="15.75" customHeight="1">
      <c r="DG2293" s="52"/>
      <c r="DH2293" s="52"/>
    </row>
    <row r="2294" ht="15.75" customHeight="1">
      <c r="DG2294" s="52"/>
      <c r="DH2294" s="52"/>
    </row>
    <row r="2295" ht="15.75" customHeight="1">
      <c r="DG2295" s="52"/>
      <c r="DH2295" s="52"/>
    </row>
    <row r="2296" ht="15.75" customHeight="1">
      <c r="DG2296" s="52"/>
      <c r="DH2296" s="52"/>
    </row>
    <row r="2297" ht="15.75" customHeight="1">
      <c r="DG2297" s="52"/>
      <c r="DH2297" s="52"/>
    </row>
    <row r="2298" ht="15.75" customHeight="1">
      <c r="DG2298" s="52"/>
      <c r="DH2298" s="52"/>
    </row>
    <row r="2299" ht="15.75" customHeight="1">
      <c r="DG2299" s="52"/>
      <c r="DH2299" s="52"/>
    </row>
    <row r="2300" ht="15.75" customHeight="1">
      <c r="DG2300" s="52"/>
      <c r="DH2300" s="52"/>
    </row>
    <row r="2301" ht="15.75" customHeight="1">
      <c r="DG2301" s="52"/>
      <c r="DH2301" s="52"/>
    </row>
    <row r="2302" ht="15.75" customHeight="1">
      <c r="DG2302" s="52"/>
      <c r="DH2302" s="52"/>
    </row>
    <row r="2303" ht="15.75" customHeight="1">
      <c r="DG2303" s="52"/>
      <c r="DH2303" s="52"/>
    </row>
    <row r="2304" ht="15.75" customHeight="1">
      <c r="DG2304" s="52"/>
      <c r="DH2304" s="52"/>
    </row>
    <row r="2305" ht="15.75" customHeight="1">
      <c r="DG2305" s="52"/>
      <c r="DH2305" s="52"/>
    </row>
    <row r="2306" ht="15.75" customHeight="1">
      <c r="DG2306" s="52"/>
      <c r="DH2306" s="52"/>
    </row>
    <row r="2307" ht="15.75" customHeight="1">
      <c r="DG2307" s="52"/>
      <c r="DH2307" s="52"/>
    </row>
    <row r="2308" ht="15.75" customHeight="1">
      <c r="DG2308" s="52"/>
      <c r="DH2308" s="52"/>
    </row>
    <row r="2309" ht="15.75" customHeight="1">
      <c r="DG2309" s="52"/>
      <c r="DH2309" s="52"/>
    </row>
    <row r="2310" ht="15.75" customHeight="1">
      <c r="DG2310" s="52"/>
      <c r="DH2310" s="52"/>
    </row>
    <row r="2311" ht="15.75" customHeight="1">
      <c r="DG2311" s="52"/>
      <c r="DH2311" s="52"/>
    </row>
    <row r="2312" ht="15.75" customHeight="1">
      <c r="DG2312" s="52"/>
      <c r="DH2312" s="52"/>
    </row>
    <row r="2313" ht="15.75" customHeight="1">
      <c r="DG2313" s="52"/>
      <c r="DH2313" s="52"/>
    </row>
    <row r="2314" ht="15.75" customHeight="1">
      <c r="DG2314" s="52"/>
      <c r="DH2314" s="52"/>
    </row>
    <row r="2315" ht="15.75" customHeight="1">
      <c r="DG2315" s="52"/>
      <c r="DH2315" s="52"/>
    </row>
    <row r="2316" ht="15.75" customHeight="1">
      <c r="DG2316" s="52"/>
      <c r="DH2316" s="52"/>
    </row>
    <row r="2317" ht="15.75" customHeight="1">
      <c r="DG2317" s="52"/>
      <c r="DH2317" s="52"/>
    </row>
    <row r="2318" ht="15.75" customHeight="1">
      <c r="DG2318" s="52"/>
      <c r="DH2318" s="52"/>
    </row>
    <row r="2319" ht="15.75" customHeight="1">
      <c r="DG2319" s="52"/>
      <c r="DH2319" s="52"/>
    </row>
    <row r="2320" ht="15.75" customHeight="1">
      <c r="DG2320" s="52"/>
      <c r="DH2320" s="52"/>
    </row>
    <row r="2321" ht="15.75" customHeight="1">
      <c r="DG2321" s="52"/>
      <c r="DH2321" s="52"/>
    </row>
    <row r="2322" ht="15.75" customHeight="1">
      <c r="DG2322" s="52"/>
      <c r="DH2322" s="52"/>
    </row>
    <row r="2323" ht="15.75" customHeight="1">
      <c r="DG2323" s="52"/>
      <c r="DH2323" s="52"/>
    </row>
    <row r="2324" ht="15.75" customHeight="1">
      <c r="DG2324" s="52"/>
      <c r="DH2324" s="52"/>
    </row>
    <row r="2325" ht="15.75" customHeight="1">
      <c r="DG2325" s="52"/>
      <c r="DH2325" s="52"/>
    </row>
    <row r="2326" ht="15.75" customHeight="1">
      <c r="DG2326" s="52"/>
      <c r="DH2326" s="52"/>
    </row>
    <row r="2327" ht="15.75" customHeight="1">
      <c r="DG2327" s="52"/>
      <c r="DH2327" s="52"/>
    </row>
    <row r="2328" ht="15.75" customHeight="1">
      <c r="DG2328" s="52"/>
      <c r="DH2328" s="52"/>
    </row>
    <row r="2329" ht="15.75" customHeight="1">
      <c r="DG2329" s="52"/>
      <c r="DH2329" s="52"/>
    </row>
    <row r="2330" ht="15.75" customHeight="1">
      <c r="DG2330" s="52"/>
      <c r="DH2330" s="52"/>
    </row>
    <row r="2331" ht="15.75" customHeight="1">
      <c r="DG2331" s="52"/>
      <c r="DH2331" s="52"/>
    </row>
    <row r="2332" ht="15.75" customHeight="1">
      <c r="DG2332" s="52"/>
      <c r="DH2332" s="52"/>
    </row>
    <row r="2333" ht="15.75" customHeight="1">
      <c r="DG2333" s="52"/>
      <c r="DH2333" s="52"/>
    </row>
    <row r="2334" ht="15.75" customHeight="1">
      <c r="DG2334" s="52"/>
      <c r="DH2334" s="52"/>
    </row>
    <row r="2335" ht="15.75" customHeight="1">
      <c r="DG2335" s="52"/>
      <c r="DH2335" s="52"/>
    </row>
    <row r="2336" ht="15.75" customHeight="1">
      <c r="DG2336" s="52"/>
      <c r="DH2336" s="52"/>
    </row>
    <row r="2337" ht="15.75" customHeight="1">
      <c r="DG2337" s="52"/>
      <c r="DH2337" s="52"/>
    </row>
    <row r="2338" ht="15.75" customHeight="1">
      <c r="DG2338" s="52"/>
      <c r="DH2338" s="52"/>
    </row>
    <row r="2339" ht="15.75" customHeight="1">
      <c r="DG2339" s="52"/>
      <c r="DH2339" s="52"/>
    </row>
    <row r="2340" ht="15.75" customHeight="1">
      <c r="DG2340" s="52"/>
      <c r="DH2340" s="52"/>
    </row>
    <row r="2341" ht="15.75" customHeight="1">
      <c r="DG2341" s="52"/>
      <c r="DH2341" s="52"/>
    </row>
    <row r="2342" ht="15.75" customHeight="1">
      <c r="DG2342" s="52"/>
      <c r="DH2342" s="52"/>
    </row>
    <row r="2343" ht="15.75" customHeight="1">
      <c r="DG2343" s="52"/>
      <c r="DH2343" s="52"/>
    </row>
    <row r="2344" ht="15.75" customHeight="1">
      <c r="DG2344" s="52"/>
      <c r="DH2344" s="52"/>
    </row>
    <row r="2345" ht="15.75" customHeight="1">
      <c r="DG2345" s="52"/>
      <c r="DH2345" s="52"/>
    </row>
    <row r="2346" ht="15.75" customHeight="1">
      <c r="DG2346" s="52"/>
      <c r="DH2346" s="52"/>
    </row>
    <row r="2347" ht="15.75" customHeight="1">
      <c r="DG2347" s="52"/>
      <c r="DH2347" s="52"/>
    </row>
    <row r="2348" ht="15.75" customHeight="1">
      <c r="DG2348" s="52"/>
      <c r="DH2348" s="52"/>
    </row>
    <row r="2349" ht="15.75" customHeight="1">
      <c r="DG2349" s="52"/>
      <c r="DH2349" s="52"/>
    </row>
    <row r="2350" ht="15.75" customHeight="1">
      <c r="DG2350" s="52"/>
      <c r="DH2350" s="52"/>
    </row>
    <row r="2351" ht="15.75" customHeight="1">
      <c r="DG2351" s="52"/>
      <c r="DH2351" s="52"/>
    </row>
    <row r="2352" ht="15.75" customHeight="1">
      <c r="DG2352" s="52"/>
      <c r="DH2352" s="52"/>
    </row>
    <row r="2353" ht="15.75" customHeight="1">
      <c r="DG2353" s="52"/>
      <c r="DH2353" s="52"/>
    </row>
    <row r="2354" ht="15.75" customHeight="1">
      <c r="DG2354" s="52"/>
      <c r="DH2354" s="52"/>
    </row>
    <row r="2355" ht="15.75" customHeight="1">
      <c r="DG2355" s="52"/>
      <c r="DH2355" s="52"/>
    </row>
    <row r="2356" ht="15.75" customHeight="1">
      <c r="DG2356" s="52"/>
      <c r="DH2356" s="52"/>
    </row>
    <row r="2357" ht="15.75" customHeight="1">
      <c r="DG2357" s="52"/>
      <c r="DH2357" s="52"/>
    </row>
    <row r="2358" ht="15.75" customHeight="1">
      <c r="DG2358" s="52"/>
      <c r="DH2358" s="52"/>
    </row>
    <row r="2359" ht="15.75" customHeight="1">
      <c r="DG2359" s="52"/>
      <c r="DH2359" s="52"/>
    </row>
    <row r="2360" ht="15.75" customHeight="1">
      <c r="DG2360" s="52"/>
      <c r="DH2360" s="52"/>
    </row>
    <row r="2361" ht="15.75" customHeight="1">
      <c r="DG2361" s="52"/>
      <c r="DH2361" s="52"/>
    </row>
    <row r="2362" ht="15.75" customHeight="1">
      <c r="DG2362" s="52"/>
      <c r="DH2362" s="52"/>
    </row>
    <row r="2363" ht="15.75" customHeight="1">
      <c r="DG2363" s="52"/>
      <c r="DH2363" s="52"/>
    </row>
    <row r="2364" ht="15.75" customHeight="1">
      <c r="DG2364" s="52"/>
      <c r="DH2364" s="52"/>
    </row>
    <row r="2365" ht="15.75" customHeight="1">
      <c r="DG2365" s="52"/>
      <c r="DH2365" s="52"/>
    </row>
    <row r="2366" ht="15.75" customHeight="1">
      <c r="DG2366" s="52"/>
      <c r="DH2366" s="52"/>
    </row>
    <row r="2367" ht="15.75" customHeight="1">
      <c r="DG2367" s="52"/>
      <c r="DH2367" s="52"/>
    </row>
    <row r="2368" ht="15.75" customHeight="1">
      <c r="DG2368" s="52"/>
      <c r="DH2368" s="52"/>
    </row>
    <row r="2369" ht="15.75" customHeight="1">
      <c r="DG2369" s="52"/>
      <c r="DH2369" s="52"/>
    </row>
    <row r="2370" ht="15.75" customHeight="1">
      <c r="DG2370" s="52"/>
      <c r="DH2370" s="52"/>
    </row>
    <row r="2371" ht="15.75" customHeight="1">
      <c r="DG2371" s="52"/>
      <c r="DH2371" s="52"/>
    </row>
    <row r="2372" ht="15.75" customHeight="1">
      <c r="DG2372" s="52"/>
      <c r="DH2372" s="52"/>
    </row>
    <row r="2373" ht="15.75" customHeight="1">
      <c r="DG2373" s="52"/>
      <c r="DH2373" s="52"/>
    </row>
    <row r="2374" ht="15.75" customHeight="1">
      <c r="DG2374" s="52"/>
      <c r="DH2374" s="52"/>
    </row>
    <row r="2375" ht="15.75" customHeight="1">
      <c r="DG2375" s="52"/>
      <c r="DH2375" s="52"/>
    </row>
    <row r="2376" ht="15.75" customHeight="1">
      <c r="DG2376" s="52"/>
      <c r="DH2376" s="52"/>
    </row>
    <row r="2377" ht="15.75" customHeight="1">
      <c r="DG2377" s="52"/>
      <c r="DH2377" s="52"/>
    </row>
    <row r="2378" ht="15.75" customHeight="1">
      <c r="DG2378" s="52"/>
      <c r="DH2378" s="52"/>
    </row>
    <row r="2379" ht="15.75" customHeight="1">
      <c r="DG2379" s="52"/>
      <c r="DH2379" s="52"/>
    </row>
    <row r="2380" ht="15.75" customHeight="1">
      <c r="DG2380" s="52"/>
      <c r="DH2380" s="52"/>
    </row>
    <row r="2381" ht="15.75" customHeight="1">
      <c r="DG2381" s="52"/>
      <c r="DH2381" s="52"/>
    </row>
    <row r="2382" ht="15.75" customHeight="1">
      <c r="DG2382" s="52"/>
      <c r="DH2382" s="52"/>
    </row>
    <row r="2383" ht="15.75" customHeight="1">
      <c r="DG2383" s="52"/>
      <c r="DH2383" s="52"/>
    </row>
    <row r="2384" ht="15.75" customHeight="1">
      <c r="DG2384" s="52"/>
      <c r="DH2384" s="52"/>
    </row>
    <row r="2385" ht="15.75" customHeight="1">
      <c r="DG2385" s="52"/>
      <c r="DH2385" s="52"/>
    </row>
    <row r="2386" ht="15.75" customHeight="1">
      <c r="DG2386" s="52"/>
      <c r="DH2386" s="52"/>
    </row>
    <row r="2387" ht="15.75" customHeight="1">
      <c r="DG2387" s="52"/>
      <c r="DH2387" s="52"/>
    </row>
    <row r="2388" ht="15.75" customHeight="1">
      <c r="DG2388" s="52"/>
      <c r="DH2388" s="52"/>
    </row>
    <row r="2389" ht="15.75" customHeight="1">
      <c r="DG2389" s="52"/>
      <c r="DH2389" s="52"/>
    </row>
    <row r="2390" ht="15.75" customHeight="1">
      <c r="DG2390" s="52"/>
      <c r="DH2390" s="52"/>
    </row>
    <row r="2391" ht="15.75" customHeight="1">
      <c r="DG2391" s="52"/>
      <c r="DH2391" s="52"/>
    </row>
    <row r="2392" ht="15.75" customHeight="1">
      <c r="DG2392" s="52"/>
      <c r="DH2392" s="52"/>
    </row>
    <row r="2393" ht="15.75" customHeight="1">
      <c r="DG2393" s="52"/>
      <c r="DH2393" s="52"/>
    </row>
    <row r="2394" ht="15.75" customHeight="1">
      <c r="DG2394" s="52"/>
      <c r="DH2394" s="52"/>
    </row>
    <row r="2395" ht="15.75" customHeight="1">
      <c r="DG2395" s="52"/>
      <c r="DH2395" s="52"/>
    </row>
    <row r="2396" ht="15.75" customHeight="1">
      <c r="DG2396" s="52"/>
      <c r="DH2396" s="52"/>
    </row>
    <row r="2397" ht="15.75" customHeight="1">
      <c r="DG2397" s="52"/>
      <c r="DH2397" s="52"/>
    </row>
    <row r="2398" ht="15.75" customHeight="1">
      <c r="DG2398" s="52"/>
      <c r="DH2398" s="52"/>
    </row>
    <row r="2399" ht="15.75" customHeight="1">
      <c r="DG2399" s="52"/>
      <c r="DH2399" s="52"/>
    </row>
    <row r="2400" ht="15.75" customHeight="1">
      <c r="DG2400" s="52"/>
      <c r="DH2400" s="52"/>
    </row>
    <row r="2401" ht="15.75" customHeight="1">
      <c r="DG2401" s="52"/>
      <c r="DH2401" s="52"/>
    </row>
    <row r="2402" ht="15.75" customHeight="1">
      <c r="DG2402" s="52"/>
      <c r="DH2402" s="52"/>
    </row>
    <row r="2403" ht="15.75" customHeight="1">
      <c r="DG2403" s="52"/>
      <c r="DH2403" s="52"/>
    </row>
    <row r="2404" ht="15.75" customHeight="1">
      <c r="DG2404" s="52"/>
      <c r="DH2404" s="52"/>
    </row>
    <row r="2405" ht="15.75" customHeight="1">
      <c r="DG2405" s="52"/>
      <c r="DH2405" s="52"/>
    </row>
    <row r="2406" ht="15.75" customHeight="1">
      <c r="DG2406" s="52"/>
      <c r="DH2406" s="52"/>
    </row>
    <row r="2407" ht="15.75" customHeight="1">
      <c r="DG2407" s="52"/>
      <c r="DH2407" s="52"/>
    </row>
    <row r="2408" ht="15.75" customHeight="1">
      <c r="DG2408" s="52"/>
      <c r="DH2408" s="52"/>
    </row>
    <row r="2409" ht="15.75" customHeight="1">
      <c r="DG2409" s="52"/>
      <c r="DH2409" s="52"/>
    </row>
    <row r="2410" ht="15.75" customHeight="1">
      <c r="DG2410" s="52"/>
      <c r="DH2410" s="52"/>
    </row>
    <row r="2411" ht="15.75" customHeight="1">
      <c r="DG2411" s="52"/>
      <c r="DH2411" s="52"/>
    </row>
    <row r="2412" ht="15.75" customHeight="1">
      <c r="DG2412" s="52"/>
      <c r="DH2412" s="52"/>
    </row>
    <row r="2413" ht="15.75" customHeight="1">
      <c r="DG2413" s="52"/>
      <c r="DH2413" s="52"/>
    </row>
    <row r="2414" ht="15.75" customHeight="1">
      <c r="DG2414" s="52"/>
      <c r="DH2414" s="52"/>
    </row>
    <row r="2415" ht="15.75" customHeight="1">
      <c r="DG2415" s="52"/>
      <c r="DH2415" s="52"/>
    </row>
    <row r="2416" ht="15.75" customHeight="1">
      <c r="DG2416" s="52"/>
      <c r="DH2416" s="52"/>
    </row>
    <row r="2417" ht="15.75" customHeight="1">
      <c r="DG2417" s="52"/>
      <c r="DH2417" s="52"/>
    </row>
    <row r="2418" ht="15.75" customHeight="1">
      <c r="DG2418" s="52"/>
      <c r="DH2418" s="52"/>
    </row>
    <row r="2419" ht="15.75" customHeight="1">
      <c r="DG2419" s="52"/>
      <c r="DH2419" s="52"/>
    </row>
    <row r="2420" ht="15.75" customHeight="1">
      <c r="DG2420" s="52"/>
      <c r="DH2420" s="52"/>
    </row>
    <row r="2421" ht="15.75" customHeight="1">
      <c r="DG2421" s="52"/>
      <c r="DH2421" s="52"/>
    </row>
    <row r="2422" ht="15.75" customHeight="1">
      <c r="DG2422" s="52"/>
      <c r="DH2422" s="52"/>
    </row>
    <row r="2423" ht="15.75" customHeight="1">
      <c r="DG2423" s="52"/>
      <c r="DH2423" s="52"/>
    </row>
    <row r="2424" ht="15.75" customHeight="1">
      <c r="DG2424" s="52"/>
      <c r="DH2424" s="52"/>
    </row>
    <row r="2425" ht="15.75" customHeight="1">
      <c r="DG2425" s="52"/>
      <c r="DH2425" s="52"/>
    </row>
    <row r="2426" ht="15.75" customHeight="1">
      <c r="DG2426" s="52"/>
      <c r="DH2426" s="52"/>
    </row>
    <row r="2427" ht="15.75" customHeight="1">
      <c r="DG2427" s="52"/>
      <c r="DH2427" s="52"/>
    </row>
    <row r="2428" ht="15.75" customHeight="1">
      <c r="DG2428" s="52"/>
      <c r="DH2428" s="52"/>
    </row>
    <row r="2429" ht="15.75" customHeight="1">
      <c r="DG2429" s="52"/>
      <c r="DH2429" s="52"/>
    </row>
    <row r="2430" ht="15.75" customHeight="1">
      <c r="DG2430" s="52"/>
      <c r="DH2430" s="52"/>
    </row>
    <row r="2431" ht="15.75" customHeight="1">
      <c r="DG2431" s="52"/>
      <c r="DH2431" s="52"/>
    </row>
    <row r="2432" ht="15.75" customHeight="1">
      <c r="DG2432" s="52"/>
      <c r="DH2432" s="52"/>
    </row>
    <row r="2433" ht="15.75" customHeight="1">
      <c r="DG2433" s="52"/>
      <c r="DH2433" s="52"/>
    </row>
    <row r="2434" ht="15.75" customHeight="1">
      <c r="DG2434" s="52"/>
      <c r="DH2434" s="52"/>
    </row>
    <row r="2435" ht="15.75" customHeight="1">
      <c r="DG2435" s="52"/>
      <c r="DH2435" s="52"/>
    </row>
    <row r="2436" ht="15.75" customHeight="1">
      <c r="DG2436" s="52"/>
      <c r="DH2436" s="52"/>
    </row>
    <row r="2437" ht="15.75" customHeight="1">
      <c r="DG2437" s="52"/>
      <c r="DH2437" s="52"/>
    </row>
    <row r="2438" ht="15.75" customHeight="1">
      <c r="DG2438" s="52"/>
      <c r="DH2438" s="52"/>
    </row>
    <row r="2439" ht="15.75" customHeight="1">
      <c r="DG2439" s="52"/>
      <c r="DH2439" s="52"/>
    </row>
    <row r="2440" ht="15.75" customHeight="1">
      <c r="DG2440" s="52"/>
      <c r="DH2440" s="52"/>
    </row>
    <row r="2441" ht="15.75" customHeight="1">
      <c r="DG2441" s="52"/>
      <c r="DH2441" s="52"/>
    </row>
    <row r="2442" ht="15.75" customHeight="1">
      <c r="DG2442" s="52"/>
      <c r="DH2442" s="52"/>
    </row>
    <row r="2443" ht="15.75" customHeight="1">
      <c r="DG2443" s="52"/>
      <c r="DH2443" s="52"/>
    </row>
    <row r="2444" ht="15.75" customHeight="1">
      <c r="DG2444" s="52"/>
      <c r="DH2444" s="52"/>
    </row>
    <row r="2445" ht="15.75" customHeight="1">
      <c r="DG2445" s="52"/>
      <c r="DH2445" s="52"/>
    </row>
    <row r="2446" ht="15.75" customHeight="1">
      <c r="DG2446" s="52"/>
      <c r="DH2446" s="52"/>
    </row>
    <row r="2447" ht="15.75" customHeight="1">
      <c r="DG2447" s="52"/>
      <c r="DH2447" s="52"/>
    </row>
    <row r="2448" ht="15.75" customHeight="1">
      <c r="DG2448" s="52"/>
      <c r="DH2448" s="52"/>
    </row>
    <row r="2449" ht="15.75" customHeight="1">
      <c r="DG2449" s="52"/>
      <c r="DH2449" s="52"/>
    </row>
    <row r="2450" ht="15.75" customHeight="1">
      <c r="DG2450" s="52"/>
      <c r="DH2450" s="52"/>
    </row>
    <row r="2451" ht="15.75" customHeight="1">
      <c r="DG2451" s="52"/>
      <c r="DH2451" s="52"/>
    </row>
    <row r="2452" ht="15.75" customHeight="1">
      <c r="DG2452" s="52"/>
      <c r="DH2452" s="52"/>
    </row>
    <row r="2453" ht="15.75" customHeight="1">
      <c r="DG2453" s="52"/>
      <c r="DH2453" s="52"/>
    </row>
    <row r="2454" ht="15.75" customHeight="1">
      <c r="DG2454" s="52"/>
      <c r="DH2454" s="52"/>
    </row>
    <row r="2455" ht="15.75" customHeight="1">
      <c r="DG2455" s="52"/>
      <c r="DH2455" s="52"/>
    </row>
    <row r="2456" ht="15.75" customHeight="1">
      <c r="DG2456" s="52"/>
      <c r="DH2456" s="52"/>
    </row>
    <row r="2457" ht="15.75" customHeight="1">
      <c r="DG2457" s="52"/>
      <c r="DH2457" s="52"/>
    </row>
    <row r="2458" ht="15.75" customHeight="1">
      <c r="DG2458" s="52"/>
      <c r="DH2458" s="52"/>
    </row>
    <row r="2459" ht="15.75" customHeight="1">
      <c r="DG2459" s="52"/>
      <c r="DH2459" s="52"/>
    </row>
    <row r="2460" ht="15.75" customHeight="1">
      <c r="DG2460" s="52"/>
      <c r="DH2460" s="52"/>
    </row>
    <row r="2461" ht="15.75" customHeight="1">
      <c r="DG2461" s="52"/>
      <c r="DH2461" s="52"/>
    </row>
    <row r="2462" ht="15.75" customHeight="1">
      <c r="DG2462" s="52"/>
      <c r="DH2462" s="52"/>
    </row>
    <row r="2463" ht="15.75" customHeight="1">
      <c r="DG2463" s="52"/>
      <c r="DH2463" s="52"/>
    </row>
    <row r="2464" ht="15.75" customHeight="1">
      <c r="DG2464" s="52"/>
      <c r="DH2464" s="52"/>
    </row>
    <row r="2465" ht="15.75" customHeight="1">
      <c r="DG2465" s="52"/>
      <c r="DH2465" s="52"/>
    </row>
    <row r="2466" ht="15.75" customHeight="1">
      <c r="DG2466" s="52"/>
      <c r="DH2466" s="52"/>
    </row>
    <row r="2467" ht="15.75" customHeight="1">
      <c r="DG2467" s="52"/>
      <c r="DH2467" s="52"/>
    </row>
    <row r="2468" ht="15.75" customHeight="1">
      <c r="DG2468" s="52"/>
      <c r="DH2468" s="52"/>
    </row>
    <row r="2469" ht="15.75" customHeight="1">
      <c r="DG2469" s="52"/>
      <c r="DH2469" s="52"/>
    </row>
    <row r="2470" ht="15.75" customHeight="1">
      <c r="DG2470" s="52"/>
      <c r="DH2470" s="52"/>
    </row>
    <row r="2471" ht="15.75" customHeight="1">
      <c r="DG2471" s="52"/>
      <c r="DH2471" s="52"/>
    </row>
    <row r="2472" ht="15.75" customHeight="1">
      <c r="DG2472" s="52"/>
      <c r="DH2472" s="52"/>
    </row>
    <row r="2473" ht="15.75" customHeight="1">
      <c r="DG2473" s="52"/>
      <c r="DH2473" s="52"/>
    </row>
    <row r="2474" ht="15.75" customHeight="1">
      <c r="DG2474" s="52"/>
      <c r="DH2474" s="52"/>
    </row>
    <row r="2475" ht="15.75" customHeight="1">
      <c r="DG2475" s="52"/>
      <c r="DH2475" s="52"/>
    </row>
    <row r="2476" ht="15.75" customHeight="1">
      <c r="DG2476" s="52"/>
      <c r="DH2476" s="52"/>
    </row>
    <row r="2477" ht="15.75" customHeight="1">
      <c r="DG2477" s="52"/>
      <c r="DH2477" s="52"/>
    </row>
    <row r="2478" ht="15.75" customHeight="1">
      <c r="DG2478" s="52"/>
      <c r="DH2478" s="52"/>
    </row>
    <row r="2479" ht="15.75" customHeight="1">
      <c r="DG2479" s="52"/>
      <c r="DH2479" s="52"/>
    </row>
    <row r="2480" ht="15.75" customHeight="1">
      <c r="DG2480" s="52"/>
      <c r="DH2480" s="52"/>
    </row>
    <row r="2481" ht="15.75" customHeight="1">
      <c r="DG2481" s="52"/>
      <c r="DH2481" s="52"/>
    </row>
    <row r="2482" ht="15.75" customHeight="1">
      <c r="DG2482" s="52"/>
      <c r="DH2482" s="52"/>
    </row>
    <row r="2483" ht="15.75" customHeight="1">
      <c r="DG2483" s="52"/>
      <c r="DH2483" s="52"/>
    </row>
    <row r="2484" ht="15.75" customHeight="1">
      <c r="DG2484" s="52"/>
      <c r="DH2484" s="52"/>
    </row>
    <row r="2485" ht="15.75" customHeight="1">
      <c r="DG2485" s="52"/>
      <c r="DH2485" s="52"/>
    </row>
    <row r="2486" ht="15.75" customHeight="1">
      <c r="DG2486" s="52"/>
      <c r="DH2486" s="52"/>
    </row>
    <row r="2487" ht="15.75" customHeight="1">
      <c r="DG2487" s="52"/>
      <c r="DH2487" s="52"/>
    </row>
    <row r="2488" ht="15.75" customHeight="1">
      <c r="DG2488" s="52"/>
      <c r="DH2488" s="52"/>
    </row>
    <row r="2489" ht="15.75" customHeight="1">
      <c r="DG2489" s="52"/>
      <c r="DH2489" s="52"/>
    </row>
    <row r="2490" ht="15.75" customHeight="1">
      <c r="DG2490" s="52"/>
      <c r="DH2490" s="52"/>
    </row>
    <row r="2491" ht="15.75" customHeight="1">
      <c r="DG2491" s="52"/>
      <c r="DH2491" s="52"/>
    </row>
    <row r="2492" ht="15.75" customHeight="1">
      <c r="DG2492" s="52"/>
      <c r="DH2492" s="52"/>
    </row>
    <row r="2493" ht="15.75" customHeight="1">
      <c r="DG2493" s="52"/>
      <c r="DH2493" s="52"/>
    </row>
    <row r="2494" ht="15.75" customHeight="1">
      <c r="DG2494" s="52"/>
      <c r="DH2494" s="52"/>
    </row>
    <row r="2495" ht="15.75" customHeight="1">
      <c r="DG2495" s="52"/>
      <c r="DH2495" s="52"/>
    </row>
    <row r="2496" ht="15.75" customHeight="1">
      <c r="DG2496" s="52"/>
      <c r="DH2496" s="52"/>
    </row>
    <row r="2497" ht="15.75" customHeight="1">
      <c r="DG2497" s="52"/>
      <c r="DH2497" s="52"/>
    </row>
    <row r="2498" ht="15.75" customHeight="1">
      <c r="DG2498" s="52"/>
      <c r="DH2498" s="52"/>
    </row>
    <row r="2499" ht="15.75" customHeight="1">
      <c r="DG2499" s="52"/>
      <c r="DH2499" s="52"/>
    </row>
    <row r="2500" ht="15.75" customHeight="1">
      <c r="DG2500" s="52"/>
      <c r="DH2500" s="52"/>
    </row>
    <row r="2501" ht="15.75" customHeight="1">
      <c r="DG2501" s="52"/>
      <c r="DH2501" s="52"/>
    </row>
    <row r="2502" ht="15.75" customHeight="1">
      <c r="DG2502" s="52"/>
      <c r="DH2502" s="52"/>
    </row>
    <row r="2503" ht="15.75" customHeight="1">
      <c r="DG2503" s="52"/>
      <c r="DH2503" s="52"/>
    </row>
    <row r="2504" ht="15.75" customHeight="1">
      <c r="DG2504" s="52"/>
      <c r="DH2504" s="52"/>
    </row>
    <row r="2505" ht="15.75" customHeight="1">
      <c r="DG2505" s="52"/>
      <c r="DH2505" s="52"/>
    </row>
    <row r="2506" ht="15.75" customHeight="1">
      <c r="DG2506" s="52"/>
      <c r="DH2506" s="52"/>
    </row>
    <row r="2507" ht="15.75" customHeight="1">
      <c r="DG2507" s="52"/>
      <c r="DH2507" s="52"/>
    </row>
    <row r="2508" ht="15.75" customHeight="1">
      <c r="DG2508" s="52"/>
      <c r="DH2508" s="52"/>
    </row>
    <row r="2509" ht="15.75" customHeight="1">
      <c r="DG2509" s="52"/>
      <c r="DH2509" s="52"/>
    </row>
    <row r="2510" ht="15.75" customHeight="1">
      <c r="DG2510" s="52"/>
      <c r="DH2510" s="52"/>
    </row>
    <row r="2511" ht="15.75" customHeight="1">
      <c r="DG2511" s="52"/>
      <c r="DH2511" s="52"/>
    </row>
    <row r="2512" ht="15.75" customHeight="1">
      <c r="DG2512" s="52"/>
      <c r="DH2512" s="52"/>
    </row>
    <row r="2513" ht="15.75" customHeight="1">
      <c r="DG2513" s="52"/>
      <c r="DH2513" s="52"/>
    </row>
    <row r="2514" ht="15.75" customHeight="1">
      <c r="DG2514" s="52"/>
      <c r="DH2514" s="52"/>
    </row>
    <row r="2515" ht="15.75" customHeight="1">
      <c r="DG2515" s="52"/>
      <c r="DH2515" s="52"/>
    </row>
    <row r="2516" ht="15.75" customHeight="1">
      <c r="DG2516" s="52"/>
      <c r="DH2516" s="52"/>
    </row>
    <row r="2517" ht="15.75" customHeight="1">
      <c r="DG2517" s="52"/>
      <c r="DH2517" s="52"/>
    </row>
    <row r="2518" ht="15.75" customHeight="1">
      <c r="DG2518" s="52"/>
      <c r="DH2518" s="52"/>
    </row>
    <row r="2519" ht="15.75" customHeight="1">
      <c r="DG2519" s="52"/>
      <c r="DH2519" s="52"/>
    </row>
    <row r="2520" ht="15.75" customHeight="1">
      <c r="DG2520" s="52"/>
      <c r="DH2520" s="52"/>
    </row>
    <row r="2521" ht="15.75" customHeight="1">
      <c r="DG2521" s="52"/>
      <c r="DH2521" s="52"/>
    </row>
    <row r="2522" ht="15.75" customHeight="1">
      <c r="DG2522" s="52"/>
      <c r="DH2522" s="52"/>
    </row>
    <row r="2523" ht="15.75" customHeight="1">
      <c r="DG2523" s="52"/>
      <c r="DH2523" s="52"/>
    </row>
    <row r="2524" ht="15.75" customHeight="1">
      <c r="DG2524" s="52"/>
      <c r="DH2524" s="52"/>
    </row>
    <row r="2525" ht="15.75" customHeight="1">
      <c r="DG2525" s="52"/>
      <c r="DH2525" s="52"/>
    </row>
    <row r="2526" ht="15.75" customHeight="1">
      <c r="DG2526" s="52"/>
      <c r="DH2526" s="52"/>
    </row>
    <row r="2527" ht="15.75" customHeight="1">
      <c r="DG2527" s="52"/>
      <c r="DH2527" s="52"/>
    </row>
    <row r="2528" ht="15.75" customHeight="1">
      <c r="DG2528" s="52"/>
      <c r="DH2528" s="52"/>
    </row>
    <row r="2529" ht="15.75" customHeight="1">
      <c r="DG2529" s="52"/>
      <c r="DH2529" s="52"/>
    </row>
    <row r="2530" ht="15.75" customHeight="1">
      <c r="DG2530" s="52"/>
      <c r="DH2530" s="52"/>
    </row>
    <row r="2531" ht="15.75" customHeight="1">
      <c r="DG2531" s="52"/>
      <c r="DH2531" s="52"/>
    </row>
    <row r="2532" ht="15.75" customHeight="1">
      <c r="DG2532" s="52"/>
      <c r="DH2532" s="52"/>
    </row>
    <row r="2533" ht="15.75" customHeight="1">
      <c r="DG2533" s="52"/>
      <c r="DH2533" s="52"/>
    </row>
    <row r="2534" ht="15.75" customHeight="1">
      <c r="DG2534" s="52"/>
      <c r="DH2534" s="52"/>
    </row>
    <row r="2535" ht="15.75" customHeight="1">
      <c r="DG2535" s="52"/>
      <c r="DH2535" s="52"/>
    </row>
    <row r="2536" ht="15.75" customHeight="1">
      <c r="DG2536" s="52"/>
      <c r="DH2536" s="52"/>
    </row>
    <row r="2537" ht="15.75" customHeight="1">
      <c r="DG2537" s="52"/>
      <c r="DH2537" s="52"/>
    </row>
    <row r="2538" ht="15.75" customHeight="1">
      <c r="DG2538" s="52"/>
      <c r="DH2538" s="52"/>
    </row>
    <row r="2539" ht="15.75" customHeight="1">
      <c r="DG2539" s="52"/>
      <c r="DH2539" s="52"/>
    </row>
    <row r="2540" ht="15.75" customHeight="1">
      <c r="DG2540" s="52"/>
      <c r="DH2540" s="52"/>
    </row>
    <row r="2541" ht="15.75" customHeight="1">
      <c r="DG2541" s="52"/>
      <c r="DH2541" s="52"/>
    </row>
    <row r="2542" ht="15.75" customHeight="1">
      <c r="DG2542" s="52"/>
      <c r="DH2542" s="52"/>
    </row>
    <row r="2543" ht="15.75" customHeight="1">
      <c r="DG2543" s="52"/>
      <c r="DH2543" s="52"/>
    </row>
    <row r="2544" ht="15.75" customHeight="1">
      <c r="DG2544" s="52"/>
      <c r="DH2544" s="52"/>
    </row>
    <row r="2545" ht="15.75" customHeight="1">
      <c r="DG2545" s="52"/>
      <c r="DH2545" s="52"/>
    </row>
    <row r="2546" ht="15.75" customHeight="1">
      <c r="DG2546" s="52"/>
      <c r="DH2546" s="52"/>
    </row>
    <row r="2547" ht="15.75" customHeight="1">
      <c r="DG2547" s="52"/>
      <c r="DH2547" s="52"/>
    </row>
    <row r="2548" ht="15.75" customHeight="1">
      <c r="DG2548" s="52"/>
      <c r="DH2548" s="52"/>
    </row>
    <row r="2549" ht="15.75" customHeight="1">
      <c r="DG2549" s="52"/>
      <c r="DH2549" s="52"/>
    </row>
    <row r="2550" ht="15.75" customHeight="1">
      <c r="DG2550" s="52"/>
      <c r="DH2550" s="52"/>
    </row>
    <row r="2551" ht="15.75" customHeight="1">
      <c r="DG2551" s="52"/>
      <c r="DH2551" s="52"/>
    </row>
    <row r="2552" ht="15.75" customHeight="1">
      <c r="DG2552" s="52"/>
      <c r="DH2552" s="52"/>
    </row>
    <row r="2553" ht="15.75" customHeight="1">
      <c r="DG2553" s="52"/>
      <c r="DH2553" s="52"/>
    </row>
    <row r="2554" ht="15.75" customHeight="1">
      <c r="DG2554" s="52"/>
      <c r="DH2554" s="52"/>
    </row>
    <row r="2555" ht="15.75" customHeight="1">
      <c r="DG2555" s="52"/>
      <c r="DH2555" s="52"/>
    </row>
    <row r="2556" ht="15.75" customHeight="1">
      <c r="DG2556" s="52"/>
      <c r="DH2556" s="52"/>
    </row>
    <row r="2557" ht="15.75" customHeight="1">
      <c r="DG2557" s="52"/>
      <c r="DH2557" s="52"/>
    </row>
    <row r="2558" ht="15.75" customHeight="1">
      <c r="DG2558" s="52"/>
      <c r="DH2558" s="52"/>
    </row>
    <row r="2559" ht="15.75" customHeight="1">
      <c r="DG2559" s="52"/>
      <c r="DH2559" s="52"/>
    </row>
    <row r="2560" ht="15.75" customHeight="1">
      <c r="DG2560" s="52"/>
      <c r="DH2560" s="52"/>
    </row>
    <row r="2561" ht="15.75" customHeight="1">
      <c r="DG2561" s="52"/>
      <c r="DH2561" s="52"/>
    </row>
    <row r="2562" ht="15.75" customHeight="1">
      <c r="DG2562" s="52"/>
      <c r="DH2562" s="52"/>
    </row>
    <row r="2563" ht="15.75" customHeight="1">
      <c r="DG2563" s="52"/>
      <c r="DH2563" s="52"/>
    </row>
    <row r="2564" ht="15.75" customHeight="1">
      <c r="DG2564" s="52"/>
      <c r="DH2564" s="52"/>
    </row>
    <row r="2565" ht="15.75" customHeight="1">
      <c r="DG2565" s="52"/>
      <c r="DH2565" s="52"/>
    </row>
    <row r="2566" ht="15.75" customHeight="1">
      <c r="DG2566" s="52"/>
      <c r="DH2566" s="52"/>
    </row>
    <row r="2567" ht="15.75" customHeight="1">
      <c r="DG2567" s="52"/>
      <c r="DH2567" s="52"/>
    </row>
    <row r="2568" ht="15.75" customHeight="1">
      <c r="DG2568" s="52"/>
      <c r="DH2568" s="52"/>
    </row>
    <row r="2569" ht="15.75" customHeight="1">
      <c r="DG2569" s="52"/>
      <c r="DH2569" s="52"/>
    </row>
    <row r="2570" ht="15.75" customHeight="1">
      <c r="DG2570" s="52"/>
      <c r="DH2570" s="52"/>
    </row>
    <row r="2571" ht="15.75" customHeight="1">
      <c r="DG2571" s="52"/>
      <c r="DH2571" s="52"/>
    </row>
    <row r="2572" ht="15.75" customHeight="1">
      <c r="DG2572" s="52"/>
      <c r="DH2572" s="52"/>
    </row>
    <row r="2573" ht="15.75" customHeight="1">
      <c r="DG2573" s="52"/>
      <c r="DH2573" s="52"/>
    </row>
    <row r="2574" ht="15.75" customHeight="1">
      <c r="DG2574" s="52"/>
      <c r="DH2574" s="52"/>
    </row>
    <row r="2575" ht="15.75" customHeight="1">
      <c r="DG2575" s="52"/>
      <c r="DH2575" s="52"/>
    </row>
    <row r="2576" ht="15.75" customHeight="1">
      <c r="DG2576" s="52"/>
      <c r="DH2576" s="52"/>
    </row>
    <row r="2577" ht="15.75" customHeight="1">
      <c r="DG2577" s="52"/>
      <c r="DH2577" s="52"/>
    </row>
    <row r="2578" ht="15.75" customHeight="1">
      <c r="DG2578" s="52"/>
      <c r="DH2578" s="52"/>
    </row>
    <row r="2579" ht="15.75" customHeight="1">
      <c r="DG2579" s="52"/>
      <c r="DH2579" s="52"/>
    </row>
    <row r="2580" ht="15.75" customHeight="1">
      <c r="DG2580" s="52"/>
      <c r="DH2580" s="52"/>
    </row>
    <row r="2581" ht="15.75" customHeight="1">
      <c r="DG2581" s="52"/>
      <c r="DH2581" s="52"/>
    </row>
    <row r="2582" ht="15.75" customHeight="1">
      <c r="DG2582" s="52"/>
      <c r="DH2582" s="52"/>
    </row>
    <row r="2583" ht="15.75" customHeight="1">
      <c r="DG2583" s="52"/>
      <c r="DH2583" s="52"/>
    </row>
    <row r="2584" ht="15.75" customHeight="1">
      <c r="DG2584" s="52"/>
      <c r="DH2584" s="52"/>
    </row>
    <row r="2585" ht="15.75" customHeight="1">
      <c r="DG2585" s="52"/>
      <c r="DH2585" s="52"/>
    </row>
    <row r="2586" ht="15.75" customHeight="1">
      <c r="DG2586" s="52"/>
      <c r="DH2586" s="52"/>
    </row>
    <row r="2587" ht="15.75" customHeight="1">
      <c r="DG2587" s="52"/>
      <c r="DH2587" s="52"/>
    </row>
    <row r="2588" ht="15.75" customHeight="1">
      <c r="DG2588" s="52"/>
      <c r="DH2588" s="52"/>
    </row>
    <row r="2589" ht="15.75" customHeight="1">
      <c r="DG2589" s="52"/>
      <c r="DH2589" s="52"/>
    </row>
    <row r="2590" ht="15.75" customHeight="1">
      <c r="DG2590" s="52"/>
      <c r="DH2590" s="52"/>
    </row>
    <row r="2591" ht="15.75" customHeight="1">
      <c r="DG2591" s="52"/>
      <c r="DH2591" s="52"/>
    </row>
    <row r="2592" ht="15.75" customHeight="1">
      <c r="DG2592" s="52"/>
      <c r="DH2592" s="52"/>
    </row>
    <row r="2593" ht="15.75" customHeight="1">
      <c r="DG2593" s="52"/>
      <c r="DH2593" s="52"/>
    </row>
    <row r="2594" ht="15.75" customHeight="1">
      <c r="DG2594" s="52"/>
      <c r="DH2594" s="52"/>
    </row>
    <row r="2595" ht="15.75" customHeight="1">
      <c r="DG2595" s="52"/>
      <c r="DH2595" s="52"/>
    </row>
    <row r="2596" ht="15.75" customHeight="1">
      <c r="DG2596" s="52"/>
      <c r="DH2596" s="52"/>
    </row>
    <row r="2597" ht="15.75" customHeight="1">
      <c r="DG2597" s="52"/>
      <c r="DH2597" s="52"/>
    </row>
    <row r="2598" ht="15.75" customHeight="1">
      <c r="DG2598" s="52"/>
      <c r="DH2598" s="52"/>
    </row>
    <row r="2599" ht="15.75" customHeight="1">
      <c r="DG2599" s="52"/>
      <c r="DH2599" s="52"/>
    </row>
    <row r="2600" ht="15.75" customHeight="1">
      <c r="DG2600" s="52"/>
      <c r="DH2600" s="52"/>
    </row>
    <row r="2601" ht="15.75" customHeight="1">
      <c r="DG2601" s="52"/>
      <c r="DH2601" s="52"/>
    </row>
    <row r="2602" ht="15.75" customHeight="1">
      <c r="DG2602" s="52"/>
      <c r="DH2602" s="52"/>
    </row>
    <row r="2603" ht="15.75" customHeight="1">
      <c r="DG2603" s="52"/>
      <c r="DH2603" s="52"/>
    </row>
    <row r="2604" ht="15.75" customHeight="1">
      <c r="DG2604" s="52"/>
      <c r="DH2604" s="52"/>
    </row>
    <row r="2605" ht="15.75" customHeight="1">
      <c r="DG2605" s="52"/>
      <c r="DH2605" s="52"/>
    </row>
    <row r="2606" ht="15.75" customHeight="1">
      <c r="DG2606" s="52"/>
      <c r="DH2606" s="52"/>
    </row>
    <row r="2607" ht="15.75" customHeight="1">
      <c r="DG2607" s="52"/>
      <c r="DH2607" s="52"/>
    </row>
    <row r="2608" ht="15.75" customHeight="1">
      <c r="DG2608" s="52"/>
      <c r="DH2608" s="52"/>
    </row>
    <row r="2609" ht="15.75" customHeight="1">
      <c r="DG2609" s="52"/>
      <c r="DH2609" s="52"/>
    </row>
    <row r="2610" ht="15.75" customHeight="1">
      <c r="DG2610" s="52"/>
      <c r="DH2610" s="52"/>
    </row>
    <row r="2611" ht="15.75" customHeight="1">
      <c r="DG2611" s="52"/>
      <c r="DH2611" s="52"/>
    </row>
    <row r="2612" ht="15.75" customHeight="1">
      <c r="DG2612" s="52"/>
      <c r="DH2612" s="52"/>
    </row>
    <row r="2613" ht="15.75" customHeight="1">
      <c r="DG2613" s="52"/>
      <c r="DH2613" s="52"/>
    </row>
    <row r="2614" ht="15.75" customHeight="1">
      <c r="DG2614" s="52"/>
      <c r="DH2614" s="52"/>
    </row>
    <row r="2615" ht="15.75" customHeight="1">
      <c r="DG2615" s="52"/>
      <c r="DH2615" s="52"/>
    </row>
    <row r="2616" ht="15.75" customHeight="1">
      <c r="DG2616" s="52"/>
      <c r="DH2616" s="52"/>
    </row>
    <row r="2617" ht="15.75" customHeight="1">
      <c r="DG2617" s="52"/>
      <c r="DH2617" s="52"/>
    </row>
    <row r="2618" ht="15.75" customHeight="1">
      <c r="DG2618" s="52"/>
      <c r="DH2618" s="52"/>
    </row>
    <row r="2619" ht="15.75" customHeight="1">
      <c r="DG2619" s="52"/>
      <c r="DH2619" s="52"/>
    </row>
    <row r="2620" ht="15.75" customHeight="1">
      <c r="DG2620" s="52"/>
      <c r="DH2620" s="52"/>
    </row>
    <row r="2621" ht="15.75" customHeight="1">
      <c r="DG2621" s="52"/>
      <c r="DH2621" s="52"/>
    </row>
    <row r="2622" ht="15.75" customHeight="1">
      <c r="DG2622" s="52"/>
      <c r="DH2622" s="52"/>
    </row>
    <row r="2623" ht="15.75" customHeight="1">
      <c r="DG2623" s="52"/>
      <c r="DH2623" s="52"/>
    </row>
    <row r="2624" ht="15.75" customHeight="1">
      <c r="DG2624" s="52"/>
      <c r="DH2624" s="52"/>
    </row>
    <row r="2625" ht="15.75" customHeight="1">
      <c r="DG2625" s="52"/>
      <c r="DH2625" s="52"/>
    </row>
    <row r="2626" ht="15.75" customHeight="1">
      <c r="DG2626" s="52"/>
      <c r="DH2626" s="52"/>
    </row>
    <row r="2627" ht="15.75" customHeight="1">
      <c r="DG2627" s="52"/>
      <c r="DH2627" s="52"/>
    </row>
    <row r="2628" ht="15.75" customHeight="1">
      <c r="DG2628" s="52"/>
      <c r="DH2628" s="52"/>
    </row>
    <row r="2629" ht="15.75" customHeight="1">
      <c r="DG2629" s="52"/>
      <c r="DH2629" s="52"/>
    </row>
    <row r="2630" ht="15.75" customHeight="1">
      <c r="DG2630" s="52"/>
      <c r="DH2630" s="52"/>
    </row>
    <row r="2631" ht="15.75" customHeight="1">
      <c r="DG2631" s="52"/>
      <c r="DH2631" s="52"/>
    </row>
    <row r="2632" ht="15.75" customHeight="1">
      <c r="DG2632" s="52"/>
      <c r="DH2632" s="52"/>
    </row>
    <row r="2633" ht="15.75" customHeight="1">
      <c r="DG2633" s="52"/>
      <c r="DH2633" s="52"/>
    </row>
    <row r="2634" ht="15.75" customHeight="1">
      <c r="DG2634" s="52"/>
      <c r="DH2634" s="52"/>
    </row>
    <row r="2635" ht="15.75" customHeight="1">
      <c r="DG2635" s="52"/>
      <c r="DH2635" s="52"/>
    </row>
    <row r="2636" ht="15.75" customHeight="1">
      <c r="DG2636" s="52"/>
      <c r="DH2636" s="52"/>
    </row>
    <row r="2637" ht="15.75" customHeight="1">
      <c r="DG2637" s="52"/>
      <c r="DH2637" s="52"/>
    </row>
    <row r="2638" ht="15.75" customHeight="1">
      <c r="DG2638" s="52"/>
      <c r="DH2638" s="52"/>
    </row>
    <row r="2639" ht="15.75" customHeight="1">
      <c r="DG2639" s="52"/>
      <c r="DH2639" s="52"/>
    </row>
    <row r="2640" ht="15.75" customHeight="1">
      <c r="DG2640" s="52"/>
      <c r="DH2640" s="52"/>
    </row>
    <row r="2641" ht="15.75" customHeight="1">
      <c r="DG2641" s="52"/>
      <c r="DH2641" s="52"/>
    </row>
    <row r="2642" ht="15.75" customHeight="1">
      <c r="DG2642" s="52"/>
      <c r="DH2642" s="52"/>
    </row>
    <row r="2643" ht="15.75" customHeight="1">
      <c r="DG2643" s="52"/>
      <c r="DH2643" s="52"/>
    </row>
    <row r="2644" ht="15.75" customHeight="1">
      <c r="DG2644" s="52"/>
      <c r="DH2644" s="52"/>
    </row>
    <row r="2645" ht="15.75" customHeight="1">
      <c r="DG2645" s="52"/>
      <c r="DH2645" s="52"/>
    </row>
    <row r="2646" ht="15.75" customHeight="1">
      <c r="DG2646" s="52"/>
      <c r="DH2646" s="52"/>
    </row>
    <row r="2647" ht="15.75" customHeight="1">
      <c r="DG2647" s="52"/>
      <c r="DH2647" s="52"/>
    </row>
    <row r="2648" ht="15.75" customHeight="1">
      <c r="DG2648" s="52"/>
      <c r="DH2648" s="52"/>
    </row>
    <row r="2649" ht="15.75" customHeight="1">
      <c r="DG2649" s="52"/>
      <c r="DH2649" s="52"/>
    </row>
    <row r="2650" ht="15.75" customHeight="1">
      <c r="DG2650" s="52"/>
      <c r="DH2650" s="52"/>
    </row>
    <row r="2651" ht="15.75" customHeight="1">
      <c r="DG2651" s="52"/>
      <c r="DH2651" s="52"/>
    </row>
    <row r="2652" ht="15.75" customHeight="1">
      <c r="DG2652" s="52"/>
      <c r="DH2652" s="52"/>
    </row>
    <row r="2653" ht="15.75" customHeight="1">
      <c r="DG2653" s="52"/>
      <c r="DH2653" s="52"/>
    </row>
    <row r="2654" ht="15.75" customHeight="1">
      <c r="DG2654" s="52"/>
      <c r="DH2654" s="52"/>
    </row>
    <row r="2655" ht="15.75" customHeight="1">
      <c r="DG2655" s="52"/>
      <c r="DH2655" s="52"/>
    </row>
    <row r="2656" ht="15.75" customHeight="1">
      <c r="DG2656" s="52"/>
      <c r="DH2656" s="52"/>
    </row>
    <row r="2657" ht="15.75" customHeight="1">
      <c r="DG2657" s="52"/>
      <c r="DH2657" s="52"/>
    </row>
    <row r="2658" ht="15.75" customHeight="1">
      <c r="DG2658" s="52"/>
      <c r="DH2658" s="52"/>
    </row>
    <row r="2659" ht="15.75" customHeight="1">
      <c r="DG2659" s="52"/>
      <c r="DH2659" s="52"/>
    </row>
    <row r="2660" ht="15.75" customHeight="1">
      <c r="DG2660" s="52"/>
      <c r="DH2660" s="52"/>
    </row>
    <row r="2661" ht="15.75" customHeight="1">
      <c r="DG2661" s="52"/>
      <c r="DH2661" s="52"/>
    </row>
    <row r="2662" ht="15.75" customHeight="1">
      <c r="DG2662" s="52"/>
      <c r="DH2662" s="52"/>
    </row>
    <row r="2663" ht="15.75" customHeight="1">
      <c r="DG2663" s="52"/>
      <c r="DH2663" s="52"/>
    </row>
    <row r="2664" ht="15.75" customHeight="1">
      <c r="DG2664" s="52"/>
      <c r="DH2664" s="52"/>
    </row>
    <row r="2665" ht="15.75" customHeight="1">
      <c r="DG2665" s="52"/>
      <c r="DH2665" s="52"/>
    </row>
    <row r="2666" ht="15.75" customHeight="1">
      <c r="DG2666" s="52"/>
      <c r="DH2666" s="52"/>
    </row>
    <row r="2667" ht="15.75" customHeight="1">
      <c r="DG2667" s="52"/>
      <c r="DH2667" s="52"/>
    </row>
    <row r="2668" ht="15.75" customHeight="1">
      <c r="DG2668" s="52"/>
      <c r="DH2668" s="52"/>
    </row>
    <row r="2669" ht="15.75" customHeight="1">
      <c r="DG2669" s="52"/>
      <c r="DH2669" s="52"/>
    </row>
    <row r="2670" ht="15.75" customHeight="1">
      <c r="DG2670" s="52"/>
      <c r="DH2670" s="52"/>
    </row>
    <row r="2671" ht="15.75" customHeight="1">
      <c r="DG2671" s="52"/>
      <c r="DH2671" s="52"/>
    </row>
    <row r="2672" ht="15.75" customHeight="1">
      <c r="DG2672" s="52"/>
      <c r="DH2672" s="52"/>
    </row>
    <row r="2673" ht="15.75" customHeight="1">
      <c r="DG2673" s="52"/>
      <c r="DH2673" s="52"/>
    </row>
    <row r="2674" ht="15.75" customHeight="1">
      <c r="DG2674" s="52"/>
      <c r="DH2674" s="52"/>
    </row>
    <row r="2675" ht="15.75" customHeight="1">
      <c r="DG2675" s="52"/>
      <c r="DH2675" s="52"/>
    </row>
    <row r="2676" ht="15.75" customHeight="1">
      <c r="DG2676" s="52"/>
      <c r="DH2676" s="52"/>
    </row>
    <row r="2677" ht="15.75" customHeight="1">
      <c r="DG2677" s="52"/>
      <c r="DH2677" s="52"/>
    </row>
    <row r="2678" ht="15.75" customHeight="1">
      <c r="DG2678" s="52"/>
      <c r="DH2678" s="52"/>
    </row>
    <row r="2679" ht="15.75" customHeight="1">
      <c r="DG2679" s="52"/>
      <c r="DH2679" s="52"/>
    </row>
    <row r="2680" ht="15.75" customHeight="1">
      <c r="DG2680" s="52"/>
      <c r="DH2680" s="52"/>
    </row>
    <row r="2681" ht="15.75" customHeight="1">
      <c r="DG2681" s="52"/>
      <c r="DH2681" s="52"/>
    </row>
    <row r="2682" ht="15.75" customHeight="1">
      <c r="DG2682" s="52"/>
      <c r="DH2682" s="52"/>
    </row>
    <row r="2683" ht="15.75" customHeight="1">
      <c r="DG2683" s="52"/>
      <c r="DH2683" s="52"/>
    </row>
    <row r="2684" ht="15.75" customHeight="1">
      <c r="DG2684" s="52"/>
      <c r="DH2684" s="52"/>
    </row>
    <row r="2685" ht="15.75" customHeight="1">
      <c r="DG2685" s="52"/>
      <c r="DH2685" s="52"/>
    </row>
    <row r="2686" ht="15.75" customHeight="1">
      <c r="DG2686" s="52"/>
      <c r="DH2686" s="52"/>
    </row>
    <row r="2687" ht="15.75" customHeight="1">
      <c r="DG2687" s="52"/>
      <c r="DH2687" s="52"/>
    </row>
    <row r="2688" ht="15.75" customHeight="1">
      <c r="DG2688" s="52"/>
      <c r="DH2688" s="52"/>
    </row>
    <row r="2689" ht="15.75" customHeight="1">
      <c r="DG2689" s="52"/>
      <c r="DH2689" s="52"/>
    </row>
    <row r="2690" ht="15.75" customHeight="1">
      <c r="DG2690" s="52"/>
      <c r="DH2690" s="52"/>
    </row>
    <row r="2691" ht="15.75" customHeight="1">
      <c r="DG2691" s="52"/>
      <c r="DH2691" s="52"/>
    </row>
    <row r="2692" ht="15.75" customHeight="1">
      <c r="DG2692" s="52"/>
      <c r="DH2692" s="52"/>
    </row>
    <row r="2693" ht="15.75" customHeight="1">
      <c r="DG2693" s="52"/>
      <c r="DH2693" s="52"/>
    </row>
    <row r="2694" ht="15.75" customHeight="1">
      <c r="DG2694" s="52"/>
      <c r="DH2694" s="52"/>
    </row>
    <row r="2695" ht="15.75" customHeight="1">
      <c r="DG2695" s="52"/>
      <c r="DH2695" s="52"/>
    </row>
    <row r="2696" ht="15.75" customHeight="1">
      <c r="DG2696" s="52"/>
      <c r="DH2696" s="52"/>
    </row>
    <row r="2697" ht="15.75" customHeight="1">
      <c r="DG2697" s="52"/>
      <c r="DH2697" s="52"/>
    </row>
    <row r="2698" ht="15.75" customHeight="1">
      <c r="DG2698" s="52"/>
      <c r="DH2698" s="52"/>
    </row>
    <row r="2699" ht="15.75" customHeight="1">
      <c r="DG2699" s="52"/>
      <c r="DH2699" s="52"/>
    </row>
    <row r="2700" ht="15.75" customHeight="1">
      <c r="DG2700" s="52"/>
      <c r="DH2700" s="52"/>
    </row>
    <row r="2701" ht="15.75" customHeight="1">
      <c r="DG2701" s="52"/>
      <c r="DH2701" s="52"/>
    </row>
    <row r="2702" ht="15.75" customHeight="1">
      <c r="DG2702" s="52"/>
      <c r="DH2702" s="52"/>
    </row>
    <row r="2703" ht="15.75" customHeight="1">
      <c r="DG2703" s="52"/>
      <c r="DH2703" s="52"/>
    </row>
    <row r="2704" ht="15.75" customHeight="1">
      <c r="DG2704" s="52"/>
      <c r="DH2704" s="52"/>
    </row>
    <row r="2705" ht="15.75" customHeight="1">
      <c r="DG2705" s="52"/>
      <c r="DH2705" s="52"/>
    </row>
    <row r="2706" ht="15.75" customHeight="1">
      <c r="DG2706" s="52"/>
      <c r="DH2706" s="52"/>
    </row>
    <row r="2707" ht="15.75" customHeight="1">
      <c r="DG2707" s="52"/>
      <c r="DH2707" s="52"/>
    </row>
    <row r="2708" ht="15.75" customHeight="1">
      <c r="DG2708" s="52"/>
      <c r="DH2708" s="52"/>
    </row>
    <row r="2709" ht="15.75" customHeight="1">
      <c r="DG2709" s="52"/>
      <c r="DH2709" s="52"/>
    </row>
    <row r="2710" ht="15.75" customHeight="1">
      <c r="DG2710" s="52"/>
      <c r="DH2710" s="52"/>
    </row>
    <row r="2711" ht="15.75" customHeight="1">
      <c r="DG2711" s="52"/>
      <c r="DH2711" s="52"/>
    </row>
    <row r="2712" ht="15.75" customHeight="1">
      <c r="DG2712" s="52"/>
      <c r="DH2712" s="52"/>
    </row>
    <row r="2713" ht="15.75" customHeight="1">
      <c r="DG2713" s="52"/>
      <c r="DH2713" s="52"/>
    </row>
    <row r="2714" ht="15.75" customHeight="1">
      <c r="DG2714" s="52"/>
      <c r="DH2714" s="52"/>
    </row>
    <row r="2715" ht="15.75" customHeight="1">
      <c r="DG2715" s="52"/>
      <c r="DH2715" s="52"/>
    </row>
    <row r="2716" ht="15.75" customHeight="1">
      <c r="DG2716" s="52"/>
      <c r="DH2716" s="52"/>
    </row>
    <row r="2717" ht="15.75" customHeight="1">
      <c r="DG2717" s="52"/>
      <c r="DH2717" s="52"/>
    </row>
    <row r="2718" ht="15.75" customHeight="1">
      <c r="DG2718" s="52"/>
      <c r="DH2718" s="52"/>
    </row>
    <row r="2719" ht="15.75" customHeight="1">
      <c r="DG2719" s="52"/>
      <c r="DH2719" s="52"/>
    </row>
    <row r="2720" ht="15.75" customHeight="1">
      <c r="DG2720" s="52"/>
      <c r="DH2720" s="52"/>
    </row>
    <row r="2721" ht="15.75" customHeight="1">
      <c r="DG2721" s="52"/>
      <c r="DH2721" s="52"/>
    </row>
    <row r="2722" ht="15.75" customHeight="1">
      <c r="DG2722" s="52"/>
      <c r="DH2722" s="52"/>
    </row>
    <row r="2723" ht="15.75" customHeight="1">
      <c r="DG2723" s="52"/>
      <c r="DH2723" s="52"/>
    </row>
    <row r="2724" ht="15.75" customHeight="1">
      <c r="DG2724" s="52"/>
      <c r="DH2724" s="52"/>
    </row>
    <row r="2725" ht="15.75" customHeight="1">
      <c r="DG2725" s="52"/>
      <c r="DH2725" s="52"/>
    </row>
    <row r="2726" ht="15.75" customHeight="1">
      <c r="DG2726" s="52"/>
      <c r="DH2726" s="52"/>
    </row>
    <row r="2727" ht="15.75" customHeight="1">
      <c r="DG2727" s="52"/>
      <c r="DH2727" s="52"/>
    </row>
    <row r="2728" ht="15.75" customHeight="1">
      <c r="DG2728" s="52"/>
      <c r="DH2728" s="52"/>
    </row>
    <row r="2729" ht="15.75" customHeight="1">
      <c r="DG2729" s="52"/>
      <c r="DH2729" s="52"/>
    </row>
    <row r="2730" ht="15.75" customHeight="1">
      <c r="DG2730" s="52"/>
      <c r="DH2730" s="52"/>
    </row>
    <row r="2731" ht="15.75" customHeight="1">
      <c r="DG2731" s="52"/>
      <c r="DH2731" s="52"/>
    </row>
    <row r="2732" ht="15.75" customHeight="1">
      <c r="DG2732" s="52"/>
      <c r="DH2732" s="52"/>
    </row>
    <row r="2733" ht="15.75" customHeight="1">
      <c r="DG2733" s="52"/>
      <c r="DH2733" s="52"/>
    </row>
    <row r="2734" ht="15.75" customHeight="1">
      <c r="DG2734" s="52"/>
      <c r="DH2734" s="52"/>
    </row>
    <row r="2735" ht="15.75" customHeight="1">
      <c r="DG2735" s="52"/>
      <c r="DH2735" s="52"/>
    </row>
    <row r="2736" ht="15.75" customHeight="1">
      <c r="DG2736" s="52"/>
      <c r="DH2736" s="52"/>
    </row>
    <row r="2737" ht="15.75" customHeight="1">
      <c r="DG2737" s="52"/>
      <c r="DH2737" s="52"/>
    </row>
    <row r="2738" ht="15.75" customHeight="1">
      <c r="DG2738" s="52"/>
      <c r="DH2738" s="52"/>
    </row>
    <row r="2739" ht="15.75" customHeight="1">
      <c r="DG2739" s="52"/>
      <c r="DH2739" s="52"/>
    </row>
    <row r="2740" ht="15.75" customHeight="1">
      <c r="DG2740" s="52"/>
      <c r="DH2740" s="52"/>
    </row>
    <row r="2741" ht="15.75" customHeight="1">
      <c r="DG2741" s="52"/>
      <c r="DH2741" s="52"/>
    </row>
    <row r="2742" ht="15.75" customHeight="1">
      <c r="DG2742" s="52"/>
      <c r="DH2742" s="52"/>
    </row>
    <row r="2743" ht="15.75" customHeight="1">
      <c r="DG2743" s="52"/>
      <c r="DH2743" s="52"/>
    </row>
    <row r="2744" ht="15.75" customHeight="1">
      <c r="DG2744" s="52"/>
      <c r="DH2744" s="52"/>
    </row>
    <row r="2745" ht="15.75" customHeight="1">
      <c r="DG2745" s="52"/>
      <c r="DH2745" s="52"/>
    </row>
    <row r="2746" ht="15.75" customHeight="1">
      <c r="DG2746" s="52"/>
      <c r="DH2746" s="52"/>
    </row>
    <row r="2747" ht="15.75" customHeight="1">
      <c r="DG2747" s="52"/>
      <c r="DH2747" s="52"/>
    </row>
    <row r="2748" ht="15.75" customHeight="1">
      <c r="DG2748" s="52"/>
      <c r="DH2748" s="52"/>
    </row>
    <row r="2749" ht="15.75" customHeight="1">
      <c r="DG2749" s="52"/>
      <c r="DH2749" s="52"/>
    </row>
    <row r="2750" ht="15.75" customHeight="1">
      <c r="DG2750" s="52"/>
      <c r="DH2750" s="52"/>
    </row>
    <row r="2751" ht="15.75" customHeight="1">
      <c r="DG2751" s="52"/>
      <c r="DH2751" s="52"/>
    </row>
    <row r="2752" ht="15.75" customHeight="1">
      <c r="DG2752" s="52"/>
      <c r="DH2752" s="52"/>
    </row>
    <row r="2753" ht="15.75" customHeight="1">
      <c r="DG2753" s="52"/>
      <c r="DH2753" s="52"/>
    </row>
    <row r="2754" ht="15.75" customHeight="1">
      <c r="DG2754" s="52"/>
      <c r="DH2754" s="52"/>
    </row>
    <row r="2755" ht="15.75" customHeight="1">
      <c r="DG2755" s="52"/>
      <c r="DH2755" s="52"/>
    </row>
    <row r="2756" ht="15.75" customHeight="1">
      <c r="DG2756" s="52"/>
      <c r="DH2756" s="52"/>
    </row>
    <row r="2757" ht="15.75" customHeight="1">
      <c r="DG2757" s="52"/>
      <c r="DH2757" s="52"/>
    </row>
    <row r="2758" ht="15.75" customHeight="1">
      <c r="DG2758" s="52"/>
      <c r="DH2758" s="52"/>
    </row>
    <row r="2759" ht="15.75" customHeight="1">
      <c r="DG2759" s="52"/>
      <c r="DH2759" s="52"/>
    </row>
    <row r="2760" ht="15.75" customHeight="1">
      <c r="DG2760" s="52"/>
      <c r="DH2760" s="52"/>
    </row>
    <row r="2761" ht="15.75" customHeight="1">
      <c r="DG2761" s="52"/>
      <c r="DH2761" s="52"/>
    </row>
    <row r="2762" ht="15.75" customHeight="1">
      <c r="DG2762" s="52"/>
      <c r="DH2762" s="52"/>
    </row>
    <row r="2763" ht="15.75" customHeight="1">
      <c r="DG2763" s="52"/>
      <c r="DH2763" s="52"/>
    </row>
    <row r="2764" ht="15.75" customHeight="1">
      <c r="DG2764" s="52"/>
      <c r="DH2764" s="52"/>
    </row>
    <row r="2765" ht="15.75" customHeight="1">
      <c r="DG2765" s="52"/>
      <c r="DH2765" s="52"/>
    </row>
    <row r="2766" ht="15.75" customHeight="1">
      <c r="DG2766" s="52"/>
      <c r="DH2766" s="52"/>
    </row>
    <row r="2767" ht="15.75" customHeight="1">
      <c r="DG2767" s="52"/>
      <c r="DH2767" s="52"/>
    </row>
    <row r="2768" ht="15.75" customHeight="1">
      <c r="DG2768" s="52"/>
      <c r="DH2768" s="52"/>
    </row>
    <row r="2769" ht="15.75" customHeight="1">
      <c r="DG2769" s="52"/>
      <c r="DH2769" s="52"/>
    </row>
    <row r="2770" ht="15.75" customHeight="1">
      <c r="DG2770" s="52"/>
      <c r="DH2770" s="52"/>
    </row>
    <row r="2771" ht="15.75" customHeight="1">
      <c r="DG2771" s="52"/>
      <c r="DH2771" s="52"/>
    </row>
    <row r="2772" ht="15.75" customHeight="1">
      <c r="DG2772" s="52"/>
      <c r="DH2772" s="52"/>
    </row>
    <row r="2773" ht="15.75" customHeight="1">
      <c r="DG2773" s="52"/>
      <c r="DH2773" s="52"/>
    </row>
    <row r="2774" ht="15.75" customHeight="1">
      <c r="DG2774" s="52"/>
      <c r="DH2774" s="52"/>
    </row>
    <row r="2775" ht="15.75" customHeight="1">
      <c r="DG2775" s="52"/>
      <c r="DH2775" s="52"/>
    </row>
    <row r="2776" ht="15.75" customHeight="1">
      <c r="DG2776" s="52"/>
      <c r="DH2776" s="52"/>
    </row>
    <row r="2777" ht="15.75" customHeight="1">
      <c r="DG2777" s="52"/>
      <c r="DH2777" s="52"/>
    </row>
    <row r="2778" ht="15.75" customHeight="1">
      <c r="DG2778" s="52"/>
      <c r="DH2778" s="52"/>
    </row>
    <row r="2779" ht="15.75" customHeight="1">
      <c r="DG2779" s="52"/>
      <c r="DH2779" s="52"/>
    </row>
    <row r="2780" ht="15.75" customHeight="1">
      <c r="DG2780" s="52"/>
      <c r="DH2780" s="52"/>
    </row>
    <row r="2781" ht="15.75" customHeight="1">
      <c r="DG2781" s="52"/>
      <c r="DH2781" s="52"/>
    </row>
    <row r="2782" ht="15.75" customHeight="1">
      <c r="DG2782" s="52"/>
      <c r="DH2782" s="52"/>
    </row>
    <row r="2783" ht="15.75" customHeight="1">
      <c r="DG2783" s="52"/>
      <c r="DH2783" s="52"/>
    </row>
    <row r="2784" ht="15.75" customHeight="1">
      <c r="DG2784" s="52"/>
      <c r="DH2784" s="52"/>
    </row>
    <row r="2785" ht="15.75" customHeight="1">
      <c r="DG2785" s="52"/>
      <c r="DH2785" s="52"/>
    </row>
    <row r="2786" ht="15.75" customHeight="1">
      <c r="DG2786" s="52"/>
      <c r="DH2786" s="52"/>
    </row>
    <row r="2787" ht="15.75" customHeight="1">
      <c r="DG2787" s="52"/>
      <c r="DH2787" s="52"/>
    </row>
    <row r="2788" ht="15.75" customHeight="1">
      <c r="DG2788" s="52"/>
      <c r="DH2788" s="52"/>
    </row>
    <row r="2789" ht="15.75" customHeight="1">
      <c r="DG2789" s="52"/>
      <c r="DH2789" s="52"/>
    </row>
    <row r="2790" ht="15.75" customHeight="1">
      <c r="DG2790" s="52"/>
      <c r="DH2790" s="52"/>
    </row>
    <row r="2791" ht="15.75" customHeight="1">
      <c r="DG2791" s="52"/>
      <c r="DH2791" s="52"/>
    </row>
    <row r="2792" ht="15.75" customHeight="1">
      <c r="DG2792" s="52"/>
      <c r="DH2792" s="52"/>
    </row>
    <row r="2793" ht="15.75" customHeight="1">
      <c r="DG2793" s="52"/>
      <c r="DH2793" s="52"/>
    </row>
    <row r="2794" ht="15.75" customHeight="1">
      <c r="DG2794" s="52"/>
      <c r="DH2794" s="52"/>
    </row>
    <row r="2795" ht="15.75" customHeight="1">
      <c r="DG2795" s="52"/>
      <c r="DH2795" s="52"/>
    </row>
    <row r="2796" ht="15.75" customHeight="1">
      <c r="DG2796" s="52"/>
      <c r="DH2796" s="52"/>
    </row>
    <row r="2797" ht="15.75" customHeight="1">
      <c r="DG2797" s="52"/>
      <c r="DH2797" s="52"/>
    </row>
    <row r="2798" ht="15.75" customHeight="1">
      <c r="DG2798" s="52"/>
      <c r="DH2798" s="52"/>
    </row>
    <row r="2799" ht="15.75" customHeight="1">
      <c r="DG2799" s="52"/>
      <c r="DH2799" s="52"/>
    </row>
    <row r="2800" ht="15.75" customHeight="1">
      <c r="DG2800" s="52"/>
      <c r="DH2800" s="52"/>
    </row>
    <row r="2801" ht="15.75" customHeight="1">
      <c r="DG2801" s="52"/>
      <c r="DH2801" s="52"/>
    </row>
    <row r="2802" ht="15.75" customHeight="1">
      <c r="DG2802" s="52"/>
      <c r="DH2802" s="52"/>
    </row>
    <row r="2803" ht="15.75" customHeight="1">
      <c r="DG2803" s="52"/>
      <c r="DH2803" s="52"/>
    </row>
    <row r="2804" ht="15.75" customHeight="1">
      <c r="DG2804" s="52"/>
      <c r="DH2804" s="52"/>
    </row>
    <row r="2805" ht="15.75" customHeight="1">
      <c r="DG2805" s="52"/>
      <c r="DH2805" s="52"/>
    </row>
    <row r="2806" ht="15.75" customHeight="1">
      <c r="DG2806" s="52"/>
      <c r="DH2806" s="52"/>
    </row>
    <row r="2807" ht="15.75" customHeight="1">
      <c r="DG2807" s="52"/>
      <c r="DH2807" s="52"/>
    </row>
    <row r="2808" ht="15.75" customHeight="1">
      <c r="DG2808" s="52"/>
      <c r="DH2808" s="52"/>
    </row>
    <row r="2809" ht="15.75" customHeight="1">
      <c r="DG2809" s="52"/>
      <c r="DH2809" s="52"/>
    </row>
    <row r="2810" ht="15.75" customHeight="1">
      <c r="DG2810" s="52"/>
      <c r="DH2810" s="52"/>
    </row>
    <row r="2811" ht="15.75" customHeight="1">
      <c r="DG2811" s="52"/>
      <c r="DH2811" s="52"/>
    </row>
    <row r="2812" ht="15.75" customHeight="1">
      <c r="DG2812" s="52"/>
      <c r="DH2812" s="52"/>
    </row>
    <row r="2813" ht="15.75" customHeight="1">
      <c r="DG2813" s="52"/>
      <c r="DH2813" s="52"/>
    </row>
    <row r="2814" ht="15.75" customHeight="1">
      <c r="DG2814" s="52"/>
      <c r="DH2814" s="52"/>
    </row>
    <row r="2815" ht="15.75" customHeight="1">
      <c r="DG2815" s="52"/>
      <c r="DH2815" s="52"/>
    </row>
    <row r="2816" ht="15.75" customHeight="1">
      <c r="DG2816" s="52"/>
      <c r="DH2816" s="52"/>
    </row>
    <row r="2817" ht="15.75" customHeight="1">
      <c r="DG2817" s="52"/>
      <c r="DH2817" s="52"/>
    </row>
    <row r="2818" ht="15.75" customHeight="1">
      <c r="DG2818" s="52"/>
      <c r="DH2818" s="52"/>
    </row>
    <row r="2819" ht="15.75" customHeight="1">
      <c r="DG2819" s="52"/>
      <c r="DH2819" s="52"/>
    </row>
    <row r="2820" ht="15.75" customHeight="1">
      <c r="DG2820" s="52"/>
      <c r="DH2820" s="52"/>
    </row>
    <row r="2821" ht="15.75" customHeight="1">
      <c r="DG2821" s="52"/>
      <c r="DH2821" s="52"/>
    </row>
    <row r="2822" ht="15.75" customHeight="1">
      <c r="DG2822" s="52"/>
      <c r="DH2822" s="52"/>
    </row>
    <row r="2823" ht="15.75" customHeight="1">
      <c r="DG2823" s="52"/>
      <c r="DH2823" s="52"/>
    </row>
    <row r="2824" ht="15.75" customHeight="1">
      <c r="DG2824" s="52"/>
      <c r="DH2824" s="52"/>
    </row>
    <row r="2825" ht="15.75" customHeight="1">
      <c r="DG2825" s="52"/>
      <c r="DH2825" s="52"/>
    </row>
    <row r="2826" ht="15.75" customHeight="1">
      <c r="DG2826" s="52"/>
      <c r="DH2826" s="52"/>
    </row>
    <row r="2827" ht="15.75" customHeight="1">
      <c r="DG2827" s="52"/>
      <c r="DH2827" s="52"/>
    </row>
    <row r="2828" ht="15.75" customHeight="1">
      <c r="DG2828" s="52"/>
      <c r="DH2828" s="52"/>
    </row>
    <row r="2829" ht="15.75" customHeight="1">
      <c r="DG2829" s="52"/>
      <c r="DH2829" s="52"/>
    </row>
    <row r="2830" ht="15.75" customHeight="1">
      <c r="DG2830" s="52"/>
      <c r="DH2830" s="52"/>
    </row>
    <row r="2831" ht="15.75" customHeight="1">
      <c r="DG2831" s="52"/>
      <c r="DH2831" s="52"/>
    </row>
    <row r="2832" ht="15.75" customHeight="1">
      <c r="DG2832" s="52"/>
      <c r="DH2832" s="52"/>
    </row>
    <row r="2833" ht="15.75" customHeight="1">
      <c r="DG2833" s="52"/>
      <c r="DH2833" s="52"/>
    </row>
    <row r="2834" ht="15.75" customHeight="1">
      <c r="DG2834" s="52"/>
      <c r="DH2834" s="52"/>
    </row>
    <row r="2835" ht="15.75" customHeight="1">
      <c r="DG2835" s="52"/>
      <c r="DH2835" s="52"/>
    </row>
    <row r="2836" ht="15.75" customHeight="1">
      <c r="DG2836" s="52"/>
      <c r="DH2836" s="52"/>
    </row>
    <row r="2837" ht="15.75" customHeight="1">
      <c r="DG2837" s="52"/>
      <c r="DH2837" s="52"/>
    </row>
    <row r="2838" ht="15.75" customHeight="1">
      <c r="DG2838" s="52"/>
      <c r="DH2838" s="52"/>
    </row>
    <row r="2839" ht="15.75" customHeight="1">
      <c r="DG2839" s="52"/>
      <c r="DH2839" s="52"/>
    </row>
    <row r="2840" ht="15.75" customHeight="1">
      <c r="DG2840" s="52"/>
      <c r="DH2840" s="52"/>
    </row>
    <row r="2841" ht="15.75" customHeight="1">
      <c r="DG2841" s="52"/>
      <c r="DH2841" s="52"/>
    </row>
    <row r="2842" ht="15.75" customHeight="1">
      <c r="DG2842" s="52"/>
      <c r="DH2842" s="52"/>
    </row>
    <row r="2843" ht="15.75" customHeight="1">
      <c r="DG2843" s="52"/>
      <c r="DH2843" s="52"/>
    </row>
    <row r="2844" ht="15.75" customHeight="1">
      <c r="DG2844" s="52"/>
      <c r="DH2844" s="52"/>
    </row>
    <row r="2845" ht="15.75" customHeight="1">
      <c r="DG2845" s="52"/>
      <c r="DH2845" s="52"/>
    </row>
    <row r="2846" ht="15.75" customHeight="1">
      <c r="DG2846" s="52"/>
      <c r="DH2846" s="52"/>
    </row>
    <row r="2847" ht="15.75" customHeight="1">
      <c r="DG2847" s="52"/>
      <c r="DH2847" s="52"/>
    </row>
    <row r="2848" ht="15.75" customHeight="1">
      <c r="DG2848" s="52"/>
      <c r="DH2848" s="52"/>
    </row>
    <row r="2849" ht="15.75" customHeight="1">
      <c r="DG2849" s="52"/>
      <c r="DH2849" s="52"/>
    </row>
    <row r="2850" ht="15.75" customHeight="1">
      <c r="DG2850" s="52"/>
      <c r="DH2850" s="52"/>
    </row>
    <row r="2851" ht="15.75" customHeight="1">
      <c r="DG2851" s="52"/>
      <c r="DH2851" s="52"/>
    </row>
    <row r="2852" ht="15.75" customHeight="1">
      <c r="DG2852" s="52"/>
      <c r="DH2852" s="52"/>
    </row>
    <row r="2853" ht="15.75" customHeight="1">
      <c r="DG2853" s="52"/>
      <c r="DH2853" s="52"/>
    </row>
    <row r="2854" ht="15.75" customHeight="1">
      <c r="DG2854" s="52"/>
      <c r="DH2854" s="52"/>
    </row>
    <row r="2855" ht="15.75" customHeight="1">
      <c r="DG2855" s="52"/>
      <c r="DH2855" s="52"/>
    </row>
    <row r="2856" ht="15.75" customHeight="1">
      <c r="DG2856" s="52"/>
      <c r="DH2856" s="52"/>
    </row>
    <row r="2857" ht="15.75" customHeight="1">
      <c r="DG2857" s="52"/>
      <c r="DH2857" s="52"/>
    </row>
    <row r="2858" ht="15.75" customHeight="1">
      <c r="DG2858" s="52"/>
      <c r="DH2858" s="52"/>
    </row>
    <row r="2859" ht="15.75" customHeight="1">
      <c r="DG2859" s="52"/>
      <c r="DH2859" s="52"/>
    </row>
    <row r="2860" ht="15.75" customHeight="1">
      <c r="DG2860" s="52"/>
      <c r="DH2860" s="52"/>
    </row>
    <row r="2861" ht="15.75" customHeight="1">
      <c r="DG2861" s="52"/>
      <c r="DH2861" s="52"/>
    </row>
    <row r="2862" ht="15.75" customHeight="1">
      <c r="DG2862" s="52"/>
      <c r="DH2862" s="52"/>
    </row>
    <row r="2863" ht="15.75" customHeight="1">
      <c r="DG2863" s="52"/>
      <c r="DH2863" s="52"/>
    </row>
    <row r="2864" ht="15.75" customHeight="1">
      <c r="DG2864" s="52"/>
      <c r="DH2864" s="52"/>
    </row>
    <row r="2865" ht="15.75" customHeight="1">
      <c r="DG2865" s="52"/>
      <c r="DH2865" s="52"/>
    </row>
    <row r="2866" ht="15.75" customHeight="1">
      <c r="DG2866" s="52"/>
      <c r="DH2866" s="52"/>
    </row>
    <row r="2867" ht="15.75" customHeight="1">
      <c r="DG2867" s="52"/>
      <c r="DH2867" s="52"/>
    </row>
    <row r="2868" ht="15.75" customHeight="1">
      <c r="DG2868" s="52"/>
      <c r="DH2868" s="52"/>
    </row>
    <row r="2869" ht="15.75" customHeight="1">
      <c r="DG2869" s="52"/>
      <c r="DH2869" s="52"/>
    </row>
    <row r="2870" ht="15.75" customHeight="1">
      <c r="DG2870" s="52"/>
      <c r="DH2870" s="52"/>
    </row>
    <row r="2871" ht="15.75" customHeight="1">
      <c r="DG2871" s="52"/>
      <c r="DH2871" s="52"/>
    </row>
    <row r="2872" ht="15.75" customHeight="1">
      <c r="DG2872" s="52"/>
      <c r="DH2872" s="52"/>
    </row>
    <row r="2873" ht="15.75" customHeight="1">
      <c r="DG2873" s="52"/>
      <c r="DH2873" s="52"/>
    </row>
    <row r="2874" ht="15.75" customHeight="1">
      <c r="DG2874" s="52"/>
      <c r="DH2874" s="52"/>
    </row>
    <row r="2875" ht="15.75" customHeight="1">
      <c r="DG2875" s="52"/>
      <c r="DH2875" s="52"/>
    </row>
    <row r="2876" ht="15.75" customHeight="1">
      <c r="DG2876" s="52"/>
      <c r="DH2876" s="52"/>
    </row>
    <row r="2877" ht="15.75" customHeight="1">
      <c r="DG2877" s="52"/>
      <c r="DH2877" s="52"/>
    </row>
    <row r="2878" ht="15.75" customHeight="1">
      <c r="DG2878" s="52"/>
      <c r="DH2878" s="52"/>
    </row>
    <row r="2879" ht="15.75" customHeight="1">
      <c r="DG2879" s="52"/>
      <c r="DH2879" s="52"/>
    </row>
    <row r="2880" ht="15.75" customHeight="1">
      <c r="DG2880" s="52"/>
      <c r="DH2880" s="52"/>
    </row>
    <row r="2881" ht="15.75" customHeight="1">
      <c r="DG2881" s="52"/>
      <c r="DH2881" s="52"/>
    </row>
    <row r="2882" ht="15.75" customHeight="1">
      <c r="DG2882" s="52"/>
      <c r="DH2882" s="52"/>
    </row>
    <row r="2883" ht="15.75" customHeight="1">
      <c r="DG2883" s="52"/>
      <c r="DH2883" s="52"/>
    </row>
    <row r="2884" ht="15.75" customHeight="1">
      <c r="DG2884" s="52"/>
      <c r="DH2884" s="52"/>
    </row>
    <row r="2885" ht="15.75" customHeight="1">
      <c r="DG2885" s="52"/>
      <c r="DH2885" s="52"/>
    </row>
    <row r="2886" ht="15.75" customHeight="1">
      <c r="DG2886" s="52"/>
      <c r="DH2886" s="52"/>
    </row>
    <row r="2887" ht="15.75" customHeight="1">
      <c r="DG2887" s="52"/>
      <c r="DH2887" s="52"/>
    </row>
    <row r="2888" ht="15.75" customHeight="1">
      <c r="DG2888" s="52"/>
      <c r="DH2888" s="52"/>
    </row>
    <row r="2889" ht="15.75" customHeight="1">
      <c r="DG2889" s="52"/>
      <c r="DH2889" s="52"/>
    </row>
    <row r="2890" ht="15.75" customHeight="1">
      <c r="DG2890" s="52"/>
      <c r="DH2890" s="52"/>
    </row>
    <row r="2891" ht="15.75" customHeight="1">
      <c r="DG2891" s="52"/>
      <c r="DH2891" s="52"/>
    </row>
    <row r="2892" ht="15.75" customHeight="1">
      <c r="DG2892" s="52"/>
      <c r="DH2892" s="52"/>
    </row>
    <row r="2893" ht="15.75" customHeight="1">
      <c r="DG2893" s="52"/>
      <c r="DH2893" s="52"/>
    </row>
    <row r="2894" ht="15.75" customHeight="1">
      <c r="DG2894" s="52"/>
      <c r="DH2894" s="52"/>
    </row>
    <row r="2895" ht="15.75" customHeight="1">
      <c r="DG2895" s="52"/>
      <c r="DH2895" s="52"/>
    </row>
    <row r="2896" ht="15.75" customHeight="1">
      <c r="DG2896" s="52"/>
      <c r="DH2896" s="52"/>
    </row>
    <row r="2897" ht="15.75" customHeight="1">
      <c r="DG2897" s="52"/>
      <c r="DH2897" s="52"/>
    </row>
    <row r="2898" ht="15.75" customHeight="1">
      <c r="DG2898" s="52"/>
      <c r="DH2898" s="52"/>
    </row>
    <row r="2899" ht="15.75" customHeight="1">
      <c r="DG2899" s="52"/>
      <c r="DH2899" s="52"/>
    </row>
    <row r="2900" ht="15.75" customHeight="1">
      <c r="DG2900" s="52"/>
      <c r="DH2900" s="52"/>
    </row>
    <row r="2901" ht="15.75" customHeight="1">
      <c r="DG2901" s="52"/>
      <c r="DH2901" s="52"/>
    </row>
    <row r="2902" ht="15.75" customHeight="1">
      <c r="DG2902" s="52"/>
      <c r="DH2902" s="52"/>
    </row>
    <row r="2903" ht="15.75" customHeight="1">
      <c r="DG2903" s="52"/>
      <c r="DH2903" s="52"/>
    </row>
    <row r="2904" ht="15.75" customHeight="1">
      <c r="DG2904" s="52"/>
      <c r="DH2904" s="52"/>
    </row>
    <row r="2905" ht="15.75" customHeight="1">
      <c r="DG2905" s="52"/>
      <c r="DH2905" s="52"/>
    </row>
    <row r="2906" ht="15.75" customHeight="1">
      <c r="DG2906" s="52"/>
      <c r="DH2906" s="52"/>
    </row>
    <row r="2907" ht="15.75" customHeight="1">
      <c r="DG2907" s="52"/>
      <c r="DH2907" s="52"/>
    </row>
    <row r="2908" ht="15.75" customHeight="1">
      <c r="DG2908" s="52"/>
      <c r="DH2908" s="52"/>
    </row>
    <row r="2909" ht="15.75" customHeight="1">
      <c r="DG2909" s="52"/>
      <c r="DH2909" s="52"/>
    </row>
    <row r="2910" ht="15.75" customHeight="1">
      <c r="DG2910" s="52"/>
      <c r="DH2910" s="52"/>
    </row>
    <row r="2911" ht="15.75" customHeight="1">
      <c r="DG2911" s="52"/>
      <c r="DH2911" s="52"/>
    </row>
    <row r="2912" ht="15.75" customHeight="1">
      <c r="DG2912" s="52"/>
      <c r="DH2912" s="52"/>
    </row>
    <row r="2913" ht="15.75" customHeight="1">
      <c r="DG2913" s="52"/>
      <c r="DH2913" s="52"/>
    </row>
    <row r="2914" ht="15.75" customHeight="1">
      <c r="DG2914" s="52"/>
      <c r="DH2914" s="52"/>
    </row>
    <row r="2915" ht="15.75" customHeight="1">
      <c r="DG2915" s="52"/>
      <c r="DH2915" s="52"/>
    </row>
    <row r="2916" ht="15.75" customHeight="1">
      <c r="DG2916" s="52"/>
      <c r="DH2916" s="52"/>
    </row>
    <row r="2917" ht="15.75" customHeight="1">
      <c r="DG2917" s="52"/>
      <c r="DH2917" s="52"/>
    </row>
    <row r="2918" ht="15.75" customHeight="1">
      <c r="DG2918" s="52"/>
      <c r="DH2918" s="52"/>
    </row>
    <row r="2919" ht="15.75" customHeight="1">
      <c r="DG2919" s="52"/>
      <c r="DH2919" s="52"/>
    </row>
    <row r="2920" ht="15.75" customHeight="1">
      <c r="DG2920" s="52"/>
      <c r="DH2920" s="52"/>
    </row>
    <row r="2921" ht="15.75" customHeight="1">
      <c r="DG2921" s="52"/>
      <c r="DH2921" s="52"/>
    </row>
    <row r="2922" ht="15.75" customHeight="1">
      <c r="DG2922" s="52"/>
      <c r="DH2922" s="52"/>
    </row>
    <row r="2923" ht="15.75" customHeight="1">
      <c r="DG2923" s="52"/>
      <c r="DH2923" s="52"/>
    </row>
    <row r="2924" ht="15.75" customHeight="1">
      <c r="DG2924" s="52"/>
      <c r="DH2924" s="52"/>
    </row>
    <row r="2925" ht="15.75" customHeight="1">
      <c r="DG2925" s="52"/>
      <c r="DH2925" s="52"/>
    </row>
    <row r="2926" ht="15.75" customHeight="1">
      <c r="DG2926" s="52"/>
      <c r="DH2926" s="52"/>
    </row>
    <row r="2927" ht="15.75" customHeight="1">
      <c r="DG2927" s="52"/>
      <c r="DH2927" s="52"/>
    </row>
    <row r="2928" ht="15.75" customHeight="1">
      <c r="DG2928" s="52"/>
      <c r="DH2928" s="52"/>
    </row>
    <row r="2929" ht="15.75" customHeight="1">
      <c r="DG2929" s="52"/>
      <c r="DH2929" s="52"/>
    </row>
    <row r="2930" ht="15.75" customHeight="1">
      <c r="DG2930" s="52"/>
      <c r="DH2930" s="52"/>
    </row>
    <row r="2931" ht="15.75" customHeight="1">
      <c r="DG2931" s="52"/>
      <c r="DH2931" s="52"/>
    </row>
    <row r="2932" ht="15.75" customHeight="1">
      <c r="DG2932" s="52"/>
      <c r="DH2932" s="52"/>
    </row>
    <row r="2933" ht="15.75" customHeight="1">
      <c r="DG2933" s="52"/>
      <c r="DH2933" s="52"/>
    </row>
    <row r="2934" ht="15.75" customHeight="1">
      <c r="DG2934" s="52"/>
      <c r="DH2934" s="52"/>
    </row>
    <row r="2935" ht="15.75" customHeight="1">
      <c r="DG2935" s="52"/>
      <c r="DH2935" s="52"/>
    </row>
    <row r="2936" ht="15.75" customHeight="1">
      <c r="DG2936" s="52"/>
      <c r="DH2936" s="52"/>
    </row>
    <row r="2937" ht="15.75" customHeight="1">
      <c r="DG2937" s="52"/>
      <c r="DH2937" s="52"/>
    </row>
    <row r="2938" ht="15.75" customHeight="1">
      <c r="DG2938" s="52"/>
      <c r="DH2938" s="52"/>
    </row>
    <row r="2939" ht="15.75" customHeight="1">
      <c r="DG2939" s="52"/>
      <c r="DH2939" s="52"/>
    </row>
    <row r="2940" ht="15.75" customHeight="1">
      <c r="DG2940" s="52"/>
      <c r="DH2940" s="52"/>
    </row>
    <row r="2941" ht="15.75" customHeight="1">
      <c r="DG2941" s="52"/>
      <c r="DH2941" s="52"/>
    </row>
    <row r="2942" ht="15.75" customHeight="1">
      <c r="DG2942" s="52"/>
      <c r="DH2942" s="52"/>
    </row>
    <row r="2943" ht="15.75" customHeight="1">
      <c r="DG2943" s="52"/>
      <c r="DH2943" s="52"/>
    </row>
    <row r="2944" ht="15.75" customHeight="1">
      <c r="DG2944" s="52"/>
      <c r="DH2944" s="52"/>
    </row>
    <row r="2945" ht="15.75" customHeight="1">
      <c r="DG2945" s="52"/>
      <c r="DH2945" s="52"/>
    </row>
    <row r="2946" ht="15.75" customHeight="1">
      <c r="DG2946" s="52"/>
      <c r="DH2946" s="52"/>
    </row>
    <row r="2947" ht="15.75" customHeight="1">
      <c r="DG2947" s="52"/>
      <c r="DH2947" s="52"/>
    </row>
    <row r="2948" ht="15.75" customHeight="1">
      <c r="DG2948" s="52"/>
      <c r="DH2948" s="52"/>
    </row>
    <row r="2949" ht="15.75" customHeight="1">
      <c r="DG2949" s="52"/>
      <c r="DH2949" s="52"/>
    </row>
    <row r="2950" ht="15.75" customHeight="1">
      <c r="DG2950" s="52"/>
      <c r="DH2950" s="52"/>
    </row>
    <row r="2951" ht="15.75" customHeight="1">
      <c r="DG2951" s="52"/>
      <c r="DH2951" s="52"/>
    </row>
    <row r="2952" ht="15.75" customHeight="1">
      <c r="DG2952" s="52"/>
      <c r="DH2952" s="52"/>
    </row>
    <row r="2953" ht="15.75" customHeight="1">
      <c r="DG2953" s="52"/>
      <c r="DH2953" s="52"/>
    </row>
    <row r="2954" ht="15.75" customHeight="1">
      <c r="DG2954" s="52"/>
      <c r="DH2954" s="52"/>
    </row>
    <row r="2955" ht="15.75" customHeight="1">
      <c r="DG2955" s="52"/>
      <c r="DH2955" s="52"/>
    </row>
    <row r="2956" ht="15.75" customHeight="1">
      <c r="DG2956" s="52"/>
      <c r="DH2956" s="52"/>
    </row>
    <row r="2957" ht="15.75" customHeight="1">
      <c r="DG2957" s="52"/>
      <c r="DH2957" s="52"/>
    </row>
    <row r="2958" ht="15.75" customHeight="1">
      <c r="DG2958" s="52"/>
      <c r="DH2958" s="52"/>
    </row>
    <row r="2959" ht="15.75" customHeight="1">
      <c r="DG2959" s="52"/>
      <c r="DH2959" s="52"/>
    </row>
    <row r="2960" ht="15.75" customHeight="1">
      <c r="DG2960" s="52"/>
      <c r="DH2960" s="52"/>
    </row>
    <row r="2961" ht="15.75" customHeight="1">
      <c r="DG2961" s="52"/>
      <c r="DH2961" s="52"/>
    </row>
    <row r="2962" ht="15.75" customHeight="1">
      <c r="DG2962" s="52"/>
      <c r="DH2962" s="52"/>
    </row>
    <row r="2963" ht="15.75" customHeight="1">
      <c r="DG2963" s="52"/>
      <c r="DH2963" s="52"/>
    </row>
    <row r="2964" ht="15.75" customHeight="1">
      <c r="DG2964" s="52"/>
      <c r="DH2964" s="52"/>
    </row>
    <row r="2965" ht="15.75" customHeight="1">
      <c r="DG2965" s="52"/>
      <c r="DH2965" s="52"/>
    </row>
    <row r="2966" ht="15.75" customHeight="1">
      <c r="DG2966" s="52"/>
      <c r="DH2966" s="52"/>
    </row>
    <row r="2967" ht="15.75" customHeight="1">
      <c r="DG2967" s="52"/>
      <c r="DH2967" s="52"/>
    </row>
    <row r="2968" ht="15.75" customHeight="1">
      <c r="DG2968" s="52"/>
      <c r="DH2968" s="52"/>
    </row>
    <row r="2969" ht="15.75" customHeight="1">
      <c r="DG2969" s="52"/>
      <c r="DH2969" s="52"/>
    </row>
    <row r="2970" ht="15.75" customHeight="1">
      <c r="DG2970" s="52"/>
      <c r="DH2970" s="52"/>
    </row>
    <row r="2971" ht="15.75" customHeight="1">
      <c r="DG2971" s="52"/>
      <c r="DH2971" s="52"/>
    </row>
    <row r="2972" ht="15.75" customHeight="1">
      <c r="DG2972" s="52"/>
      <c r="DH2972" s="52"/>
    </row>
    <row r="2973" ht="15.75" customHeight="1">
      <c r="DG2973" s="52"/>
      <c r="DH2973" s="52"/>
    </row>
    <row r="2974" ht="15.75" customHeight="1">
      <c r="DG2974" s="52"/>
      <c r="DH2974" s="52"/>
    </row>
    <row r="2975" ht="15.75" customHeight="1">
      <c r="DG2975" s="52"/>
      <c r="DH2975" s="52"/>
    </row>
    <row r="2976" ht="15.75" customHeight="1">
      <c r="DG2976" s="52"/>
      <c r="DH2976" s="52"/>
    </row>
    <row r="2977" ht="15.75" customHeight="1">
      <c r="DG2977" s="52"/>
      <c r="DH2977" s="52"/>
    </row>
    <row r="2978" ht="15.75" customHeight="1">
      <c r="DG2978" s="52"/>
      <c r="DH2978" s="52"/>
    </row>
    <row r="2979" ht="15.75" customHeight="1">
      <c r="DG2979" s="52"/>
      <c r="DH2979" s="52"/>
    </row>
    <row r="2980" ht="15.75" customHeight="1">
      <c r="DG2980" s="52"/>
      <c r="DH2980" s="52"/>
    </row>
    <row r="2981" ht="15.75" customHeight="1">
      <c r="DG2981" s="52"/>
      <c r="DH2981" s="52"/>
    </row>
    <row r="2982" ht="15.75" customHeight="1">
      <c r="DG2982" s="52"/>
      <c r="DH2982" s="52"/>
    </row>
    <row r="2983" ht="15.75" customHeight="1">
      <c r="DG2983" s="52"/>
      <c r="DH2983" s="52"/>
    </row>
    <row r="2984" ht="15.75" customHeight="1">
      <c r="DG2984" s="52"/>
      <c r="DH2984" s="52"/>
    </row>
    <row r="2985" ht="15.75" customHeight="1">
      <c r="DG2985" s="52"/>
      <c r="DH2985" s="52"/>
    </row>
    <row r="2986" ht="15.75" customHeight="1">
      <c r="DG2986" s="52"/>
      <c r="DH2986" s="52"/>
    </row>
    <row r="2987" ht="15.75" customHeight="1">
      <c r="DG2987" s="52"/>
      <c r="DH2987" s="52"/>
    </row>
    <row r="2988" ht="15.75" customHeight="1">
      <c r="DG2988" s="52"/>
      <c r="DH2988" s="52"/>
    </row>
    <row r="2989" ht="15.75" customHeight="1">
      <c r="DG2989" s="52"/>
      <c r="DH2989" s="52"/>
    </row>
    <row r="2990" ht="15.75" customHeight="1">
      <c r="DG2990" s="52"/>
      <c r="DH2990" s="52"/>
    </row>
    <row r="2991" ht="15.75" customHeight="1">
      <c r="DG2991" s="52"/>
      <c r="DH2991" s="52"/>
    </row>
    <row r="2992" ht="15.75" customHeight="1">
      <c r="DG2992" s="52"/>
      <c r="DH2992" s="52"/>
    </row>
    <row r="2993" ht="15.75" customHeight="1">
      <c r="DG2993" s="52"/>
      <c r="DH2993" s="52"/>
    </row>
    <row r="2994" ht="15.75" customHeight="1">
      <c r="DG2994" s="52"/>
      <c r="DH2994" s="52"/>
    </row>
    <row r="2995" ht="15.75" customHeight="1">
      <c r="DG2995" s="52"/>
      <c r="DH2995" s="52"/>
    </row>
    <row r="2996" ht="15.75" customHeight="1">
      <c r="DG2996" s="52"/>
      <c r="DH2996" s="52"/>
    </row>
    <row r="2997" ht="15.75" customHeight="1">
      <c r="DG2997" s="52"/>
      <c r="DH2997" s="52"/>
    </row>
    <row r="2998" ht="15.75" customHeight="1">
      <c r="DG2998" s="52"/>
      <c r="DH2998" s="52"/>
    </row>
    <row r="2999" ht="15.75" customHeight="1">
      <c r="DG2999" s="52"/>
      <c r="DH2999" s="52"/>
    </row>
    <row r="3000" ht="15.75" customHeight="1">
      <c r="DG3000" s="52"/>
      <c r="DH3000" s="52"/>
    </row>
    <row r="3001" ht="15.75" customHeight="1">
      <c r="DG3001" s="52"/>
      <c r="DH3001" s="52"/>
    </row>
    <row r="3002" ht="15.75" customHeight="1">
      <c r="DG3002" s="52"/>
      <c r="DH3002" s="52"/>
    </row>
    <row r="3003" ht="15.75" customHeight="1">
      <c r="DG3003" s="52"/>
      <c r="DH3003" s="52"/>
    </row>
    <row r="3004" ht="15.75" customHeight="1">
      <c r="DG3004" s="52"/>
      <c r="DH3004" s="52"/>
    </row>
    <row r="3005" ht="15.75" customHeight="1">
      <c r="DG3005" s="52"/>
      <c r="DH3005" s="52"/>
    </row>
    <row r="3006" ht="15.75" customHeight="1">
      <c r="DG3006" s="52"/>
      <c r="DH3006" s="52"/>
    </row>
    <row r="3007" ht="15.75" customHeight="1">
      <c r="DG3007" s="52"/>
      <c r="DH3007" s="52"/>
    </row>
    <row r="3008" ht="15.75" customHeight="1">
      <c r="DG3008" s="52"/>
      <c r="DH3008" s="52"/>
    </row>
    <row r="3009" ht="15.75" customHeight="1">
      <c r="DG3009" s="52"/>
      <c r="DH3009" s="52"/>
    </row>
    <row r="3010" ht="15.75" customHeight="1">
      <c r="DG3010" s="52"/>
      <c r="DH3010" s="52"/>
    </row>
    <row r="3011" ht="15.75" customHeight="1">
      <c r="DG3011" s="52"/>
      <c r="DH3011" s="52"/>
    </row>
    <row r="3012" ht="15.75" customHeight="1">
      <c r="DG3012" s="52"/>
      <c r="DH3012" s="52"/>
    </row>
    <row r="3013" ht="15.75" customHeight="1">
      <c r="DG3013" s="52"/>
      <c r="DH3013" s="52"/>
    </row>
    <row r="3014" ht="15.75" customHeight="1">
      <c r="DG3014" s="52"/>
      <c r="DH3014" s="52"/>
    </row>
    <row r="3015" ht="15.75" customHeight="1">
      <c r="DG3015" s="52"/>
      <c r="DH3015" s="52"/>
    </row>
    <row r="3016" ht="15.75" customHeight="1">
      <c r="DG3016" s="52"/>
      <c r="DH3016" s="52"/>
    </row>
    <row r="3017" ht="15.75" customHeight="1">
      <c r="DG3017" s="52"/>
      <c r="DH3017" s="52"/>
    </row>
    <row r="3018" ht="15.75" customHeight="1">
      <c r="DG3018" s="52"/>
      <c r="DH3018" s="52"/>
    </row>
    <row r="3019" ht="15.75" customHeight="1">
      <c r="DG3019" s="52"/>
      <c r="DH3019" s="52"/>
    </row>
    <row r="3020" ht="15.75" customHeight="1">
      <c r="DG3020" s="52"/>
      <c r="DH3020" s="52"/>
    </row>
    <row r="3021" ht="15.75" customHeight="1">
      <c r="DG3021" s="52"/>
      <c r="DH3021" s="52"/>
    </row>
    <row r="3022" ht="15.75" customHeight="1">
      <c r="DG3022" s="52"/>
      <c r="DH3022" s="52"/>
    </row>
    <row r="3023" ht="15.75" customHeight="1">
      <c r="DG3023" s="52"/>
      <c r="DH3023" s="52"/>
    </row>
    <row r="3024" ht="15.75" customHeight="1">
      <c r="DG3024" s="52"/>
      <c r="DH3024" s="52"/>
    </row>
    <row r="3025" ht="15.75" customHeight="1">
      <c r="DG3025" s="52"/>
      <c r="DH3025" s="52"/>
    </row>
    <row r="3026" ht="15.75" customHeight="1">
      <c r="DG3026" s="52"/>
      <c r="DH3026" s="52"/>
    </row>
    <row r="3027" ht="15.75" customHeight="1">
      <c r="DG3027" s="52"/>
      <c r="DH3027" s="52"/>
    </row>
    <row r="3028" ht="15.75" customHeight="1">
      <c r="DG3028" s="52"/>
      <c r="DH3028" s="52"/>
    </row>
    <row r="3029" ht="15.75" customHeight="1">
      <c r="DG3029" s="52"/>
      <c r="DH3029" s="52"/>
    </row>
    <row r="3030" ht="15.75" customHeight="1">
      <c r="DG3030" s="52"/>
      <c r="DH3030" s="52"/>
    </row>
    <row r="3031" ht="15.75" customHeight="1">
      <c r="DG3031" s="52"/>
      <c r="DH3031" s="52"/>
    </row>
    <row r="3032" ht="15.75" customHeight="1">
      <c r="DG3032" s="52"/>
      <c r="DH3032" s="52"/>
    </row>
    <row r="3033" ht="15.75" customHeight="1">
      <c r="DG3033" s="52"/>
      <c r="DH3033" s="52"/>
    </row>
    <row r="3034" ht="15.75" customHeight="1">
      <c r="DG3034" s="52"/>
      <c r="DH3034" s="52"/>
    </row>
    <row r="3035" ht="15.75" customHeight="1">
      <c r="DG3035" s="52"/>
      <c r="DH3035" s="52"/>
    </row>
    <row r="3036" ht="15.75" customHeight="1">
      <c r="DG3036" s="52"/>
      <c r="DH3036" s="52"/>
    </row>
    <row r="3037" ht="15.75" customHeight="1">
      <c r="DG3037" s="52"/>
      <c r="DH3037" s="52"/>
    </row>
    <row r="3038" ht="15.75" customHeight="1">
      <c r="DG3038" s="52"/>
      <c r="DH3038" s="52"/>
    </row>
    <row r="3039" ht="15.75" customHeight="1">
      <c r="DG3039" s="52"/>
      <c r="DH3039" s="52"/>
    </row>
    <row r="3040" ht="15.75" customHeight="1">
      <c r="DG3040" s="52"/>
      <c r="DH3040" s="52"/>
    </row>
    <row r="3041" ht="15.75" customHeight="1">
      <c r="DG3041" s="52"/>
      <c r="DH3041" s="52"/>
    </row>
    <row r="3042" ht="15.75" customHeight="1">
      <c r="DG3042" s="52"/>
      <c r="DH3042" s="52"/>
    </row>
    <row r="3043" ht="15.75" customHeight="1">
      <c r="DG3043" s="52"/>
      <c r="DH3043" s="52"/>
    </row>
    <row r="3044" ht="15.75" customHeight="1">
      <c r="DG3044" s="52"/>
      <c r="DH3044" s="52"/>
    </row>
    <row r="3045" ht="15.75" customHeight="1">
      <c r="DG3045" s="52"/>
      <c r="DH3045" s="52"/>
    </row>
    <row r="3046" ht="15.75" customHeight="1">
      <c r="DG3046" s="52"/>
      <c r="DH3046" s="52"/>
    </row>
    <row r="3047" ht="15.75" customHeight="1">
      <c r="DG3047" s="52"/>
      <c r="DH3047" s="52"/>
    </row>
    <row r="3048" ht="15.75" customHeight="1">
      <c r="DG3048" s="52"/>
      <c r="DH3048" s="52"/>
    </row>
    <row r="3049" ht="15.75" customHeight="1">
      <c r="DG3049" s="52"/>
      <c r="DH3049" s="52"/>
    </row>
    <row r="3050" ht="15.75" customHeight="1">
      <c r="DG3050" s="52"/>
      <c r="DH3050" s="52"/>
    </row>
    <row r="3051" ht="15.75" customHeight="1">
      <c r="DG3051" s="52"/>
      <c r="DH3051" s="52"/>
    </row>
    <row r="3052" ht="15.75" customHeight="1">
      <c r="DG3052" s="52"/>
      <c r="DH3052" s="52"/>
    </row>
    <row r="3053" ht="15.75" customHeight="1">
      <c r="DG3053" s="52"/>
      <c r="DH3053" s="52"/>
    </row>
    <row r="3054" ht="15.75" customHeight="1">
      <c r="DG3054" s="52"/>
      <c r="DH3054" s="52"/>
    </row>
    <row r="3055" ht="15.75" customHeight="1">
      <c r="DG3055" s="52"/>
      <c r="DH3055" s="52"/>
    </row>
    <row r="3056" ht="15.75" customHeight="1">
      <c r="DG3056" s="52"/>
      <c r="DH3056" s="52"/>
    </row>
    <row r="3057" ht="15.75" customHeight="1">
      <c r="DG3057" s="52"/>
      <c r="DH3057" s="52"/>
    </row>
    <row r="3058" ht="15.75" customHeight="1">
      <c r="DG3058" s="52"/>
      <c r="DH3058" s="52"/>
    </row>
    <row r="3059" ht="15.75" customHeight="1">
      <c r="DG3059" s="52"/>
      <c r="DH3059" s="52"/>
    </row>
    <row r="3060" ht="15.75" customHeight="1">
      <c r="DG3060" s="52"/>
      <c r="DH3060" s="52"/>
    </row>
    <row r="3061" ht="15.75" customHeight="1">
      <c r="DG3061" s="52"/>
      <c r="DH3061" s="52"/>
    </row>
    <row r="3062" ht="15.75" customHeight="1">
      <c r="DG3062" s="52"/>
      <c r="DH3062" s="52"/>
    </row>
    <row r="3063" ht="15.75" customHeight="1">
      <c r="DG3063" s="52"/>
      <c r="DH3063" s="52"/>
    </row>
    <row r="3064" ht="15.75" customHeight="1">
      <c r="DG3064" s="52"/>
      <c r="DH3064" s="52"/>
    </row>
    <row r="3065" ht="15.75" customHeight="1">
      <c r="DG3065" s="52"/>
      <c r="DH3065" s="52"/>
    </row>
    <row r="3066" ht="15.75" customHeight="1">
      <c r="DG3066" s="52"/>
      <c r="DH3066" s="52"/>
    </row>
    <row r="3067" ht="15.75" customHeight="1">
      <c r="DG3067" s="52"/>
      <c r="DH3067" s="52"/>
    </row>
    <row r="3068" ht="15.75" customHeight="1">
      <c r="DG3068" s="52"/>
      <c r="DH3068" s="52"/>
    </row>
    <row r="3069" ht="15.75" customHeight="1">
      <c r="DG3069" s="52"/>
      <c r="DH3069" s="52"/>
    </row>
    <row r="3070" ht="15.75" customHeight="1">
      <c r="DG3070" s="52"/>
      <c r="DH3070" s="52"/>
    </row>
    <row r="3071" ht="15.75" customHeight="1">
      <c r="DG3071" s="52"/>
      <c r="DH3071" s="52"/>
    </row>
    <row r="3072" ht="15.75" customHeight="1">
      <c r="DG3072" s="52"/>
      <c r="DH3072" s="52"/>
    </row>
    <row r="3073" ht="15.75" customHeight="1">
      <c r="DG3073" s="52"/>
      <c r="DH3073" s="52"/>
    </row>
    <row r="3074" ht="15.75" customHeight="1">
      <c r="DG3074" s="52"/>
      <c r="DH3074" s="52"/>
    </row>
    <row r="3075" ht="15.75" customHeight="1">
      <c r="DG3075" s="52"/>
      <c r="DH3075" s="52"/>
    </row>
    <row r="3076" ht="15.75" customHeight="1">
      <c r="DG3076" s="52"/>
      <c r="DH3076" s="52"/>
    </row>
    <row r="3077" ht="15.75" customHeight="1">
      <c r="DG3077" s="52"/>
      <c r="DH3077" s="52"/>
    </row>
    <row r="3078" ht="15.75" customHeight="1">
      <c r="DG3078" s="52"/>
      <c r="DH3078" s="52"/>
    </row>
    <row r="3079" ht="15.75" customHeight="1">
      <c r="DG3079" s="52"/>
      <c r="DH3079" s="52"/>
    </row>
    <row r="3080" ht="15.75" customHeight="1">
      <c r="DG3080" s="52"/>
      <c r="DH3080" s="52"/>
    </row>
    <row r="3081" ht="15.75" customHeight="1">
      <c r="DG3081" s="52"/>
      <c r="DH3081" s="52"/>
    </row>
    <row r="3082" ht="15.75" customHeight="1">
      <c r="DG3082" s="52"/>
      <c r="DH3082" s="52"/>
    </row>
    <row r="3083" ht="15.75" customHeight="1">
      <c r="DG3083" s="52"/>
      <c r="DH3083" s="52"/>
    </row>
    <row r="3084" ht="15.75" customHeight="1">
      <c r="DG3084" s="52"/>
      <c r="DH3084" s="52"/>
    </row>
    <row r="3085" ht="15.75" customHeight="1">
      <c r="DG3085" s="52"/>
      <c r="DH3085" s="52"/>
    </row>
    <row r="3086" ht="15.75" customHeight="1">
      <c r="DG3086" s="52"/>
      <c r="DH3086" s="52"/>
    </row>
    <row r="3087" ht="15.75" customHeight="1">
      <c r="DG3087" s="52"/>
      <c r="DH3087" s="52"/>
    </row>
    <row r="3088" ht="15.75" customHeight="1">
      <c r="DG3088" s="52"/>
      <c r="DH3088" s="52"/>
    </row>
    <row r="3089" ht="15.75" customHeight="1">
      <c r="DG3089" s="52"/>
      <c r="DH3089" s="52"/>
    </row>
    <row r="3090" ht="15.75" customHeight="1">
      <c r="DG3090" s="52"/>
      <c r="DH3090" s="52"/>
    </row>
    <row r="3091" ht="15.75" customHeight="1">
      <c r="DG3091" s="52"/>
      <c r="DH3091" s="52"/>
    </row>
    <row r="3092" ht="15.75" customHeight="1">
      <c r="DG3092" s="52"/>
      <c r="DH3092" s="52"/>
    </row>
    <row r="3093" ht="15.75" customHeight="1">
      <c r="DG3093" s="52"/>
      <c r="DH3093" s="52"/>
    </row>
    <row r="3094" ht="15.75" customHeight="1">
      <c r="DG3094" s="52"/>
      <c r="DH3094" s="52"/>
    </row>
    <row r="3095" ht="15.75" customHeight="1">
      <c r="DG3095" s="52"/>
      <c r="DH3095" s="52"/>
    </row>
    <row r="3096" ht="15.75" customHeight="1">
      <c r="DG3096" s="52"/>
      <c r="DH3096" s="52"/>
    </row>
    <row r="3097" ht="15.75" customHeight="1">
      <c r="DG3097" s="52"/>
      <c r="DH3097" s="52"/>
    </row>
    <row r="3098" ht="15.75" customHeight="1">
      <c r="DG3098" s="52"/>
      <c r="DH3098" s="52"/>
    </row>
    <row r="3099" ht="15.75" customHeight="1">
      <c r="DG3099" s="52"/>
      <c r="DH3099" s="52"/>
    </row>
    <row r="3100" ht="15.75" customHeight="1">
      <c r="DG3100" s="52"/>
      <c r="DH3100" s="52"/>
    </row>
    <row r="3101" ht="15.75" customHeight="1">
      <c r="DG3101" s="52"/>
      <c r="DH3101" s="52"/>
    </row>
    <row r="3102" ht="15.75" customHeight="1">
      <c r="DG3102" s="52"/>
      <c r="DH3102" s="52"/>
    </row>
    <row r="3103" ht="15.75" customHeight="1">
      <c r="DG3103" s="52"/>
      <c r="DH3103" s="52"/>
    </row>
    <row r="3104" ht="15.75" customHeight="1">
      <c r="DG3104" s="52"/>
      <c r="DH3104" s="52"/>
    </row>
    <row r="3105" ht="15.75" customHeight="1">
      <c r="DG3105" s="52"/>
      <c r="DH3105" s="52"/>
    </row>
    <row r="3106" ht="15.75" customHeight="1">
      <c r="DG3106" s="52"/>
      <c r="DH3106" s="52"/>
    </row>
    <row r="3107" ht="15.75" customHeight="1">
      <c r="DG3107" s="52"/>
      <c r="DH3107" s="52"/>
    </row>
    <row r="3108" ht="15.75" customHeight="1">
      <c r="DG3108" s="52"/>
      <c r="DH3108" s="52"/>
    </row>
    <row r="3109" ht="15.75" customHeight="1">
      <c r="DG3109" s="52"/>
      <c r="DH3109" s="52"/>
    </row>
    <row r="3110" ht="15.75" customHeight="1">
      <c r="DG3110" s="52"/>
      <c r="DH3110" s="52"/>
    </row>
    <row r="3111" ht="15.75" customHeight="1">
      <c r="DG3111" s="52"/>
      <c r="DH3111" s="52"/>
    </row>
    <row r="3112" ht="15.75" customHeight="1">
      <c r="DG3112" s="52"/>
      <c r="DH3112" s="52"/>
    </row>
    <row r="3113" ht="15.75" customHeight="1">
      <c r="DG3113" s="52"/>
      <c r="DH3113" s="52"/>
    </row>
    <row r="3114" ht="15.75" customHeight="1">
      <c r="DG3114" s="52"/>
      <c r="DH3114" s="52"/>
    </row>
    <row r="3115" ht="15.75" customHeight="1">
      <c r="DG3115" s="52"/>
      <c r="DH3115" s="52"/>
    </row>
    <row r="3116" ht="15.75" customHeight="1">
      <c r="DG3116" s="52"/>
      <c r="DH3116" s="52"/>
    </row>
    <row r="3117" ht="15.75" customHeight="1">
      <c r="DG3117" s="52"/>
      <c r="DH3117" s="52"/>
    </row>
    <row r="3118" ht="15.75" customHeight="1">
      <c r="DG3118" s="52"/>
      <c r="DH3118" s="52"/>
    </row>
    <row r="3119" ht="15.75" customHeight="1">
      <c r="DG3119" s="52"/>
      <c r="DH3119" s="52"/>
    </row>
    <row r="3120" ht="15.75" customHeight="1">
      <c r="DG3120" s="52"/>
      <c r="DH3120" s="52"/>
    </row>
    <row r="3121" ht="15.75" customHeight="1">
      <c r="DG3121" s="52"/>
      <c r="DH3121" s="52"/>
    </row>
    <row r="3122" ht="15.75" customHeight="1">
      <c r="DG3122" s="52"/>
      <c r="DH3122" s="52"/>
    </row>
    <row r="3123" ht="15.75" customHeight="1">
      <c r="DG3123" s="52"/>
      <c r="DH3123" s="52"/>
    </row>
    <row r="3124" ht="15.75" customHeight="1">
      <c r="DG3124" s="52"/>
      <c r="DH3124" s="52"/>
    </row>
    <row r="3125" ht="15.75" customHeight="1">
      <c r="DG3125" s="52"/>
      <c r="DH3125" s="52"/>
    </row>
    <row r="3126" ht="15.75" customHeight="1">
      <c r="DG3126" s="52"/>
      <c r="DH3126" s="52"/>
    </row>
    <row r="3127" ht="15.75" customHeight="1">
      <c r="DG3127" s="52"/>
      <c r="DH3127" s="52"/>
    </row>
    <row r="3128" ht="15.75" customHeight="1">
      <c r="DG3128" s="52"/>
      <c r="DH3128" s="52"/>
    </row>
    <row r="3129" ht="15.75" customHeight="1">
      <c r="DG3129" s="52"/>
      <c r="DH3129" s="52"/>
    </row>
    <row r="3130" ht="15.75" customHeight="1">
      <c r="DG3130" s="52"/>
      <c r="DH3130" s="52"/>
    </row>
    <row r="3131" ht="15.75" customHeight="1">
      <c r="DG3131" s="52"/>
      <c r="DH3131" s="52"/>
    </row>
    <row r="3132" ht="15.75" customHeight="1">
      <c r="DG3132" s="52"/>
      <c r="DH3132" s="52"/>
    </row>
    <row r="3133" ht="15.75" customHeight="1">
      <c r="DG3133" s="52"/>
      <c r="DH3133" s="52"/>
    </row>
    <row r="3134" ht="15.75" customHeight="1">
      <c r="DG3134" s="52"/>
      <c r="DH3134" s="52"/>
    </row>
    <row r="3135" ht="15.75" customHeight="1">
      <c r="DG3135" s="52"/>
      <c r="DH3135" s="52"/>
    </row>
    <row r="3136" ht="15.75" customHeight="1">
      <c r="DG3136" s="52"/>
      <c r="DH3136" s="52"/>
    </row>
    <row r="3137" ht="15.75" customHeight="1">
      <c r="DG3137" s="52"/>
      <c r="DH3137" s="52"/>
    </row>
    <row r="3138" ht="15.75" customHeight="1">
      <c r="DG3138" s="52"/>
      <c r="DH3138" s="52"/>
    </row>
    <row r="3139" ht="15.75" customHeight="1">
      <c r="DG3139" s="52"/>
      <c r="DH3139" s="52"/>
    </row>
    <row r="3140" ht="15.75" customHeight="1">
      <c r="DG3140" s="52"/>
      <c r="DH3140" s="52"/>
    </row>
    <row r="3141" ht="15.75" customHeight="1">
      <c r="DG3141" s="52"/>
      <c r="DH3141" s="52"/>
    </row>
    <row r="3142" ht="15.75" customHeight="1">
      <c r="DG3142" s="52"/>
      <c r="DH3142" s="52"/>
    </row>
    <row r="3143" ht="15.75" customHeight="1">
      <c r="DG3143" s="52"/>
      <c r="DH3143" s="52"/>
    </row>
    <row r="3144" ht="15.75" customHeight="1">
      <c r="DG3144" s="52"/>
      <c r="DH3144" s="52"/>
    </row>
    <row r="3145" ht="15.75" customHeight="1">
      <c r="DG3145" s="52"/>
      <c r="DH3145" s="52"/>
    </row>
    <row r="3146" ht="15.75" customHeight="1">
      <c r="DG3146" s="52"/>
      <c r="DH3146" s="52"/>
    </row>
    <row r="3147" ht="15.75" customHeight="1">
      <c r="DG3147" s="52"/>
      <c r="DH3147" s="52"/>
    </row>
    <row r="3148" ht="15.75" customHeight="1">
      <c r="DG3148" s="52"/>
      <c r="DH3148" s="52"/>
    </row>
    <row r="3149" ht="15.75" customHeight="1">
      <c r="DG3149" s="52"/>
      <c r="DH3149" s="52"/>
    </row>
    <row r="3150" ht="15.75" customHeight="1">
      <c r="DG3150" s="52"/>
      <c r="DH3150" s="52"/>
    </row>
    <row r="3151" ht="15.75" customHeight="1">
      <c r="DG3151" s="52"/>
      <c r="DH3151" s="52"/>
    </row>
    <row r="3152" ht="15.75" customHeight="1">
      <c r="DG3152" s="52"/>
      <c r="DH3152" s="52"/>
    </row>
    <row r="3153" ht="15.75" customHeight="1">
      <c r="DG3153" s="52"/>
      <c r="DH3153" s="52"/>
    </row>
    <row r="3154" ht="15.75" customHeight="1">
      <c r="DG3154" s="52"/>
      <c r="DH3154" s="52"/>
    </row>
    <row r="3155" ht="15.75" customHeight="1">
      <c r="DG3155" s="52"/>
      <c r="DH3155" s="52"/>
    </row>
    <row r="3156" ht="15.75" customHeight="1">
      <c r="DG3156" s="52"/>
      <c r="DH3156" s="52"/>
    </row>
    <row r="3157" ht="15.75" customHeight="1">
      <c r="DG3157" s="52"/>
      <c r="DH3157" s="52"/>
    </row>
    <row r="3158" ht="15.75" customHeight="1">
      <c r="DG3158" s="52"/>
      <c r="DH3158" s="52"/>
    </row>
    <row r="3159" ht="15.75" customHeight="1">
      <c r="DG3159" s="52"/>
      <c r="DH3159" s="52"/>
    </row>
    <row r="3160" ht="15.75" customHeight="1">
      <c r="DG3160" s="52"/>
      <c r="DH3160" s="52"/>
    </row>
    <row r="3161" ht="15.75" customHeight="1">
      <c r="DG3161" s="52"/>
      <c r="DH3161" s="52"/>
    </row>
    <row r="3162" ht="15.75" customHeight="1">
      <c r="DG3162" s="52"/>
      <c r="DH3162" s="52"/>
    </row>
    <row r="3163" ht="15.75" customHeight="1">
      <c r="DG3163" s="52"/>
      <c r="DH3163" s="52"/>
    </row>
    <row r="3164" ht="15.75" customHeight="1">
      <c r="DG3164" s="52"/>
      <c r="DH3164" s="52"/>
    </row>
    <row r="3165" ht="15.75" customHeight="1">
      <c r="DG3165" s="52"/>
      <c r="DH3165" s="52"/>
    </row>
    <row r="3166" ht="15.75" customHeight="1">
      <c r="DG3166" s="52"/>
      <c r="DH3166" s="52"/>
    </row>
    <row r="3167" ht="15.75" customHeight="1">
      <c r="DG3167" s="52"/>
      <c r="DH3167" s="52"/>
    </row>
    <row r="3168" ht="15.75" customHeight="1">
      <c r="DG3168" s="52"/>
      <c r="DH3168" s="52"/>
    </row>
    <row r="3169" ht="15.75" customHeight="1">
      <c r="DG3169" s="52"/>
      <c r="DH3169" s="52"/>
    </row>
    <row r="3170" ht="15.75" customHeight="1">
      <c r="DG3170" s="52"/>
      <c r="DH3170" s="52"/>
    </row>
    <row r="3171" ht="15.75" customHeight="1">
      <c r="DG3171" s="52"/>
      <c r="DH3171" s="52"/>
    </row>
    <row r="3172" ht="15.75" customHeight="1">
      <c r="DG3172" s="52"/>
      <c r="DH3172" s="52"/>
    </row>
    <row r="3173" ht="15.75" customHeight="1">
      <c r="DG3173" s="52"/>
      <c r="DH3173" s="52"/>
    </row>
    <row r="3174" ht="15.75" customHeight="1">
      <c r="DG3174" s="52"/>
      <c r="DH3174" s="52"/>
    </row>
    <row r="3175" ht="15.75" customHeight="1">
      <c r="DG3175" s="52"/>
      <c r="DH3175" s="52"/>
    </row>
    <row r="3176" ht="15.75" customHeight="1">
      <c r="DG3176" s="52"/>
      <c r="DH3176" s="52"/>
    </row>
    <row r="3177" ht="15.75" customHeight="1">
      <c r="DG3177" s="52"/>
      <c r="DH3177" s="52"/>
    </row>
    <row r="3178" ht="15.75" customHeight="1">
      <c r="DG3178" s="52"/>
      <c r="DH3178" s="52"/>
    </row>
    <row r="3179" ht="15.75" customHeight="1">
      <c r="DG3179" s="52"/>
      <c r="DH3179" s="52"/>
    </row>
    <row r="3180" ht="15.75" customHeight="1">
      <c r="DG3180" s="52"/>
      <c r="DH3180" s="52"/>
    </row>
    <row r="3181" ht="15.75" customHeight="1">
      <c r="DG3181" s="52"/>
      <c r="DH3181" s="52"/>
    </row>
    <row r="3182" ht="15.75" customHeight="1">
      <c r="DG3182" s="52"/>
      <c r="DH3182" s="52"/>
    </row>
    <row r="3183" ht="15.75" customHeight="1">
      <c r="DG3183" s="52"/>
      <c r="DH3183" s="52"/>
    </row>
    <row r="3184" ht="15.75" customHeight="1">
      <c r="DG3184" s="52"/>
      <c r="DH3184" s="52"/>
    </row>
    <row r="3185" ht="15.75" customHeight="1">
      <c r="DG3185" s="52"/>
      <c r="DH3185" s="52"/>
    </row>
    <row r="3186" ht="15.75" customHeight="1">
      <c r="DG3186" s="52"/>
      <c r="DH3186" s="52"/>
    </row>
    <row r="3187" ht="15.75" customHeight="1">
      <c r="DG3187" s="52"/>
      <c r="DH3187" s="52"/>
    </row>
    <row r="3188" ht="15.75" customHeight="1">
      <c r="DG3188" s="52"/>
      <c r="DH3188" s="52"/>
    </row>
    <row r="3189" ht="15.75" customHeight="1">
      <c r="DG3189" s="52"/>
      <c r="DH3189" s="52"/>
    </row>
    <row r="3190" ht="15.75" customHeight="1">
      <c r="DG3190" s="52"/>
      <c r="DH3190" s="52"/>
    </row>
    <row r="3191" ht="15.75" customHeight="1">
      <c r="DG3191" s="52"/>
      <c r="DH3191" s="52"/>
    </row>
    <row r="3192" ht="15.75" customHeight="1">
      <c r="DG3192" s="52"/>
      <c r="DH3192" s="52"/>
    </row>
    <row r="3193" ht="15.75" customHeight="1">
      <c r="DG3193" s="52"/>
      <c r="DH3193" s="52"/>
    </row>
    <row r="3194" ht="15.75" customHeight="1">
      <c r="DG3194" s="52"/>
      <c r="DH3194" s="52"/>
    </row>
    <row r="3195" ht="15.75" customHeight="1">
      <c r="DG3195" s="52"/>
      <c r="DH3195" s="52"/>
    </row>
    <row r="3196" ht="15.75" customHeight="1">
      <c r="DG3196" s="52"/>
      <c r="DH3196" s="52"/>
    </row>
    <row r="3197" ht="15.75" customHeight="1">
      <c r="DG3197" s="52"/>
      <c r="DH3197" s="52"/>
    </row>
    <row r="3198" ht="15.75" customHeight="1">
      <c r="DG3198" s="52"/>
      <c r="DH3198" s="52"/>
    </row>
    <row r="3199" ht="15.75" customHeight="1">
      <c r="DG3199" s="52"/>
      <c r="DH3199" s="52"/>
    </row>
    <row r="3200" ht="15.75" customHeight="1">
      <c r="DG3200" s="52"/>
      <c r="DH3200" s="52"/>
    </row>
    <row r="3201" ht="15.75" customHeight="1">
      <c r="DG3201" s="52"/>
      <c r="DH3201" s="52"/>
    </row>
    <row r="3202" ht="15.75" customHeight="1">
      <c r="DG3202" s="52"/>
      <c r="DH3202" s="52"/>
    </row>
    <row r="3203" ht="15.75" customHeight="1">
      <c r="DG3203" s="52"/>
      <c r="DH3203" s="52"/>
    </row>
    <row r="3204" ht="15.75" customHeight="1">
      <c r="DG3204" s="52"/>
      <c r="DH3204" s="52"/>
    </row>
    <row r="3205" ht="15.75" customHeight="1">
      <c r="DG3205" s="52"/>
      <c r="DH3205" s="52"/>
    </row>
    <row r="3206" ht="15.75" customHeight="1">
      <c r="DG3206" s="52"/>
      <c r="DH3206" s="52"/>
    </row>
    <row r="3207" ht="15.75" customHeight="1">
      <c r="DG3207" s="52"/>
      <c r="DH3207" s="52"/>
    </row>
    <row r="3208" ht="15.75" customHeight="1">
      <c r="DG3208" s="52"/>
      <c r="DH3208" s="52"/>
    </row>
    <row r="3209" ht="15.75" customHeight="1">
      <c r="DG3209" s="52"/>
      <c r="DH3209" s="52"/>
    </row>
    <row r="3210" ht="15.75" customHeight="1">
      <c r="DG3210" s="52"/>
      <c r="DH3210" s="52"/>
    </row>
    <row r="3211" ht="15.75" customHeight="1">
      <c r="DG3211" s="52"/>
      <c r="DH3211" s="52"/>
    </row>
    <row r="3212" ht="15.75" customHeight="1">
      <c r="DG3212" s="52"/>
      <c r="DH3212" s="52"/>
    </row>
    <row r="3213" ht="15.75" customHeight="1">
      <c r="DG3213" s="52"/>
      <c r="DH3213" s="52"/>
    </row>
    <row r="3214" ht="15.75" customHeight="1">
      <c r="DG3214" s="52"/>
      <c r="DH3214" s="52"/>
    </row>
    <row r="3215" ht="15.75" customHeight="1">
      <c r="DG3215" s="52"/>
      <c r="DH3215" s="52"/>
    </row>
    <row r="3216" ht="15.75" customHeight="1">
      <c r="DG3216" s="52"/>
      <c r="DH3216" s="52"/>
    </row>
    <row r="3217" ht="15.75" customHeight="1">
      <c r="DG3217" s="52"/>
      <c r="DH3217" s="52"/>
    </row>
    <row r="3218" ht="15.75" customHeight="1">
      <c r="DG3218" s="52"/>
      <c r="DH3218" s="52"/>
    </row>
    <row r="3219" ht="15.75" customHeight="1">
      <c r="DG3219" s="52"/>
      <c r="DH3219" s="52"/>
    </row>
    <row r="3220" ht="15.75" customHeight="1">
      <c r="DG3220" s="52"/>
      <c r="DH3220" s="52"/>
    </row>
    <row r="3221" ht="15.75" customHeight="1">
      <c r="DG3221" s="52"/>
      <c r="DH3221" s="52"/>
    </row>
    <row r="3222" ht="15.75" customHeight="1">
      <c r="DG3222" s="52"/>
      <c r="DH3222" s="52"/>
    </row>
    <row r="3223" ht="15.75" customHeight="1">
      <c r="DG3223" s="52"/>
      <c r="DH3223" s="52"/>
    </row>
    <row r="3224" ht="15.75" customHeight="1">
      <c r="DG3224" s="52"/>
      <c r="DH3224" s="52"/>
    </row>
    <row r="3225" ht="15.75" customHeight="1">
      <c r="DG3225" s="52"/>
      <c r="DH3225" s="52"/>
    </row>
    <row r="3226" ht="15.75" customHeight="1">
      <c r="DG3226" s="52"/>
      <c r="DH3226" s="52"/>
    </row>
    <row r="3227" ht="15.75" customHeight="1">
      <c r="DG3227" s="52"/>
      <c r="DH3227" s="52"/>
    </row>
    <row r="3228" ht="15.75" customHeight="1">
      <c r="DG3228" s="52"/>
      <c r="DH3228" s="52"/>
    </row>
    <row r="3229" ht="15.75" customHeight="1">
      <c r="DG3229" s="52"/>
      <c r="DH3229" s="52"/>
    </row>
    <row r="3230" ht="15.75" customHeight="1">
      <c r="DG3230" s="52"/>
      <c r="DH3230" s="52"/>
    </row>
    <row r="3231" ht="15.75" customHeight="1">
      <c r="DG3231" s="52"/>
      <c r="DH3231" s="52"/>
    </row>
    <row r="3232" ht="15.75" customHeight="1">
      <c r="DG3232" s="52"/>
      <c r="DH3232" s="52"/>
    </row>
    <row r="3233" ht="15.75" customHeight="1">
      <c r="DG3233" s="52"/>
      <c r="DH3233" s="52"/>
    </row>
    <row r="3234" ht="15.75" customHeight="1">
      <c r="DG3234" s="52"/>
      <c r="DH3234" s="52"/>
    </row>
    <row r="3235" ht="15.75" customHeight="1">
      <c r="DG3235" s="52"/>
      <c r="DH3235" s="52"/>
    </row>
    <row r="3236" ht="15.75" customHeight="1">
      <c r="DG3236" s="52"/>
      <c r="DH3236" s="52"/>
    </row>
    <row r="3237" ht="15.75" customHeight="1">
      <c r="DG3237" s="52"/>
      <c r="DH3237" s="52"/>
    </row>
    <row r="3238" ht="15.75" customHeight="1">
      <c r="DG3238" s="52"/>
      <c r="DH3238" s="52"/>
    </row>
    <row r="3239" ht="15.75" customHeight="1">
      <c r="DG3239" s="52"/>
      <c r="DH3239" s="52"/>
    </row>
    <row r="3240" ht="15.75" customHeight="1">
      <c r="DG3240" s="52"/>
      <c r="DH3240" s="52"/>
    </row>
    <row r="3241" ht="15.75" customHeight="1">
      <c r="DG3241" s="52"/>
      <c r="DH3241" s="52"/>
    </row>
    <row r="3242" ht="15.75" customHeight="1">
      <c r="DG3242" s="52"/>
      <c r="DH3242" s="52"/>
    </row>
    <row r="3243" ht="15.75" customHeight="1">
      <c r="DG3243" s="52"/>
      <c r="DH3243" s="52"/>
    </row>
    <row r="3244" ht="15.75" customHeight="1">
      <c r="DG3244" s="52"/>
      <c r="DH3244" s="52"/>
    </row>
    <row r="3245" ht="15.75" customHeight="1">
      <c r="DG3245" s="52"/>
      <c r="DH3245" s="52"/>
    </row>
    <row r="3246" ht="15.75" customHeight="1">
      <c r="DG3246" s="52"/>
      <c r="DH3246" s="52"/>
    </row>
    <row r="3247" ht="15.75" customHeight="1">
      <c r="DG3247" s="52"/>
      <c r="DH3247" s="52"/>
    </row>
    <row r="3248" ht="15.75" customHeight="1">
      <c r="DG3248" s="52"/>
      <c r="DH3248" s="52"/>
    </row>
    <row r="3249" ht="15.75" customHeight="1">
      <c r="DG3249" s="52"/>
      <c r="DH3249" s="52"/>
    </row>
    <row r="3250" ht="15.75" customHeight="1">
      <c r="DG3250" s="52"/>
      <c r="DH3250" s="52"/>
    </row>
    <row r="3251" ht="15.75" customHeight="1">
      <c r="DG3251" s="52"/>
      <c r="DH3251" s="52"/>
    </row>
    <row r="3252" ht="15.75" customHeight="1">
      <c r="DG3252" s="52"/>
      <c r="DH3252" s="52"/>
    </row>
    <row r="3253" ht="15.75" customHeight="1">
      <c r="DG3253" s="52"/>
      <c r="DH3253" s="52"/>
    </row>
    <row r="3254" ht="15.75" customHeight="1">
      <c r="DG3254" s="52"/>
      <c r="DH3254" s="52"/>
    </row>
    <row r="3255" ht="15.75" customHeight="1">
      <c r="DG3255" s="52"/>
      <c r="DH3255" s="52"/>
    </row>
    <row r="3256" ht="15.75" customHeight="1">
      <c r="DG3256" s="52"/>
      <c r="DH3256" s="52"/>
    </row>
    <row r="3257" ht="15.75" customHeight="1">
      <c r="DG3257" s="52"/>
      <c r="DH3257" s="52"/>
    </row>
    <row r="3258" ht="15.75" customHeight="1">
      <c r="DG3258" s="52"/>
      <c r="DH3258" s="52"/>
    </row>
    <row r="3259" ht="15.75" customHeight="1">
      <c r="DG3259" s="52"/>
      <c r="DH3259" s="52"/>
    </row>
    <row r="3260" ht="15.75" customHeight="1">
      <c r="DG3260" s="52"/>
      <c r="DH3260" s="52"/>
    </row>
    <row r="3261" ht="15.75" customHeight="1">
      <c r="DG3261" s="52"/>
      <c r="DH3261" s="52"/>
    </row>
    <row r="3262" ht="15.75" customHeight="1">
      <c r="DG3262" s="52"/>
      <c r="DH3262" s="52"/>
    </row>
    <row r="3263" ht="15.75" customHeight="1">
      <c r="DG3263" s="52"/>
      <c r="DH3263" s="52"/>
    </row>
    <row r="3264" ht="15.75" customHeight="1">
      <c r="DG3264" s="52"/>
      <c r="DH3264" s="52"/>
    </row>
    <row r="3265" ht="15.75" customHeight="1">
      <c r="DG3265" s="52"/>
      <c r="DH3265" s="52"/>
    </row>
    <row r="3266" ht="15.75" customHeight="1">
      <c r="DG3266" s="52"/>
      <c r="DH3266" s="52"/>
    </row>
    <row r="3267" ht="15.75" customHeight="1">
      <c r="DG3267" s="52"/>
      <c r="DH3267" s="52"/>
    </row>
    <row r="3268" ht="15.75" customHeight="1">
      <c r="DG3268" s="52"/>
      <c r="DH3268" s="52"/>
    </row>
    <row r="3269" ht="15.75" customHeight="1">
      <c r="DG3269" s="52"/>
      <c r="DH3269" s="52"/>
    </row>
    <row r="3270" ht="15.75" customHeight="1">
      <c r="DG3270" s="52"/>
      <c r="DH3270" s="52"/>
    </row>
    <row r="3271" ht="15.75" customHeight="1">
      <c r="DG3271" s="52"/>
      <c r="DH3271" s="52"/>
    </row>
    <row r="3272" ht="15.75" customHeight="1">
      <c r="DG3272" s="52"/>
      <c r="DH3272" s="52"/>
    </row>
    <row r="3273" ht="15.75" customHeight="1">
      <c r="DG3273" s="52"/>
      <c r="DH3273" s="52"/>
    </row>
    <row r="3274" ht="15.75" customHeight="1">
      <c r="DG3274" s="52"/>
      <c r="DH3274" s="52"/>
    </row>
    <row r="3275" ht="15.75" customHeight="1">
      <c r="DG3275" s="52"/>
      <c r="DH3275" s="52"/>
    </row>
    <row r="3276" ht="15.75" customHeight="1">
      <c r="DG3276" s="52"/>
      <c r="DH3276" s="52"/>
    </row>
    <row r="3277" ht="15.75" customHeight="1">
      <c r="DG3277" s="52"/>
      <c r="DH3277" s="52"/>
    </row>
    <row r="3278" ht="15.75" customHeight="1">
      <c r="DG3278" s="52"/>
      <c r="DH3278" s="52"/>
    </row>
    <row r="3279" ht="15.75" customHeight="1">
      <c r="DG3279" s="52"/>
      <c r="DH3279" s="52"/>
    </row>
    <row r="3280" ht="15.75" customHeight="1">
      <c r="DG3280" s="52"/>
      <c r="DH3280" s="52"/>
    </row>
    <row r="3281" ht="15.75" customHeight="1">
      <c r="DG3281" s="52"/>
      <c r="DH3281" s="52"/>
    </row>
    <row r="3282" ht="15.75" customHeight="1">
      <c r="DG3282" s="52"/>
      <c r="DH3282" s="52"/>
    </row>
    <row r="3283" ht="15.75" customHeight="1">
      <c r="DG3283" s="52"/>
      <c r="DH3283" s="52"/>
    </row>
    <row r="3284" ht="15.75" customHeight="1">
      <c r="DG3284" s="52"/>
      <c r="DH3284" s="52"/>
    </row>
    <row r="3285" ht="15.75" customHeight="1">
      <c r="DG3285" s="52"/>
      <c r="DH3285" s="52"/>
    </row>
    <row r="3286" ht="15.75" customHeight="1">
      <c r="DG3286" s="52"/>
      <c r="DH3286" s="52"/>
    </row>
    <row r="3287" ht="15.75" customHeight="1">
      <c r="DG3287" s="52"/>
      <c r="DH3287" s="52"/>
    </row>
    <row r="3288" ht="15.75" customHeight="1">
      <c r="DG3288" s="52"/>
      <c r="DH3288" s="52"/>
    </row>
    <row r="3289" ht="15.75" customHeight="1">
      <c r="DG3289" s="52"/>
      <c r="DH3289" s="52"/>
    </row>
    <row r="3290" ht="15.75" customHeight="1">
      <c r="DG3290" s="52"/>
      <c r="DH3290" s="52"/>
    </row>
    <row r="3291" ht="15.75" customHeight="1">
      <c r="DG3291" s="52"/>
      <c r="DH3291" s="52"/>
    </row>
    <row r="3292" ht="15.75" customHeight="1">
      <c r="DG3292" s="52"/>
      <c r="DH3292" s="52"/>
    </row>
    <row r="3293" ht="15.75" customHeight="1">
      <c r="DG3293" s="52"/>
      <c r="DH3293" s="52"/>
    </row>
    <row r="3294" ht="15.75" customHeight="1">
      <c r="DG3294" s="52"/>
      <c r="DH3294" s="52"/>
    </row>
    <row r="3295" ht="15.75" customHeight="1">
      <c r="DG3295" s="52"/>
      <c r="DH3295" s="52"/>
    </row>
    <row r="3296" ht="15.75" customHeight="1">
      <c r="DG3296" s="52"/>
      <c r="DH3296" s="52"/>
    </row>
    <row r="3297" ht="15.75" customHeight="1">
      <c r="DG3297" s="52"/>
      <c r="DH3297" s="52"/>
    </row>
    <row r="3298" ht="15.75" customHeight="1">
      <c r="DG3298" s="52"/>
      <c r="DH3298" s="52"/>
    </row>
    <row r="3299" ht="15.75" customHeight="1">
      <c r="DG3299" s="52"/>
      <c r="DH3299" s="52"/>
    </row>
    <row r="3300" ht="15.75" customHeight="1">
      <c r="DG3300" s="52"/>
      <c r="DH3300" s="52"/>
    </row>
    <row r="3301" ht="15.75" customHeight="1">
      <c r="DG3301" s="52"/>
      <c r="DH3301" s="52"/>
    </row>
    <row r="3302" ht="15.75" customHeight="1">
      <c r="DG3302" s="52"/>
      <c r="DH3302" s="52"/>
    </row>
    <row r="3303" ht="15.75" customHeight="1">
      <c r="DG3303" s="52"/>
      <c r="DH3303" s="52"/>
    </row>
    <row r="3304" ht="15.75" customHeight="1">
      <c r="DG3304" s="52"/>
      <c r="DH3304" s="52"/>
    </row>
    <row r="3305" ht="15.75" customHeight="1">
      <c r="DG3305" s="52"/>
      <c r="DH3305" s="52"/>
    </row>
    <row r="3306" ht="15.75" customHeight="1">
      <c r="DG3306" s="52"/>
      <c r="DH3306" s="52"/>
    </row>
    <row r="3307" ht="15.75" customHeight="1">
      <c r="DG3307" s="52"/>
      <c r="DH3307" s="52"/>
    </row>
    <row r="3308" ht="15.75" customHeight="1">
      <c r="DG3308" s="52"/>
      <c r="DH3308" s="52"/>
    </row>
    <row r="3309" ht="15.75" customHeight="1">
      <c r="DG3309" s="52"/>
      <c r="DH3309" s="52"/>
    </row>
    <row r="3310" ht="15.75" customHeight="1">
      <c r="DG3310" s="52"/>
      <c r="DH3310" s="52"/>
    </row>
    <row r="3311" ht="15.75" customHeight="1">
      <c r="DG3311" s="52"/>
      <c r="DH3311" s="52"/>
    </row>
    <row r="3312" ht="15.75" customHeight="1">
      <c r="DG3312" s="52"/>
      <c r="DH3312" s="52"/>
    </row>
    <row r="3313" ht="15.75" customHeight="1">
      <c r="DG3313" s="52"/>
      <c r="DH3313" s="52"/>
    </row>
    <row r="3314" ht="15.75" customHeight="1">
      <c r="DG3314" s="52"/>
      <c r="DH3314" s="52"/>
    </row>
    <row r="3315" ht="15.75" customHeight="1">
      <c r="DG3315" s="52"/>
      <c r="DH3315" s="52"/>
    </row>
    <row r="3316" ht="15.75" customHeight="1">
      <c r="DG3316" s="52"/>
      <c r="DH3316" s="52"/>
    </row>
    <row r="3317" ht="15.75" customHeight="1">
      <c r="DG3317" s="52"/>
      <c r="DH3317" s="52"/>
    </row>
    <row r="3318" ht="15.75" customHeight="1">
      <c r="DG3318" s="52"/>
      <c r="DH3318" s="52"/>
    </row>
    <row r="3319" ht="15.75" customHeight="1">
      <c r="DG3319" s="52"/>
      <c r="DH3319" s="52"/>
    </row>
    <row r="3320" ht="15.75" customHeight="1">
      <c r="DG3320" s="52"/>
      <c r="DH3320" s="52"/>
    </row>
    <row r="3321" ht="15.75" customHeight="1">
      <c r="DG3321" s="52"/>
      <c r="DH3321" s="52"/>
    </row>
    <row r="3322" ht="15.75" customHeight="1">
      <c r="DG3322" s="52"/>
      <c r="DH3322" s="52"/>
    </row>
    <row r="3323" ht="15.75" customHeight="1">
      <c r="DG3323" s="52"/>
      <c r="DH3323" s="52"/>
    </row>
    <row r="3324" ht="15.75" customHeight="1">
      <c r="DG3324" s="52"/>
      <c r="DH3324" s="52"/>
    </row>
    <row r="3325" ht="15.75" customHeight="1">
      <c r="DG3325" s="52"/>
      <c r="DH3325" s="52"/>
    </row>
    <row r="3326" ht="15.75" customHeight="1">
      <c r="DG3326" s="52"/>
      <c r="DH3326" s="52"/>
    </row>
    <row r="3327" ht="15.75" customHeight="1">
      <c r="DG3327" s="52"/>
      <c r="DH3327" s="52"/>
    </row>
    <row r="3328" ht="15.75" customHeight="1">
      <c r="DG3328" s="52"/>
      <c r="DH3328" s="52"/>
    </row>
    <row r="3329" ht="15.75" customHeight="1">
      <c r="DG3329" s="52"/>
      <c r="DH3329" s="52"/>
    </row>
    <row r="3330" ht="15.75" customHeight="1">
      <c r="DG3330" s="52"/>
      <c r="DH3330" s="52"/>
    </row>
    <row r="3331" ht="15.75" customHeight="1">
      <c r="DG3331" s="52"/>
      <c r="DH3331" s="52"/>
    </row>
    <row r="3332" ht="15.75" customHeight="1">
      <c r="DG3332" s="52"/>
      <c r="DH3332" s="52"/>
    </row>
    <row r="3333" ht="15.75" customHeight="1">
      <c r="DG3333" s="52"/>
      <c r="DH3333" s="52"/>
    </row>
    <row r="3334" ht="15.75" customHeight="1">
      <c r="DG3334" s="52"/>
      <c r="DH3334" s="52"/>
    </row>
    <row r="3335" ht="15.75" customHeight="1">
      <c r="DG3335" s="52"/>
      <c r="DH3335" s="52"/>
    </row>
    <row r="3336" ht="15.75" customHeight="1">
      <c r="DG3336" s="52"/>
      <c r="DH3336" s="52"/>
    </row>
    <row r="3337" ht="15.75" customHeight="1">
      <c r="DG3337" s="52"/>
      <c r="DH3337" s="52"/>
    </row>
    <row r="3338" ht="15.75" customHeight="1">
      <c r="DG3338" s="52"/>
      <c r="DH3338" s="52"/>
    </row>
    <row r="3339" ht="15.75" customHeight="1">
      <c r="DG3339" s="52"/>
      <c r="DH3339" s="52"/>
    </row>
    <row r="3340" ht="15.75" customHeight="1">
      <c r="DG3340" s="52"/>
      <c r="DH3340" s="52"/>
    </row>
    <row r="3341" ht="15.75" customHeight="1">
      <c r="DG3341" s="52"/>
      <c r="DH3341" s="52"/>
    </row>
    <row r="3342" ht="15.75" customHeight="1">
      <c r="DG3342" s="52"/>
      <c r="DH3342" s="52"/>
    </row>
    <row r="3343" ht="15.75" customHeight="1">
      <c r="DG3343" s="52"/>
      <c r="DH3343" s="52"/>
    </row>
    <row r="3344" ht="15.75" customHeight="1">
      <c r="DG3344" s="52"/>
      <c r="DH3344" s="52"/>
    </row>
    <row r="3345" ht="15.75" customHeight="1">
      <c r="DG3345" s="52"/>
      <c r="DH3345" s="52"/>
    </row>
    <row r="3346" ht="15.75" customHeight="1">
      <c r="DG3346" s="52"/>
      <c r="DH3346" s="52"/>
    </row>
    <row r="3347" ht="15.75" customHeight="1">
      <c r="DG3347" s="52"/>
      <c r="DH3347" s="52"/>
    </row>
    <row r="3348" ht="15.75" customHeight="1">
      <c r="DG3348" s="52"/>
      <c r="DH3348" s="52"/>
    </row>
    <row r="3349" ht="15.75" customHeight="1">
      <c r="DG3349" s="52"/>
      <c r="DH3349" s="52"/>
    </row>
    <row r="3350" ht="15.75" customHeight="1">
      <c r="DG3350" s="52"/>
      <c r="DH3350" s="52"/>
    </row>
    <row r="3351" ht="15.75" customHeight="1">
      <c r="DG3351" s="52"/>
      <c r="DH3351" s="52"/>
    </row>
    <row r="3352" ht="15.75" customHeight="1">
      <c r="DG3352" s="52"/>
      <c r="DH3352" s="52"/>
    </row>
    <row r="3353" ht="15.75" customHeight="1">
      <c r="DG3353" s="52"/>
      <c r="DH3353" s="52"/>
    </row>
    <row r="3354" ht="15.75" customHeight="1">
      <c r="DG3354" s="52"/>
      <c r="DH3354" s="52"/>
    </row>
    <row r="3355" ht="15.75" customHeight="1">
      <c r="DG3355" s="52"/>
      <c r="DH3355" s="52"/>
    </row>
    <row r="3356" ht="15.75" customHeight="1">
      <c r="DG3356" s="52"/>
      <c r="DH3356" s="52"/>
    </row>
    <row r="3357" ht="15.75" customHeight="1">
      <c r="DG3357" s="52"/>
      <c r="DH3357" s="52"/>
    </row>
    <row r="3358" ht="15.75" customHeight="1">
      <c r="DG3358" s="52"/>
      <c r="DH3358" s="52"/>
    </row>
    <row r="3359" ht="15.75" customHeight="1">
      <c r="DG3359" s="52"/>
      <c r="DH3359" s="52"/>
    </row>
    <row r="3360" ht="15.75" customHeight="1">
      <c r="DG3360" s="52"/>
      <c r="DH3360" s="52"/>
    </row>
    <row r="3361" ht="15.75" customHeight="1">
      <c r="DG3361" s="52"/>
      <c r="DH3361" s="52"/>
    </row>
    <row r="3362" ht="15.75" customHeight="1">
      <c r="DG3362" s="52"/>
      <c r="DH3362" s="52"/>
    </row>
    <row r="3363" ht="15.75" customHeight="1">
      <c r="DG3363" s="52"/>
      <c r="DH3363" s="52"/>
    </row>
    <row r="3364" ht="15.75" customHeight="1">
      <c r="DG3364" s="52"/>
      <c r="DH3364" s="52"/>
    </row>
    <row r="3365" ht="15.75" customHeight="1">
      <c r="DG3365" s="52"/>
      <c r="DH3365" s="52"/>
    </row>
    <row r="3366" ht="15.75" customHeight="1">
      <c r="DG3366" s="52"/>
      <c r="DH3366" s="52"/>
    </row>
    <row r="3367" ht="15.75" customHeight="1">
      <c r="DG3367" s="52"/>
      <c r="DH3367" s="52"/>
    </row>
    <row r="3368" ht="15.75" customHeight="1">
      <c r="DG3368" s="52"/>
      <c r="DH3368" s="52"/>
    </row>
    <row r="3369" ht="15.75" customHeight="1">
      <c r="DG3369" s="52"/>
      <c r="DH3369" s="52"/>
    </row>
    <row r="3370" ht="15.75" customHeight="1">
      <c r="DG3370" s="52"/>
      <c r="DH3370" s="52"/>
    </row>
    <row r="3371" ht="15.75" customHeight="1">
      <c r="DG3371" s="52"/>
      <c r="DH3371" s="52"/>
    </row>
    <row r="3372" ht="15.75" customHeight="1">
      <c r="DG3372" s="52"/>
      <c r="DH3372" s="52"/>
    </row>
    <row r="3373" ht="15.75" customHeight="1">
      <c r="DG3373" s="52"/>
      <c r="DH3373" s="52"/>
    </row>
    <row r="3374" ht="15.75" customHeight="1">
      <c r="DG3374" s="52"/>
      <c r="DH3374" s="52"/>
    </row>
    <row r="3375" ht="15.75" customHeight="1">
      <c r="DG3375" s="52"/>
      <c r="DH3375" s="52"/>
    </row>
    <row r="3376" ht="15.75" customHeight="1">
      <c r="DG3376" s="52"/>
      <c r="DH3376" s="52"/>
    </row>
    <row r="3377" ht="15.75" customHeight="1">
      <c r="DG3377" s="52"/>
      <c r="DH3377" s="52"/>
    </row>
    <row r="3378" ht="15.75" customHeight="1">
      <c r="DG3378" s="52"/>
      <c r="DH3378" s="52"/>
    </row>
    <row r="3379" ht="15.75" customHeight="1">
      <c r="DG3379" s="52"/>
      <c r="DH3379" s="52"/>
    </row>
    <row r="3380" ht="15.75" customHeight="1">
      <c r="DG3380" s="52"/>
      <c r="DH3380" s="52"/>
    </row>
    <row r="3381" ht="15.75" customHeight="1">
      <c r="DG3381" s="52"/>
      <c r="DH3381" s="52"/>
    </row>
    <row r="3382" ht="15.75" customHeight="1">
      <c r="DG3382" s="52"/>
      <c r="DH3382" s="52"/>
    </row>
    <row r="3383" ht="15.75" customHeight="1">
      <c r="DG3383" s="52"/>
      <c r="DH3383" s="52"/>
    </row>
    <row r="3384" ht="15.75" customHeight="1">
      <c r="DG3384" s="52"/>
      <c r="DH3384" s="52"/>
    </row>
    <row r="3385" ht="15.75" customHeight="1">
      <c r="DG3385" s="52"/>
      <c r="DH3385" s="52"/>
    </row>
    <row r="3386" ht="15.75" customHeight="1">
      <c r="DG3386" s="52"/>
      <c r="DH3386" s="52"/>
    </row>
    <row r="3387" ht="15.75" customHeight="1">
      <c r="DG3387" s="52"/>
      <c r="DH3387" s="52"/>
    </row>
    <row r="3388" ht="15.75" customHeight="1">
      <c r="DG3388" s="52"/>
      <c r="DH3388" s="52"/>
    </row>
    <row r="3389" ht="15.75" customHeight="1">
      <c r="DG3389" s="52"/>
      <c r="DH3389" s="52"/>
    </row>
    <row r="3390" ht="15.75" customHeight="1">
      <c r="DG3390" s="52"/>
      <c r="DH3390" s="52"/>
    </row>
    <row r="3391" ht="15.75" customHeight="1">
      <c r="DG3391" s="52"/>
      <c r="DH3391" s="52"/>
    </row>
    <row r="3392" ht="15.75" customHeight="1">
      <c r="DG3392" s="52"/>
      <c r="DH3392" s="52"/>
    </row>
    <row r="3393" ht="15.75" customHeight="1">
      <c r="DG3393" s="52"/>
      <c r="DH3393" s="52"/>
    </row>
    <row r="3394" ht="15.75" customHeight="1">
      <c r="DG3394" s="52"/>
      <c r="DH3394" s="52"/>
    </row>
    <row r="3395" ht="15.75" customHeight="1">
      <c r="DG3395" s="52"/>
      <c r="DH3395" s="52"/>
    </row>
    <row r="3396" ht="15.75" customHeight="1">
      <c r="DG3396" s="52"/>
      <c r="DH3396" s="52"/>
    </row>
    <row r="3397" ht="15.75" customHeight="1">
      <c r="DG3397" s="52"/>
      <c r="DH3397" s="52"/>
    </row>
    <row r="3398" ht="15.75" customHeight="1">
      <c r="DG3398" s="52"/>
      <c r="DH3398" s="52"/>
    </row>
    <row r="3399" ht="15.75" customHeight="1">
      <c r="DG3399" s="52"/>
      <c r="DH3399" s="52"/>
    </row>
    <row r="3400" ht="15.75" customHeight="1">
      <c r="DG3400" s="52"/>
      <c r="DH3400" s="52"/>
    </row>
    <row r="3401" ht="15.75" customHeight="1">
      <c r="DG3401" s="52"/>
      <c r="DH3401" s="52"/>
    </row>
    <row r="3402" ht="15.75" customHeight="1">
      <c r="DG3402" s="52"/>
      <c r="DH3402" s="52"/>
    </row>
    <row r="3403" ht="15.75" customHeight="1">
      <c r="DG3403" s="52"/>
      <c r="DH3403" s="52"/>
    </row>
    <row r="3404" ht="15.75" customHeight="1">
      <c r="DG3404" s="52"/>
      <c r="DH3404" s="52"/>
    </row>
    <row r="3405" ht="15.75" customHeight="1">
      <c r="DG3405" s="52"/>
      <c r="DH3405" s="52"/>
    </row>
    <row r="3406" ht="15.75" customHeight="1">
      <c r="DG3406" s="52"/>
      <c r="DH3406" s="52"/>
    </row>
    <row r="3407" ht="15.75" customHeight="1">
      <c r="DG3407" s="52"/>
      <c r="DH3407" s="52"/>
    </row>
    <row r="3408" ht="15.75" customHeight="1">
      <c r="DG3408" s="52"/>
      <c r="DH3408" s="52"/>
    </row>
    <row r="3409" ht="15.75" customHeight="1">
      <c r="DG3409" s="52"/>
      <c r="DH3409" s="52"/>
    </row>
    <row r="3410" ht="15.75" customHeight="1">
      <c r="DG3410" s="52"/>
      <c r="DH3410" s="52"/>
    </row>
    <row r="3411" ht="15.75" customHeight="1">
      <c r="DG3411" s="52"/>
      <c r="DH3411" s="52"/>
    </row>
    <row r="3412" ht="15.75" customHeight="1">
      <c r="DG3412" s="52"/>
      <c r="DH3412" s="52"/>
    </row>
    <row r="3413" ht="15.75" customHeight="1">
      <c r="DG3413" s="52"/>
      <c r="DH3413" s="52"/>
    </row>
    <row r="3414" ht="15.75" customHeight="1">
      <c r="DG3414" s="52"/>
      <c r="DH3414" s="52"/>
    </row>
    <row r="3415" ht="15.75" customHeight="1">
      <c r="DG3415" s="52"/>
      <c r="DH3415" s="52"/>
    </row>
    <row r="3416" ht="15.75" customHeight="1">
      <c r="DG3416" s="52"/>
      <c r="DH3416" s="52"/>
    </row>
    <row r="3417" ht="15.75" customHeight="1">
      <c r="DG3417" s="52"/>
      <c r="DH3417" s="52"/>
    </row>
    <row r="3418" ht="15.75" customHeight="1">
      <c r="DG3418" s="52"/>
      <c r="DH3418" s="52"/>
    </row>
    <row r="3419" ht="15.75" customHeight="1">
      <c r="DG3419" s="52"/>
      <c r="DH3419" s="52"/>
    </row>
    <row r="3420" ht="15.75" customHeight="1">
      <c r="DG3420" s="52"/>
      <c r="DH3420" s="52"/>
    </row>
    <row r="3421" ht="15.75" customHeight="1">
      <c r="DG3421" s="52"/>
      <c r="DH3421" s="52"/>
    </row>
    <row r="3422" ht="15.75" customHeight="1">
      <c r="DG3422" s="52"/>
      <c r="DH3422" s="52"/>
    </row>
    <row r="3423" ht="15.75" customHeight="1">
      <c r="DG3423" s="52"/>
      <c r="DH3423" s="52"/>
    </row>
    <row r="3424" ht="15.75" customHeight="1">
      <c r="DG3424" s="52"/>
      <c r="DH3424" s="52"/>
    </row>
    <row r="3425" ht="15.75" customHeight="1">
      <c r="DG3425" s="52"/>
      <c r="DH3425" s="52"/>
    </row>
    <row r="3426" ht="15.75" customHeight="1">
      <c r="DG3426" s="52"/>
      <c r="DH3426" s="52"/>
    </row>
    <row r="3427" ht="15.75" customHeight="1">
      <c r="DG3427" s="52"/>
      <c r="DH3427" s="52"/>
    </row>
    <row r="3428" ht="15.75" customHeight="1">
      <c r="DG3428" s="52"/>
      <c r="DH3428" s="52"/>
    </row>
    <row r="3429" ht="15.75" customHeight="1">
      <c r="DG3429" s="52"/>
      <c r="DH3429" s="52"/>
    </row>
    <row r="3430" ht="15.75" customHeight="1">
      <c r="DG3430" s="52"/>
      <c r="DH3430" s="52"/>
    </row>
    <row r="3431" ht="15.75" customHeight="1">
      <c r="DG3431" s="52"/>
      <c r="DH3431" s="52"/>
    </row>
    <row r="3432" ht="15.75" customHeight="1">
      <c r="DG3432" s="52"/>
      <c r="DH3432" s="52"/>
    </row>
    <row r="3433" ht="15.75" customHeight="1">
      <c r="DG3433" s="52"/>
      <c r="DH3433" s="52"/>
    </row>
    <row r="3434" ht="15.75" customHeight="1">
      <c r="DG3434" s="52"/>
      <c r="DH3434" s="52"/>
    </row>
    <row r="3435" ht="15.75" customHeight="1">
      <c r="DG3435" s="52"/>
      <c r="DH3435" s="52"/>
    </row>
    <row r="3436" ht="15.75" customHeight="1">
      <c r="DG3436" s="52"/>
      <c r="DH3436" s="52"/>
    </row>
    <row r="3437" ht="15.75" customHeight="1">
      <c r="DG3437" s="52"/>
      <c r="DH3437" s="52"/>
    </row>
    <row r="3438" ht="15.75" customHeight="1">
      <c r="DG3438" s="52"/>
      <c r="DH3438" s="52"/>
    </row>
    <row r="3439" ht="15.75" customHeight="1">
      <c r="DG3439" s="52"/>
      <c r="DH3439" s="52"/>
    </row>
    <row r="3440" ht="15.75" customHeight="1">
      <c r="DG3440" s="52"/>
      <c r="DH3440" s="52"/>
    </row>
    <row r="3441" ht="15.75" customHeight="1">
      <c r="DG3441" s="52"/>
      <c r="DH3441" s="52"/>
    </row>
    <row r="3442" ht="15.75" customHeight="1">
      <c r="DG3442" s="52"/>
      <c r="DH3442" s="52"/>
    </row>
    <row r="3443" ht="15.75" customHeight="1">
      <c r="DG3443" s="52"/>
      <c r="DH3443" s="52"/>
    </row>
    <row r="3444" ht="15.75" customHeight="1">
      <c r="DG3444" s="52"/>
      <c r="DH3444" s="52"/>
    </row>
    <row r="3445" ht="15.75" customHeight="1">
      <c r="DG3445" s="52"/>
      <c r="DH3445" s="52"/>
    </row>
    <row r="3446" ht="15.75" customHeight="1">
      <c r="DG3446" s="52"/>
      <c r="DH3446" s="52"/>
    </row>
    <row r="3447" ht="15.75" customHeight="1">
      <c r="DG3447" s="52"/>
      <c r="DH3447" s="52"/>
    </row>
    <row r="3448" ht="15.75" customHeight="1">
      <c r="DG3448" s="52"/>
      <c r="DH3448" s="52"/>
    </row>
    <row r="3449" ht="15.75" customHeight="1">
      <c r="DG3449" s="52"/>
      <c r="DH3449" s="52"/>
    </row>
    <row r="3450" ht="15.75" customHeight="1">
      <c r="DG3450" s="52"/>
      <c r="DH3450" s="52"/>
    </row>
    <row r="3451" ht="15.75" customHeight="1">
      <c r="DG3451" s="52"/>
      <c r="DH3451" s="52"/>
    </row>
    <row r="3452" ht="15.75" customHeight="1">
      <c r="DG3452" s="52"/>
      <c r="DH3452" s="52"/>
    </row>
    <row r="3453" ht="15.75" customHeight="1">
      <c r="DG3453" s="52"/>
      <c r="DH3453" s="52"/>
    </row>
    <row r="3454" ht="15.75" customHeight="1">
      <c r="DG3454" s="52"/>
      <c r="DH3454" s="52"/>
    </row>
    <row r="3455" ht="15.75" customHeight="1">
      <c r="DG3455" s="52"/>
      <c r="DH3455" s="52"/>
    </row>
    <row r="3456" ht="15.75" customHeight="1">
      <c r="DG3456" s="52"/>
      <c r="DH3456" s="52"/>
    </row>
    <row r="3457" ht="15.75" customHeight="1">
      <c r="DG3457" s="52"/>
      <c r="DH3457" s="52"/>
    </row>
    <row r="3458" ht="15.75" customHeight="1">
      <c r="DG3458" s="52"/>
      <c r="DH3458" s="52"/>
    </row>
    <row r="3459" ht="15.75" customHeight="1">
      <c r="DG3459" s="52"/>
      <c r="DH3459" s="52"/>
    </row>
    <row r="3460" ht="15.75" customHeight="1">
      <c r="DG3460" s="52"/>
      <c r="DH3460" s="52"/>
    </row>
    <row r="3461" ht="15.75" customHeight="1">
      <c r="DG3461" s="52"/>
      <c r="DH3461" s="52"/>
    </row>
    <row r="3462" ht="15.75" customHeight="1">
      <c r="DG3462" s="52"/>
      <c r="DH3462" s="52"/>
    </row>
    <row r="3463" ht="15.75" customHeight="1">
      <c r="DG3463" s="52"/>
      <c r="DH3463" s="52"/>
    </row>
    <row r="3464" ht="15.75" customHeight="1">
      <c r="DG3464" s="52"/>
      <c r="DH3464" s="52"/>
    </row>
    <row r="3465" ht="15.75" customHeight="1">
      <c r="DG3465" s="52"/>
      <c r="DH3465" s="52"/>
    </row>
    <row r="3466" ht="15.75" customHeight="1">
      <c r="DG3466" s="52"/>
      <c r="DH3466" s="52"/>
    </row>
    <row r="3467" ht="15.75" customHeight="1">
      <c r="DG3467" s="52"/>
      <c r="DH3467" s="52"/>
    </row>
    <row r="3468" ht="15.75" customHeight="1">
      <c r="DG3468" s="52"/>
      <c r="DH3468" s="52"/>
    </row>
    <row r="3469" ht="15.75" customHeight="1">
      <c r="DG3469" s="52"/>
      <c r="DH3469" s="52"/>
    </row>
    <row r="3470" ht="15.75" customHeight="1">
      <c r="DG3470" s="52"/>
      <c r="DH3470" s="52"/>
    </row>
    <row r="3471" ht="15.75" customHeight="1">
      <c r="DG3471" s="52"/>
      <c r="DH3471" s="52"/>
    </row>
    <row r="3472" ht="15.75" customHeight="1">
      <c r="DG3472" s="52"/>
      <c r="DH3472" s="52"/>
    </row>
    <row r="3473" ht="15.75" customHeight="1">
      <c r="DG3473" s="52"/>
      <c r="DH3473" s="52"/>
    </row>
    <row r="3474" ht="15.75" customHeight="1">
      <c r="DG3474" s="52"/>
      <c r="DH3474" s="52"/>
    </row>
    <row r="3475" ht="15.75" customHeight="1">
      <c r="DG3475" s="52"/>
      <c r="DH3475" s="52"/>
    </row>
    <row r="3476" ht="15.75" customHeight="1">
      <c r="DG3476" s="52"/>
      <c r="DH3476" s="52"/>
    </row>
    <row r="3477" ht="15.75" customHeight="1">
      <c r="DG3477" s="52"/>
      <c r="DH3477" s="52"/>
    </row>
    <row r="3478" ht="15.75" customHeight="1">
      <c r="DG3478" s="52"/>
      <c r="DH3478" s="52"/>
    </row>
    <row r="3479" ht="15.75" customHeight="1">
      <c r="DG3479" s="52"/>
      <c r="DH3479" s="52"/>
    </row>
    <row r="3480" ht="15.75" customHeight="1">
      <c r="DG3480" s="52"/>
      <c r="DH3480" s="52"/>
    </row>
    <row r="3481" ht="15.75" customHeight="1">
      <c r="DG3481" s="52"/>
      <c r="DH3481" s="52"/>
    </row>
    <row r="3482" ht="15.75" customHeight="1">
      <c r="DG3482" s="52"/>
      <c r="DH3482" s="52"/>
    </row>
    <row r="3483" ht="15.75" customHeight="1">
      <c r="DG3483" s="52"/>
      <c r="DH3483" s="52"/>
    </row>
    <row r="3484" ht="15.75" customHeight="1">
      <c r="DG3484" s="52"/>
      <c r="DH3484" s="52"/>
    </row>
    <row r="3485" ht="15.75" customHeight="1">
      <c r="DG3485" s="52"/>
      <c r="DH3485" s="52"/>
    </row>
    <row r="3486" ht="15.75" customHeight="1">
      <c r="DG3486" s="52"/>
      <c r="DH3486" s="52"/>
    </row>
    <row r="3487" ht="15.75" customHeight="1">
      <c r="DG3487" s="52"/>
      <c r="DH3487" s="52"/>
    </row>
    <row r="3488" ht="15.75" customHeight="1">
      <c r="DG3488" s="52"/>
      <c r="DH3488" s="52"/>
    </row>
    <row r="3489" ht="15.75" customHeight="1">
      <c r="DG3489" s="52"/>
      <c r="DH3489" s="52"/>
    </row>
    <row r="3490" ht="15.75" customHeight="1">
      <c r="DG3490" s="52"/>
      <c r="DH3490" s="52"/>
    </row>
    <row r="3491" ht="15.75" customHeight="1">
      <c r="DG3491" s="52"/>
      <c r="DH3491" s="52"/>
    </row>
    <row r="3492" ht="15.75" customHeight="1">
      <c r="DG3492" s="52"/>
      <c r="DH3492" s="52"/>
    </row>
    <row r="3493" ht="15.75" customHeight="1">
      <c r="DG3493" s="52"/>
      <c r="DH3493" s="52"/>
    </row>
    <row r="3494" ht="15.75" customHeight="1">
      <c r="DG3494" s="52"/>
      <c r="DH3494" s="52"/>
    </row>
    <row r="3495" ht="15.75" customHeight="1">
      <c r="DG3495" s="52"/>
      <c r="DH3495" s="52"/>
    </row>
    <row r="3496" ht="15.75" customHeight="1">
      <c r="DG3496" s="52"/>
      <c r="DH3496" s="52"/>
    </row>
    <row r="3497" ht="15.75" customHeight="1">
      <c r="DG3497" s="52"/>
      <c r="DH3497" s="52"/>
    </row>
    <row r="3498" ht="15.75" customHeight="1">
      <c r="DG3498" s="52"/>
      <c r="DH3498" s="52"/>
    </row>
    <row r="3499" ht="15.75" customHeight="1">
      <c r="DG3499" s="52"/>
      <c r="DH3499" s="52"/>
    </row>
    <row r="3500" ht="15.75" customHeight="1">
      <c r="DG3500" s="52"/>
      <c r="DH3500" s="52"/>
    </row>
    <row r="3501" ht="15.75" customHeight="1">
      <c r="DG3501" s="52"/>
      <c r="DH3501" s="52"/>
    </row>
    <row r="3502" ht="15.75" customHeight="1">
      <c r="DG3502" s="52"/>
      <c r="DH3502" s="52"/>
    </row>
    <row r="3503" ht="15.75" customHeight="1">
      <c r="DG3503" s="52"/>
      <c r="DH3503" s="52"/>
    </row>
    <row r="3504" ht="15.75" customHeight="1">
      <c r="DG3504" s="52"/>
      <c r="DH3504" s="52"/>
    </row>
    <row r="3505" ht="15.75" customHeight="1">
      <c r="DG3505" s="52"/>
      <c r="DH3505" s="52"/>
    </row>
    <row r="3506" ht="15.75" customHeight="1">
      <c r="DG3506" s="52"/>
      <c r="DH3506" s="52"/>
    </row>
    <row r="3507" ht="15.75" customHeight="1">
      <c r="DG3507" s="52"/>
      <c r="DH3507" s="52"/>
    </row>
    <row r="3508" ht="15.75" customHeight="1">
      <c r="DG3508" s="52"/>
      <c r="DH3508" s="52"/>
    </row>
    <row r="3509" ht="15.75" customHeight="1">
      <c r="DG3509" s="52"/>
      <c r="DH3509" s="52"/>
    </row>
    <row r="3510" ht="15.75" customHeight="1">
      <c r="DG3510" s="52"/>
      <c r="DH3510" s="52"/>
    </row>
    <row r="3511" ht="15.75" customHeight="1">
      <c r="DG3511" s="52"/>
      <c r="DH3511" s="52"/>
    </row>
    <row r="3512" ht="15.75" customHeight="1">
      <c r="DG3512" s="52"/>
      <c r="DH3512" s="52"/>
    </row>
    <row r="3513" ht="15.75" customHeight="1">
      <c r="DG3513" s="52"/>
      <c r="DH3513" s="52"/>
    </row>
    <row r="3514" ht="15.75" customHeight="1">
      <c r="DG3514" s="52"/>
      <c r="DH3514" s="52"/>
    </row>
    <row r="3515" ht="15.75" customHeight="1">
      <c r="DG3515" s="52"/>
      <c r="DH3515" s="52"/>
    </row>
    <row r="3516" ht="15.75" customHeight="1">
      <c r="DG3516" s="52"/>
      <c r="DH3516" s="52"/>
    </row>
    <row r="3517" ht="15.75" customHeight="1">
      <c r="DG3517" s="52"/>
      <c r="DH3517" s="52"/>
    </row>
    <row r="3518" ht="15.75" customHeight="1">
      <c r="DG3518" s="52"/>
      <c r="DH3518" s="52"/>
    </row>
    <row r="3519" ht="15.75" customHeight="1">
      <c r="DG3519" s="52"/>
      <c r="DH3519" s="52"/>
    </row>
    <row r="3520" ht="15.75" customHeight="1">
      <c r="DG3520" s="52"/>
      <c r="DH3520" s="52"/>
    </row>
    <row r="3521" ht="15.75" customHeight="1">
      <c r="DG3521" s="52"/>
      <c r="DH3521" s="52"/>
    </row>
    <row r="3522" ht="15.75" customHeight="1">
      <c r="DG3522" s="52"/>
      <c r="DH3522" s="52"/>
    </row>
    <row r="3523" ht="15.75" customHeight="1">
      <c r="DG3523" s="52"/>
      <c r="DH3523" s="52"/>
    </row>
    <row r="3524" ht="15.75" customHeight="1">
      <c r="DG3524" s="52"/>
      <c r="DH3524" s="52"/>
    </row>
    <row r="3525" ht="15.75" customHeight="1">
      <c r="DG3525" s="52"/>
      <c r="DH3525" s="52"/>
    </row>
    <row r="3526" ht="15.75" customHeight="1">
      <c r="DG3526" s="52"/>
      <c r="DH3526" s="52"/>
    </row>
    <row r="3527" ht="15.75" customHeight="1">
      <c r="DG3527" s="52"/>
      <c r="DH3527" s="52"/>
    </row>
    <row r="3528" ht="15.75" customHeight="1">
      <c r="DG3528" s="52"/>
      <c r="DH3528" s="52"/>
    </row>
    <row r="3529" ht="15.75" customHeight="1">
      <c r="DG3529" s="52"/>
      <c r="DH3529" s="52"/>
    </row>
    <row r="3530" ht="15.75" customHeight="1">
      <c r="DG3530" s="52"/>
      <c r="DH3530" s="52"/>
    </row>
    <row r="3531" ht="15.75" customHeight="1">
      <c r="DG3531" s="52"/>
      <c r="DH3531" s="52"/>
    </row>
    <row r="3532" ht="15.75" customHeight="1">
      <c r="DG3532" s="52"/>
      <c r="DH3532" s="52"/>
    </row>
    <row r="3533" ht="15.75" customHeight="1">
      <c r="DG3533" s="52"/>
      <c r="DH3533" s="52"/>
    </row>
    <row r="3534" ht="15.75" customHeight="1">
      <c r="DG3534" s="52"/>
      <c r="DH3534" s="52"/>
    </row>
    <row r="3535" ht="15.75" customHeight="1">
      <c r="DG3535" s="52"/>
      <c r="DH3535" s="52"/>
    </row>
    <row r="3536" ht="15.75" customHeight="1">
      <c r="DG3536" s="52"/>
      <c r="DH3536" s="52"/>
    </row>
    <row r="3537" ht="15.75" customHeight="1">
      <c r="DG3537" s="52"/>
      <c r="DH3537" s="52"/>
    </row>
    <row r="3538" ht="15.75" customHeight="1">
      <c r="DG3538" s="52"/>
      <c r="DH3538" s="52"/>
    </row>
    <row r="3539" ht="15.75" customHeight="1">
      <c r="DG3539" s="52"/>
      <c r="DH3539" s="52"/>
    </row>
    <row r="3540" ht="15.75" customHeight="1">
      <c r="DG3540" s="52"/>
      <c r="DH3540" s="52"/>
    </row>
    <row r="3541" ht="15.75" customHeight="1">
      <c r="DG3541" s="52"/>
      <c r="DH3541" s="52"/>
    </row>
    <row r="3542" ht="15.75" customHeight="1">
      <c r="DG3542" s="52"/>
      <c r="DH3542" s="52"/>
    </row>
    <row r="3543" ht="15.75" customHeight="1">
      <c r="DG3543" s="52"/>
      <c r="DH3543" s="52"/>
    </row>
    <row r="3544" ht="15.75" customHeight="1">
      <c r="DG3544" s="52"/>
      <c r="DH3544" s="52"/>
    </row>
    <row r="3545" ht="15.75" customHeight="1">
      <c r="DG3545" s="52"/>
      <c r="DH3545" s="52"/>
    </row>
    <row r="3546" ht="15.75" customHeight="1">
      <c r="DG3546" s="52"/>
      <c r="DH3546" s="52"/>
    </row>
    <row r="3547" ht="15.75" customHeight="1">
      <c r="DG3547" s="52"/>
      <c r="DH3547" s="52"/>
    </row>
    <row r="3548" ht="15.75" customHeight="1">
      <c r="DG3548" s="52"/>
      <c r="DH3548" s="52"/>
    </row>
    <row r="3549" ht="15.75" customHeight="1">
      <c r="DG3549" s="52"/>
      <c r="DH3549" s="52"/>
    </row>
    <row r="3550" ht="15.75" customHeight="1">
      <c r="DG3550" s="52"/>
      <c r="DH3550" s="52"/>
    </row>
    <row r="3551" ht="15.75" customHeight="1">
      <c r="DG3551" s="52"/>
      <c r="DH3551" s="52"/>
    </row>
    <row r="3552" ht="15.75" customHeight="1">
      <c r="DG3552" s="52"/>
      <c r="DH3552" s="52"/>
    </row>
    <row r="3553" ht="15.75" customHeight="1">
      <c r="DG3553" s="52"/>
      <c r="DH3553" s="52"/>
    </row>
    <row r="3554" ht="15.75" customHeight="1">
      <c r="DG3554" s="52"/>
      <c r="DH3554" s="52"/>
    </row>
    <row r="3555" ht="15.75" customHeight="1">
      <c r="DG3555" s="52"/>
      <c r="DH3555" s="52"/>
    </row>
    <row r="3556" ht="15.75" customHeight="1">
      <c r="DG3556" s="52"/>
      <c r="DH3556" s="52"/>
    </row>
    <row r="3557" ht="15.75" customHeight="1">
      <c r="DG3557" s="52"/>
      <c r="DH3557" s="52"/>
    </row>
    <row r="3558" ht="15.75" customHeight="1">
      <c r="DG3558" s="52"/>
      <c r="DH3558" s="52"/>
    </row>
    <row r="3559" ht="15.75" customHeight="1">
      <c r="DG3559" s="52"/>
      <c r="DH3559" s="52"/>
    </row>
    <row r="3560" ht="15.75" customHeight="1">
      <c r="DG3560" s="52"/>
      <c r="DH3560" s="52"/>
    </row>
    <row r="3561" ht="15.75" customHeight="1">
      <c r="DG3561" s="52"/>
      <c r="DH3561" s="52"/>
    </row>
    <row r="3562" ht="15.75" customHeight="1">
      <c r="DG3562" s="52"/>
      <c r="DH3562" s="52"/>
    </row>
    <row r="3563" ht="15.75" customHeight="1">
      <c r="DG3563" s="52"/>
      <c r="DH3563" s="52"/>
    </row>
    <row r="3564" ht="15.75" customHeight="1">
      <c r="DG3564" s="52"/>
      <c r="DH3564" s="52"/>
    </row>
    <row r="3565" ht="15.75" customHeight="1">
      <c r="DG3565" s="52"/>
      <c r="DH3565" s="52"/>
    </row>
    <row r="3566" ht="15.75" customHeight="1">
      <c r="DG3566" s="52"/>
      <c r="DH3566" s="52"/>
    </row>
    <row r="3567" ht="15.75" customHeight="1">
      <c r="DG3567" s="52"/>
      <c r="DH3567" s="52"/>
    </row>
    <row r="3568" ht="15.75" customHeight="1">
      <c r="DG3568" s="52"/>
      <c r="DH3568" s="52"/>
    </row>
    <row r="3569" ht="15.75" customHeight="1">
      <c r="DG3569" s="52"/>
      <c r="DH3569" s="52"/>
    </row>
    <row r="3570" ht="15.75" customHeight="1">
      <c r="DG3570" s="52"/>
      <c r="DH3570" s="52"/>
    </row>
    <row r="3571" ht="15.75" customHeight="1">
      <c r="DG3571" s="52"/>
      <c r="DH3571" s="52"/>
    </row>
    <row r="3572" ht="15.75" customHeight="1">
      <c r="DG3572" s="52"/>
      <c r="DH3572" s="52"/>
    </row>
    <row r="3573" ht="15.75" customHeight="1">
      <c r="DG3573" s="52"/>
      <c r="DH3573" s="52"/>
    </row>
    <row r="3574" ht="15.75" customHeight="1">
      <c r="DG3574" s="52"/>
      <c r="DH3574" s="52"/>
    </row>
    <row r="3575" ht="15.75" customHeight="1">
      <c r="DG3575" s="52"/>
      <c r="DH3575" s="52"/>
    </row>
    <row r="3576" ht="15.75" customHeight="1">
      <c r="DG3576" s="52"/>
      <c r="DH3576" s="52"/>
    </row>
    <row r="3577" ht="15.75" customHeight="1">
      <c r="DG3577" s="52"/>
      <c r="DH3577" s="52"/>
    </row>
    <row r="3578" ht="15.75" customHeight="1">
      <c r="DG3578" s="52"/>
      <c r="DH3578" s="52"/>
    </row>
    <row r="3579" ht="15.75" customHeight="1">
      <c r="DG3579" s="52"/>
      <c r="DH3579" s="52"/>
    </row>
    <row r="3580" ht="15.75" customHeight="1">
      <c r="DG3580" s="52"/>
      <c r="DH3580" s="52"/>
    </row>
    <row r="3581" ht="15.75" customHeight="1">
      <c r="DG3581" s="52"/>
      <c r="DH3581" s="52"/>
    </row>
    <row r="3582" ht="15.75" customHeight="1">
      <c r="DG3582" s="52"/>
      <c r="DH3582" s="52"/>
    </row>
    <row r="3583" ht="15.75" customHeight="1">
      <c r="DG3583" s="52"/>
      <c r="DH3583" s="52"/>
    </row>
    <row r="3584" ht="15.75" customHeight="1">
      <c r="DG3584" s="52"/>
      <c r="DH3584" s="52"/>
    </row>
    <row r="3585" ht="15.75" customHeight="1">
      <c r="DG3585" s="52"/>
      <c r="DH3585" s="52"/>
    </row>
    <row r="3586" ht="15.75" customHeight="1">
      <c r="DG3586" s="52"/>
      <c r="DH3586" s="52"/>
    </row>
    <row r="3587" ht="15.75" customHeight="1">
      <c r="DG3587" s="52"/>
      <c r="DH3587" s="52"/>
    </row>
    <row r="3588" ht="15.75" customHeight="1">
      <c r="DG3588" s="52"/>
      <c r="DH3588" s="52"/>
    </row>
    <row r="3589" ht="15.75" customHeight="1">
      <c r="DG3589" s="52"/>
      <c r="DH3589" s="52"/>
    </row>
    <row r="3590" ht="15.75" customHeight="1">
      <c r="DG3590" s="52"/>
      <c r="DH3590" s="52"/>
    </row>
    <row r="3591" ht="15.75" customHeight="1">
      <c r="DG3591" s="52"/>
      <c r="DH3591" s="52"/>
    </row>
    <row r="3592" ht="15.75" customHeight="1">
      <c r="DG3592" s="52"/>
      <c r="DH3592" s="52"/>
    </row>
    <row r="3593" ht="15.75" customHeight="1">
      <c r="DG3593" s="52"/>
      <c r="DH3593" s="52"/>
    </row>
    <row r="3594" ht="15.75" customHeight="1">
      <c r="DG3594" s="52"/>
      <c r="DH3594" s="52"/>
    </row>
    <row r="3595" ht="15.75" customHeight="1">
      <c r="DG3595" s="52"/>
      <c r="DH3595" s="52"/>
    </row>
    <row r="3596" ht="15.75" customHeight="1">
      <c r="DG3596" s="52"/>
      <c r="DH3596" s="52"/>
    </row>
    <row r="3597" ht="15.75" customHeight="1">
      <c r="DG3597" s="52"/>
      <c r="DH3597" s="52"/>
    </row>
    <row r="3598" ht="15.75" customHeight="1">
      <c r="DG3598" s="52"/>
      <c r="DH3598" s="52"/>
    </row>
    <row r="3599" ht="15.75" customHeight="1">
      <c r="DG3599" s="52"/>
      <c r="DH3599" s="52"/>
    </row>
    <row r="3600" ht="15.75" customHeight="1">
      <c r="DG3600" s="52"/>
      <c r="DH3600" s="52"/>
    </row>
    <row r="3601" ht="15.75" customHeight="1">
      <c r="DG3601" s="52"/>
      <c r="DH3601" s="52"/>
    </row>
    <row r="3602" ht="15.75" customHeight="1">
      <c r="DG3602" s="52"/>
      <c r="DH3602" s="52"/>
    </row>
    <row r="3603" ht="15.75" customHeight="1">
      <c r="DG3603" s="52"/>
      <c r="DH3603" s="52"/>
    </row>
    <row r="3604" ht="15.75" customHeight="1">
      <c r="DG3604" s="52"/>
      <c r="DH3604" s="52"/>
    </row>
    <row r="3605" ht="15.75" customHeight="1">
      <c r="DG3605" s="52"/>
      <c r="DH3605" s="52"/>
    </row>
    <row r="3606" ht="15.75" customHeight="1">
      <c r="DG3606" s="52"/>
      <c r="DH3606" s="52"/>
    </row>
    <row r="3607" ht="15.75" customHeight="1">
      <c r="DG3607" s="52"/>
      <c r="DH3607" s="52"/>
    </row>
    <row r="3608" ht="15.75" customHeight="1">
      <c r="DG3608" s="52"/>
      <c r="DH3608" s="52"/>
    </row>
    <row r="3609" ht="15.75" customHeight="1">
      <c r="DG3609" s="52"/>
      <c r="DH3609" s="52"/>
    </row>
    <row r="3610" ht="15.75" customHeight="1">
      <c r="DG3610" s="52"/>
      <c r="DH3610" s="52"/>
    </row>
    <row r="3611" ht="15.75" customHeight="1">
      <c r="DG3611" s="52"/>
      <c r="DH3611" s="52"/>
    </row>
    <row r="3612" ht="15.75" customHeight="1">
      <c r="DG3612" s="52"/>
      <c r="DH3612" s="52"/>
    </row>
    <row r="3613" ht="15.75" customHeight="1">
      <c r="DG3613" s="52"/>
      <c r="DH3613" s="52"/>
    </row>
    <row r="3614" ht="15.75" customHeight="1">
      <c r="DG3614" s="52"/>
      <c r="DH3614" s="52"/>
    </row>
    <row r="3615" ht="15.75" customHeight="1">
      <c r="DG3615" s="52"/>
      <c r="DH3615" s="52"/>
    </row>
    <row r="3616" ht="15.75" customHeight="1">
      <c r="DG3616" s="52"/>
      <c r="DH3616" s="52"/>
    </row>
    <row r="3617" ht="15.75" customHeight="1">
      <c r="DG3617" s="52"/>
      <c r="DH3617" s="52"/>
    </row>
    <row r="3618" ht="15.75" customHeight="1">
      <c r="DG3618" s="52"/>
      <c r="DH3618" s="52"/>
    </row>
    <row r="3619" ht="15.75" customHeight="1">
      <c r="DG3619" s="52"/>
      <c r="DH3619" s="52"/>
    </row>
    <row r="3620" ht="15.75" customHeight="1">
      <c r="DG3620" s="52"/>
      <c r="DH3620" s="52"/>
    </row>
    <row r="3621" ht="15.75" customHeight="1">
      <c r="DG3621" s="52"/>
      <c r="DH3621" s="52"/>
    </row>
    <row r="3622" ht="15.75" customHeight="1">
      <c r="DG3622" s="52"/>
      <c r="DH3622" s="52"/>
    </row>
    <row r="3623" ht="15.75" customHeight="1">
      <c r="DG3623" s="52"/>
      <c r="DH3623" s="52"/>
    </row>
    <row r="3624" ht="15.75" customHeight="1">
      <c r="DG3624" s="52"/>
      <c r="DH3624" s="52"/>
    </row>
    <row r="3625" ht="15.75" customHeight="1">
      <c r="DG3625" s="52"/>
      <c r="DH3625" s="52"/>
    </row>
    <row r="3626" ht="15.75" customHeight="1">
      <c r="DG3626" s="52"/>
      <c r="DH3626" s="52"/>
    </row>
    <row r="3627" ht="15.75" customHeight="1">
      <c r="DG3627" s="52"/>
      <c r="DH3627" s="52"/>
    </row>
    <row r="3628" ht="15.75" customHeight="1">
      <c r="DG3628" s="52"/>
      <c r="DH3628" s="52"/>
    </row>
    <row r="3629" ht="15.75" customHeight="1">
      <c r="DG3629" s="52"/>
      <c r="DH3629" s="52"/>
    </row>
    <row r="3630" ht="15.75" customHeight="1">
      <c r="DG3630" s="52"/>
      <c r="DH3630" s="52"/>
    </row>
    <row r="3631" ht="15.75" customHeight="1">
      <c r="DG3631" s="52"/>
      <c r="DH3631" s="52"/>
    </row>
    <row r="3632" ht="15.75" customHeight="1">
      <c r="DG3632" s="52"/>
      <c r="DH3632" s="52"/>
    </row>
    <row r="3633" ht="15.75" customHeight="1">
      <c r="DG3633" s="52"/>
      <c r="DH3633" s="52"/>
    </row>
    <row r="3634" ht="15.75" customHeight="1">
      <c r="DG3634" s="52"/>
      <c r="DH3634" s="52"/>
    </row>
    <row r="3635" ht="15.75" customHeight="1">
      <c r="DG3635" s="52"/>
      <c r="DH3635" s="52"/>
    </row>
    <row r="3636" ht="15.75" customHeight="1">
      <c r="DG3636" s="52"/>
      <c r="DH3636" s="52"/>
    </row>
    <row r="3637" ht="15.75" customHeight="1">
      <c r="DG3637" s="52"/>
      <c r="DH3637" s="52"/>
    </row>
    <row r="3638" ht="15.75" customHeight="1">
      <c r="DG3638" s="52"/>
      <c r="DH3638" s="52"/>
    </row>
    <row r="3639" ht="15.75" customHeight="1">
      <c r="DG3639" s="52"/>
      <c r="DH3639" s="52"/>
    </row>
    <row r="3640" ht="15.75" customHeight="1">
      <c r="DG3640" s="52"/>
      <c r="DH3640" s="52"/>
    </row>
    <row r="3641" ht="15.75" customHeight="1">
      <c r="DG3641" s="52"/>
      <c r="DH3641" s="52"/>
    </row>
    <row r="3642" ht="15.75" customHeight="1">
      <c r="DG3642" s="52"/>
      <c r="DH3642" s="52"/>
    </row>
    <row r="3643" ht="15.75" customHeight="1">
      <c r="DG3643" s="52"/>
      <c r="DH3643" s="52"/>
    </row>
    <row r="3644" ht="15.75" customHeight="1">
      <c r="DG3644" s="52"/>
      <c r="DH3644" s="52"/>
    </row>
    <row r="3645" ht="15.75" customHeight="1">
      <c r="DG3645" s="52"/>
      <c r="DH3645" s="52"/>
    </row>
    <row r="3646" ht="15.75" customHeight="1">
      <c r="DG3646" s="52"/>
      <c r="DH3646" s="52"/>
    </row>
    <row r="3647" ht="15.75" customHeight="1">
      <c r="DG3647" s="52"/>
      <c r="DH3647" s="52"/>
    </row>
    <row r="3648" ht="15.75" customHeight="1">
      <c r="DG3648" s="52"/>
      <c r="DH3648" s="52"/>
    </row>
    <row r="3649" ht="15.75" customHeight="1">
      <c r="DG3649" s="52"/>
      <c r="DH3649" s="52"/>
    </row>
    <row r="3650" ht="15.75" customHeight="1">
      <c r="DG3650" s="52"/>
      <c r="DH3650" s="52"/>
    </row>
    <row r="3651" ht="15.75" customHeight="1">
      <c r="DG3651" s="52"/>
      <c r="DH3651" s="52"/>
    </row>
    <row r="3652" ht="15.75" customHeight="1">
      <c r="DG3652" s="52"/>
      <c r="DH3652" s="52"/>
    </row>
    <row r="3653" ht="15.75" customHeight="1">
      <c r="DG3653" s="52"/>
      <c r="DH3653" s="52"/>
    </row>
    <row r="3654" ht="15.75" customHeight="1">
      <c r="DG3654" s="52"/>
      <c r="DH3654" s="52"/>
    </row>
    <row r="3655" ht="15.75" customHeight="1">
      <c r="DG3655" s="52"/>
      <c r="DH3655" s="52"/>
    </row>
    <row r="3656" ht="15.75" customHeight="1">
      <c r="DG3656" s="52"/>
      <c r="DH3656" s="52"/>
    </row>
    <row r="3657" ht="15.75" customHeight="1">
      <c r="DG3657" s="52"/>
      <c r="DH3657" s="52"/>
    </row>
    <row r="3658" ht="15.75" customHeight="1">
      <c r="DG3658" s="52"/>
      <c r="DH3658" s="52"/>
    </row>
    <row r="3659" ht="15.75" customHeight="1">
      <c r="DG3659" s="52"/>
      <c r="DH3659" s="52"/>
    </row>
    <row r="3660" ht="15.75" customHeight="1">
      <c r="DG3660" s="52"/>
      <c r="DH3660" s="52"/>
    </row>
    <row r="3661" ht="15.75" customHeight="1">
      <c r="DG3661" s="52"/>
      <c r="DH3661" s="52"/>
    </row>
    <row r="3662" ht="15.75" customHeight="1">
      <c r="DG3662" s="52"/>
      <c r="DH3662" s="52"/>
    </row>
    <row r="3663" ht="15.75" customHeight="1">
      <c r="DG3663" s="52"/>
      <c r="DH3663" s="52"/>
    </row>
    <row r="3664" ht="15.75" customHeight="1">
      <c r="DG3664" s="52"/>
      <c r="DH3664" s="52"/>
    </row>
    <row r="3665" ht="15.75" customHeight="1">
      <c r="DG3665" s="52"/>
      <c r="DH3665" s="52"/>
    </row>
    <row r="3666" ht="15.75" customHeight="1">
      <c r="DG3666" s="52"/>
      <c r="DH3666" s="52"/>
    </row>
    <row r="3667" ht="15.75" customHeight="1">
      <c r="DG3667" s="52"/>
      <c r="DH3667" s="52"/>
    </row>
    <row r="3668" ht="15.75" customHeight="1">
      <c r="DG3668" s="52"/>
      <c r="DH3668" s="52"/>
    </row>
    <row r="3669" ht="15.75" customHeight="1">
      <c r="DG3669" s="52"/>
      <c r="DH3669" s="52"/>
    </row>
    <row r="3670" ht="15.75" customHeight="1">
      <c r="DG3670" s="52"/>
      <c r="DH3670" s="52"/>
    </row>
    <row r="3671" ht="15.75" customHeight="1">
      <c r="DG3671" s="52"/>
      <c r="DH3671" s="52"/>
    </row>
    <row r="3672" ht="15.75" customHeight="1">
      <c r="DG3672" s="52"/>
      <c r="DH3672" s="52"/>
    </row>
    <row r="3673" ht="15.75" customHeight="1">
      <c r="DG3673" s="52"/>
      <c r="DH3673" s="52"/>
    </row>
    <row r="3674" ht="15.75" customHeight="1">
      <c r="DG3674" s="52"/>
      <c r="DH3674" s="52"/>
    </row>
    <row r="3675" ht="15.75" customHeight="1">
      <c r="DG3675" s="52"/>
      <c r="DH3675" s="52"/>
    </row>
    <row r="3676" ht="15.75" customHeight="1">
      <c r="DG3676" s="52"/>
      <c r="DH3676" s="52"/>
    </row>
    <row r="3677" ht="15.75" customHeight="1">
      <c r="DG3677" s="52"/>
      <c r="DH3677" s="52"/>
    </row>
    <row r="3678" ht="15.75" customHeight="1">
      <c r="DG3678" s="52"/>
      <c r="DH3678" s="52"/>
    </row>
    <row r="3679" ht="15.75" customHeight="1">
      <c r="DG3679" s="52"/>
      <c r="DH3679" s="52"/>
    </row>
    <row r="3680" ht="15.75" customHeight="1">
      <c r="DG3680" s="52"/>
      <c r="DH3680" s="52"/>
    </row>
    <row r="3681" ht="15.75" customHeight="1">
      <c r="DG3681" s="52"/>
      <c r="DH3681" s="52"/>
    </row>
    <row r="3682" ht="15.75" customHeight="1">
      <c r="DG3682" s="52"/>
      <c r="DH3682" s="52"/>
    </row>
    <row r="3683" ht="15.75" customHeight="1">
      <c r="DG3683" s="52"/>
      <c r="DH3683" s="52"/>
    </row>
    <row r="3684" ht="15.75" customHeight="1">
      <c r="DG3684" s="52"/>
      <c r="DH3684" s="52"/>
    </row>
    <row r="3685" ht="15.75" customHeight="1">
      <c r="DG3685" s="52"/>
      <c r="DH3685" s="52"/>
    </row>
    <row r="3686" ht="15.75" customHeight="1">
      <c r="DG3686" s="52"/>
      <c r="DH3686" s="52"/>
    </row>
    <row r="3687" ht="15.75" customHeight="1">
      <c r="DG3687" s="52"/>
      <c r="DH3687" s="52"/>
    </row>
    <row r="3688" ht="15.75" customHeight="1">
      <c r="DG3688" s="52"/>
      <c r="DH3688" s="52"/>
    </row>
    <row r="3689" ht="15.75" customHeight="1">
      <c r="DG3689" s="52"/>
      <c r="DH3689" s="52"/>
    </row>
    <row r="3690" ht="15.75" customHeight="1">
      <c r="DG3690" s="52"/>
      <c r="DH3690" s="52"/>
    </row>
    <row r="3691" ht="15.75" customHeight="1">
      <c r="DG3691" s="52"/>
      <c r="DH3691" s="52"/>
    </row>
    <row r="3692" ht="15.75" customHeight="1">
      <c r="DG3692" s="52"/>
      <c r="DH3692" s="52"/>
    </row>
    <row r="3693" ht="15.75" customHeight="1">
      <c r="DG3693" s="52"/>
      <c r="DH3693" s="52"/>
    </row>
    <row r="3694" ht="15.75" customHeight="1">
      <c r="DG3694" s="52"/>
      <c r="DH3694" s="52"/>
    </row>
    <row r="3695" ht="15.75" customHeight="1">
      <c r="DG3695" s="52"/>
      <c r="DH3695" s="52"/>
    </row>
    <row r="3696" ht="15.75" customHeight="1">
      <c r="DG3696" s="52"/>
      <c r="DH3696" s="52"/>
    </row>
    <row r="3697" ht="15.75" customHeight="1">
      <c r="DG3697" s="52"/>
      <c r="DH3697" s="52"/>
    </row>
    <row r="3698" ht="15.75" customHeight="1">
      <c r="DG3698" s="52"/>
      <c r="DH3698" s="52"/>
    </row>
    <row r="3699" ht="15.75" customHeight="1">
      <c r="DG3699" s="52"/>
      <c r="DH3699" s="52"/>
    </row>
    <row r="3700" ht="15.75" customHeight="1">
      <c r="DG3700" s="52"/>
      <c r="DH3700" s="52"/>
    </row>
    <row r="3701" ht="15.75" customHeight="1">
      <c r="DG3701" s="52"/>
      <c r="DH3701" s="52"/>
    </row>
    <row r="3702" ht="15.75" customHeight="1">
      <c r="DG3702" s="52"/>
      <c r="DH3702" s="52"/>
    </row>
    <row r="3703" ht="15.75" customHeight="1">
      <c r="DG3703" s="52"/>
      <c r="DH3703" s="52"/>
    </row>
    <row r="3704" ht="15.75" customHeight="1">
      <c r="DG3704" s="52"/>
      <c r="DH3704" s="52"/>
    </row>
    <row r="3705" ht="15.75" customHeight="1">
      <c r="DG3705" s="52"/>
      <c r="DH3705" s="52"/>
    </row>
    <row r="3706" ht="15.75" customHeight="1">
      <c r="DG3706" s="52"/>
      <c r="DH3706" s="52"/>
    </row>
    <row r="3707" ht="15.75" customHeight="1">
      <c r="DG3707" s="52"/>
      <c r="DH3707" s="52"/>
    </row>
    <row r="3708" ht="15.75" customHeight="1">
      <c r="DG3708" s="52"/>
      <c r="DH3708" s="52"/>
    </row>
    <row r="3709" ht="15.75" customHeight="1">
      <c r="DG3709" s="52"/>
      <c r="DH3709" s="52"/>
    </row>
    <row r="3710" ht="15.75" customHeight="1">
      <c r="DG3710" s="52"/>
      <c r="DH3710" s="52"/>
    </row>
    <row r="3711" ht="15.75" customHeight="1">
      <c r="DG3711" s="52"/>
      <c r="DH3711" s="52"/>
    </row>
    <row r="3712" ht="15.75" customHeight="1">
      <c r="DG3712" s="52"/>
      <c r="DH3712" s="52"/>
    </row>
    <row r="3713" ht="15.75" customHeight="1">
      <c r="DG3713" s="52"/>
      <c r="DH3713" s="52"/>
    </row>
    <row r="3714" ht="15.75" customHeight="1">
      <c r="DG3714" s="52"/>
      <c r="DH3714" s="52"/>
    </row>
    <row r="3715" ht="15.75" customHeight="1">
      <c r="DG3715" s="52"/>
      <c r="DH3715" s="52"/>
    </row>
    <row r="3716" ht="15.75" customHeight="1">
      <c r="DG3716" s="52"/>
      <c r="DH3716" s="52"/>
    </row>
    <row r="3717" ht="15.75" customHeight="1">
      <c r="DG3717" s="52"/>
      <c r="DH3717" s="52"/>
    </row>
    <row r="3718" ht="15.75" customHeight="1">
      <c r="DG3718" s="52"/>
      <c r="DH3718" s="52"/>
    </row>
    <row r="3719" ht="15.75" customHeight="1">
      <c r="DG3719" s="52"/>
      <c r="DH3719" s="52"/>
    </row>
    <row r="3720" ht="15.75" customHeight="1">
      <c r="DG3720" s="52"/>
      <c r="DH3720" s="52"/>
    </row>
    <row r="3721" ht="15.75" customHeight="1">
      <c r="DG3721" s="52"/>
      <c r="DH3721" s="52"/>
    </row>
    <row r="3722" ht="15.75" customHeight="1">
      <c r="DG3722" s="52"/>
      <c r="DH3722" s="52"/>
    </row>
    <row r="3723" ht="15.75" customHeight="1">
      <c r="DG3723" s="52"/>
      <c r="DH3723" s="52"/>
    </row>
    <row r="3724" ht="15.75" customHeight="1">
      <c r="DG3724" s="52"/>
      <c r="DH3724" s="52"/>
    </row>
    <row r="3725" ht="15.75" customHeight="1">
      <c r="DG3725" s="52"/>
      <c r="DH3725" s="52"/>
    </row>
    <row r="3726" ht="15.75" customHeight="1">
      <c r="DG3726" s="52"/>
      <c r="DH3726" s="52"/>
    </row>
    <row r="3727" ht="15.75" customHeight="1">
      <c r="DG3727" s="52"/>
      <c r="DH3727" s="52"/>
    </row>
    <row r="3728" ht="15.75" customHeight="1">
      <c r="DG3728" s="52"/>
      <c r="DH3728" s="52"/>
    </row>
    <row r="3729" ht="15.75" customHeight="1">
      <c r="DG3729" s="52"/>
      <c r="DH3729" s="52"/>
    </row>
    <row r="3730" ht="15.75" customHeight="1">
      <c r="DG3730" s="52"/>
      <c r="DH3730" s="52"/>
    </row>
    <row r="3731" ht="15.75" customHeight="1">
      <c r="DG3731" s="52"/>
      <c r="DH3731" s="52"/>
    </row>
    <row r="3732" ht="15.75" customHeight="1">
      <c r="DG3732" s="52"/>
      <c r="DH3732" s="52"/>
    </row>
    <row r="3733" ht="15.75" customHeight="1">
      <c r="DG3733" s="52"/>
      <c r="DH3733" s="52"/>
    </row>
    <row r="3734" ht="15.75" customHeight="1">
      <c r="DG3734" s="52"/>
      <c r="DH3734" s="52"/>
    </row>
    <row r="3735" ht="15.75" customHeight="1">
      <c r="DG3735" s="52"/>
      <c r="DH3735" s="52"/>
    </row>
    <row r="3736" ht="15.75" customHeight="1">
      <c r="DG3736" s="52"/>
      <c r="DH3736" s="52"/>
    </row>
    <row r="3737" ht="15.75" customHeight="1">
      <c r="DG3737" s="52"/>
      <c r="DH3737" s="52"/>
    </row>
    <row r="3738" ht="15.75" customHeight="1">
      <c r="DG3738" s="52"/>
      <c r="DH3738" s="52"/>
    </row>
    <row r="3739" ht="15.75" customHeight="1">
      <c r="DG3739" s="52"/>
      <c r="DH3739" s="52"/>
    </row>
    <row r="3740" ht="15.75" customHeight="1">
      <c r="DG3740" s="52"/>
      <c r="DH3740" s="52"/>
    </row>
    <row r="3741" ht="15.75" customHeight="1">
      <c r="DG3741" s="52"/>
      <c r="DH3741" s="52"/>
    </row>
    <row r="3742" ht="15.75" customHeight="1">
      <c r="DG3742" s="52"/>
      <c r="DH3742" s="52"/>
    </row>
    <row r="3743" ht="15.75" customHeight="1">
      <c r="DG3743" s="52"/>
      <c r="DH3743" s="52"/>
    </row>
    <row r="3744" ht="15.75" customHeight="1">
      <c r="DG3744" s="52"/>
      <c r="DH3744" s="52"/>
    </row>
    <row r="3745" ht="15.75" customHeight="1">
      <c r="DG3745" s="52"/>
      <c r="DH3745" s="52"/>
    </row>
    <row r="3746" ht="15.75" customHeight="1">
      <c r="DG3746" s="52"/>
      <c r="DH3746" s="52"/>
    </row>
    <row r="3747" ht="15.75" customHeight="1">
      <c r="DG3747" s="52"/>
      <c r="DH3747" s="52"/>
    </row>
    <row r="3748" ht="15.75" customHeight="1">
      <c r="DG3748" s="52"/>
      <c r="DH3748" s="52"/>
    </row>
    <row r="3749" ht="15.75" customHeight="1">
      <c r="DG3749" s="52"/>
      <c r="DH3749" s="52"/>
    </row>
    <row r="3750" ht="15.75" customHeight="1">
      <c r="DG3750" s="52"/>
      <c r="DH3750" s="52"/>
    </row>
    <row r="3751" ht="15.75" customHeight="1">
      <c r="DG3751" s="52"/>
      <c r="DH3751" s="52"/>
    </row>
    <row r="3752" ht="15.75" customHeight="1">
      <c r="DG3752" s="52"/>
      <c r="DH3752" s="52"/>
    </row>
    <row r="3753" ht="15.75" customHeight="1">
      <c r="DG3753" s="52"/>
      <c r="DH3753" s="52"/>
    </row>
    <row r="3754" ht="15.75" customHeight="1">
      <c r="DG3754" s="52"/>
      <c r="DH3754" s="52"/>
    </row>
    <row r="3755" ht="15.75" customHeight="1">
      <c r="DG3755" s="52"/>
      <c r="DH3755" s="52"/>
    </row>
    <row r="3756" ht="15.75" customHeight="1">
      <c r="DG3756" s="52"/>
      <c r="DH3756" s="52"/>
    </row>
    <row r="3757" ht="15.75" customHeight="1">
      <c r="DG3757" s="52"/>
      <c r="DH3757" s="52"/>
    </row>
    <row r="3758" ht="15.75" customHeight="1">
      <c r="DG3758" s="52"/>
      <c r="DH3758" s="52"/>
    </row>
    <row r="3759" ht="15.75" customHeight="1">
      <c r="DG3759" s="52"/>
      <c r="DH3759" s="52"/>
    </row>
    <row r="3760" ht="15.75" customHeight="1">
      <c r="DG3760" s="52"/>
      <c r="DH3760" s="52"/>
    </row>
    <row r="3761" ht="15.75" customHeight="1">
      <c r="DG3761" s="52"/>
      <c r="DH3761" s="52"/>
    </row>
    <row r="3762" ht="15.75" customHeight="1">
      <c r="DG3762" s="52"/>
      <c r="DH3762" s="52"/>
    </row>
    <row r="3763" ht="15.75" customHeight="1">
      <c r="DG3763" s="52"/>
      <c r="DH3763" s="52"/>
    </row>
    <row r="3764" ht="15.75" customHeight="1">
      <c r="DG3764" s="52"/>
      <c r="DH3764" s="52"/>
    </row>
    <row r="3765" ht="15.75" customHeight="1">
      <c r="DG3765" s="52"/>
      <c r="DH3765" s="52"/>
    </row>
    <row r="3766" ht="15.75" customHeight="1">
      <c r="DG3766" s="52"/>
      <c r="DH3766" s="52"/>
    </row>
    <row r="3767" ht="15.75" customHeight="1">
      <c r="DG3767" s="52"/>
      <c r="DH3767" s="52"/>
    </row>
    <row r="3768" ht="15.75" customHeight="1">
      <c r="DG3768" s="52"/>
      <c r="DH3768" s="52"/>
    </row>
    <row r="3769" ht="15.75" customHeight="1">
      <c r="DG3769" s="52"/>
      <c r="DH3769" s="52"/>
    </row>
    <row r="3770" ht="15.75" customHeight="1">
      <c r="DG3770" s="52"/>
      <c r="DH3770" s="52"/>
    </row>
    <row r="3771" ht="15.75" customHeight="1">
      <c r="DG3771" s="52"/>
      <c r="DH3771" s="52"/>
    </row>
    <row r="3772" ht="15.75" customHeight="1">
      <c r="DG3772" s="52"/>
      <c r="DH3772" s="52"/>
    </row>
    <row r="3773" ht="15.75" customHeight="1">
      <c r="DG3773" s="52"/>
      <c r="DH3773" s="52"/>
    </row>
    <row r="3774" ht="15.75" customHeight="1">
      <c r="DG3774" s="52"/>
      <c r="DH3774" s="52"/>
    </row>
    <row r="3775" ht="15.75" customHeight="1">
      <c r="DG3775" s="52"/>
      <c r="DH3775" s="52"/>
    </row>
    <row r="3776" ht="15.75" customHeight="1">
      <c r="DG3776" s="52"/>
      <c r="DH3776" s="52"/>
    </row>
    <row r="3777" ht="15.75" customHeight="1">
      <c r="DG3777" s="52"/>
      <c r="DH3777" s="52"/>
    </row>
    <row r="3778" ht="15.75" customHeight="1">
      <c r="DG3778" s="52"/>
      <c r="DH3778" s="52"/>
    </row>
    <row r="3779" ht="15.75" customHeight="1">
      <c r="DG3779" s="52"/>
      <c r="DH3779" s="52"/>
    </row>
    <row r="3780" ht="15.75" customHeight="1">
      <c r="DG3780" s="52"/>
      <c r="DH3780" s="52"/>
    </row>
    <row r="3781" ht="15.75" customHeight="1">
      <c r="DG3781" s="52"/>
      <c r="DH3781" s="52"/>
    </row>
    <row r="3782" ht="15.75" customHeight="1">
      <c r="DG3782" s="52"/>
      <c r="DH3782" s="52"/>
    </row>
    <row r="3783" ht="15.75" customHeight="1">
      <c r="DG3783" s="52"/>
      <c r="DH3783" s="52"/>
    </row>
    <row r="3784" ht="15.75" customHeight="1">
      <c r="DG3784" s="52"/>
      <c r="DH3784" s="52"/>
    </row>
    <row r="3785" ht="15.75" customHeight="1">
      <c r="DG3785" s="52"/>
      <c r="DH3785" s="52"/>
    </row>
    <row r="3786" ht="15.75" customHeight="1">
      <c r="DG3786" s="52"/>
      <c r="DH3786" s="52"/>
    </row>
    <row r="3787" ht="15.75" customHeight="1">
      <c r="DG3787" s="52"/>
      <c r="DH3787" s="52"/>
    </row>
    <row r="3788" ht="15.75" customHeight="1">
      <c r="DG3788" s="52"/>
      <c r="DH3788" s="52"/>
    </row>
    <row r="3789" ht="15.75" customHeight="1">
      <c r="DG3789" s="52"/>
      <c r="DH3789" s="52"/>
    </row>
    <row r="3790" ht="15.75" customHeight="1">
      <c r="DG3790" s="52"/>
      <c r="DH3790" s="52"/>
    </row>
    <row r="3791" ht="15.75" customHeight="1">
      <c r="DG3791" s="52"/>
      <c r="DH3791" s="52"/>
    </row>
    <row r="3792" ht="15.75" customHeight="1">
      <c r="DG3792" s="52"/>
      <c r="DH3792" s="52"/>
    </row>
    <row r="3793" ht="15.75" customHeight="1">
      <c r="DG3793" s="52"/>
      <c r="DH3793" s="52"/>
    </row>
    <row r="3794" ht="15.75" customHeight="1">
      <c r="DG3794" s="52"/>
      <c r="DH3794" s="52"/>
    </row>
    <row r="3795" ht="15.75" customHeight="1">
      <c r="DG3795" s="52"/>
      <c r="DH3795" s="52"/>
    </row>
    <row r="3796" ht="15.75" customHeight="1">
      <c r="DG3796" s="52"/>
      <c r="DH3796" s="52"/>
    </row>
    <row r="3797" ht="15.75" customHeight="1">
      <c r="DG3797" s="52"/>
      <c r="DH3797" s="52"/>
    </row>
    <row r="3798" ht="15.75" customHeight="1">
      <c r="DG3798" s="52"/>
      <c r="DH3798" s="52"/>
    </row>
    <row r="3799" ht="15.75" customHeight="1">
      <c r="DG3799" s="52"/>
      <c r="DH3799" s="52"/>
    </row>
    <row r="3800" ht="15.75" customHeight="1">
      <c r="DG3800" s="52"/>
      <c r="DH3800" s="52"/>
    </row>
    <row r="3801" ht="15.75" customHeight="1">
      <c r="DG3801" s="52"/>
      <c r="DH3801" s="52"/>
    </row>
    <row r="3802" ht="15.75" customHeight="1">
      <c r="DG3802" s="52"/>
      <c r="DH3802" s="52"/>
    </row>
    <row r="3803" ht="15.75" customHeight="1">
      <c r="DG3803" s="52"/>
      <c r="DH3803" s="52"/>
    </row>
    <row r="3804" ht="15.75" customHeight="1">
      <c r="DG3804" s="52"/>
      <c r="DH3804" s="52"/>
    </row>
    <row r="3805" ht="15.75" customHeight="1">
      <c r="DG3805" s="52"/>
      <c r="DH3805" s="52"/>
    </row>
    <row r="3806" ht="15.75" customHeight="1">
      <c r="DG3806" s="52"/>
      <c r="DH3806" s="52"/>
    </row>
    <row r="3807" ht="15.75" customHeight="1">
      <c r="DG3807" s="52"/>
      <c r="DH3807" s="52"/>
    </row>
    <row r="3808" ht="15.75" customHeight="1">
      <c r="DG3808" s="52"/>
      <c r="DH3808" s="52"/>
    </row>
    <row r="3809" ht="15.75" customHeight="1">
      <c r="DG3809" s="52"/>
      <c r="DH3809" s="52"/>
    </row>
    <row r="3810" ht="15.75" customHeight="1">
      <c r="DG3810" s="52"/>
      <c r="DH3810" s="52"/>
    </row>
    <row r="3811" ht="15.75" customHeight="1">
      <c r="DG3811" s="52"/>
      <c r="DH3811" s="52"/>
    </row>
    <row r="3812" ht="15.75" customHeight="1">
      <c r="DG3812" s="52"/>
      <c r="DH3812" s="52"/>
    </row>
    <row r="3813" ht="15.75" customHeight="1">
      <c r="DG3813" s="52"/>
      <c r="DH3813" s="52"/>
    </row>
    <row r="3814" ht="15.75" customHeight="1">
      <c r="DG3814" s="52"/>
      <c r="DH3814" s="52"/>
    </row>
    <row r="3815" ht="15.75" customHeight="1">
      <c r="DG3815" s="52"/>
      <c r="DH3815" s="52"/>
    </row>
    <row r="3816" ht="15.75" customHeight="1">
      <c r="DG3816" s="52"/>
      <c r="DH3816" s="52"/>
    </row>
    <row r="3817" ht="15.75" customHeight="1">
      <c r="DG3817" s="52"/>
      <c r="DH3817" s="52"/>
    </row>
    <row r="3818" ht="15.75" customHeight="1">
      <c r="DG3818" s="52"/>
      <c r="DH3818" s="52"/>
    </row>
    <row r="3819" ht="15.75" customHeight="1">
      <c r="DG3819" s="52"/>
      <c r="DH3819" s="52"/>
    </row>
    <row r="3820" ht="15.75" customHeight="1">
      <c r="DG3820" s="52"/>
      <c r="DH3820" s="52"/>
    </row>
    <row r="3821" ht="15.75" customHeight="1">
      <c r="DG3821" s="52"/>
      <c r="DH3821" s="52"/>
    </row>
    <row r="3822" ht="15.75" customHeight="1">
      <c r="DG3822" s="52"/>
      <c r="DH3822" s="52"/>
    </row>
    <row r="3823" ht="15.75" customHeight="1">
      <c r="DG3823" s="52"/>
      <c r="DH3823" s="52"/>
    </row>
    <row r="3824" ht="15.75" customHeight="1">
      <c r="DG3824" s="52"/>
      <c r="DH3824" s="52"/>
    </row>
    <row r="3825" ht="15.75" customHeight="1">
      <c r="DG3825" s="52"/>
      <c r="DH3825" s="52"/>
    </row>
    <row r="3826" ht="15.75" customHeight="1">
      <c r="DG3826" s="52"/>
      <c r="DH3826" s="52"/>
    </row>
    <row r="3827" ht="15.75" customHeight="1">
      <c r="DG3827" s="52"/>
      <c r="DH3827" s="52"/>
    </row>
    <row r="3828" ht="15.75" customHeight="1">
      <c r="DG3828" s="52"/>
      <c r="DH3828" s="52"/>
    </row>
    <row r="3829" ht="15.75" customHeight="1">
      <c r="DG3829" s="52"/>
      <c r="DH3829" s="52"/>
    </row>
    <row r="3830" ht="15.75" customHeight="1">
      <c r="DG3830" s="52"/>
      <c r="DH3830" s="52"/>
    </row>
    <row r="3831" ht="15.75" customHeight="1">
      <c r="DG3831" s="52"/>
      <c r="DH3831" s="52"/>
    </row>
    <row r="3832" ht="15.75" customHeight="1">
      <c r="DG3832" s="52"/>
      <c r="DH3832" s="52"/>
    </row>
    <row r="3833" ht="15.75" customHeight="1">
      <c r="DG3833" s="52"/>
      <c r="DH3833" s="52"/>
    </row>
    <row r="3834" ht="15.75" customHeight="1">
      <c r="DG3834" s="52"/>
      <c r="DH3834" s="52"/>
    </row>
    <row r="3835" ht="15.75" customHeight="1">
      <c r="DG3835" s="52"/>
      <c r="DH3835" s="52"/>
    </row>
    <row r="3836" ht="15.75" customHeight="1">
      <c r="DG3836" s="52"/>
      <c r="DH3836" s="52"/>
    </row>
    <row r="3837" ht="15.75" customHeight="1">
      <c r="DG3837" s="52"/>
      <c r="DH3837" s="52"/>
    </row>
    <row r="3838" ht="15.75" customHeight="1">
      <c r="DG3838" s="52"/>
      <c r="DH3838" s="52"/>
    </row>
    <row r="3839" ht="15.75" customHeight="1">
      <c r="DG3839" s="52"/>
      <c r="DH3839" s="52"/>
    </row>
    <row r="3840" ht="15.75" customHeight="1">
      <c r="DG3840" s="52"/>
      <c r="DH3840" s="52"/>
    </row>
    <row r="3841" ht="15.75" customHeight="1">
      <c r="DG3841" s="52"/>
      <c r="DH3841" s="52"/>
    </row>
    <row r="3842" ht="15.75" customHeight="1">
      <c r="DG3842" s="52"/>
      <c r="DH3842" s="52"/>
    </row>
    <row r="3843" ht="15.75" customHeight="1">
      <c r="DG3843" s="52"/>
      <c r="DH3843" s="52"/>
    </row>
    <row r="3844" ht="15.75" customHeight="1">
      <c r="DG3844" s="52"/>
      <c r="DH3844" s="52"/>
    </row>
    <row r="3845" ht="15.75" customHeight="1">
      <c r="DG3845" s="52"/>
      <c r="DH3845" s="52"/>
    </row>
    <row r="3846" ht="15.75" customHeight="1">
      <c r="DG3846" s="52"/>
      <c r="DH3846" s="52"/>
    </row>
    <row r="3847" ht="15.75" customHeight="1">
      <c r="DG3847" s="52"/>
      <c r="DH3847" s="52"/>
    </row>
    <row r="3848" ht="15.75" customHeight="1">
      <c r="DG3848" s="52"/>
      <c r="DH3848" s="52"/>
    </row>
    <row r="3849" ht="15.75" customHeight="1">
      <c r="DG3849" s="52"/>
      <c r="DH3849" s="52"/>
    </row>
    <row r="3850" ht="15.75" customHeight="1">
      <c r="DG3850" s="52"/>
      <c r="DH3850" s="52"/>
    </row>
    <row r="3851" ht="15.75" customHeight="1">
      <c r="DG3851" s="52"/>
      <c r="DH3851" s="52"/>
    </row>
    <row r="3852" ht="15.75" customHeight="1">
      <c r="DG3852" s="52"/>
      <c r="DH3852" s="52"/>
    </row>
    <row r="3853" ht="15.75" customHeight="1">
      <c r="DG3853" s="52"/>
      <c r="DH3853" s="52"/>
    </row>
    <row r="3854" ht="15.75" customHeight="1">
      <c r="DG3854" s="52"/>
      <c r="DH3854" s="52"/>
    </row>
    <row r="3855" ht="15.75" customHeight="1">
      <c r="DG3855" s="52"/>
      <c r="DH3855" s="52"/>
    </row>
    <row r="3856" ht="15.75" customHeight="1">
      <c r="DG3856" s="52"/>
      <c r="DH3856" s="52"/>
    </row>
    <row r="3857" ht="15.75" customHeight="1">
      <c r="DG3857" s="52"/>
      <c r="DH3857" s="52"/>
    </row>
    <row r="3858" ht="15.75" customHeight="1">
      <c r="DG3858" s="52"/>
      <c r="DH3858" s="52"/>
    </row>
    <row r="3859" ht="15.75" customHeight="1">
      <c r="DG3859" s="52"/>
      <c r="DH3859" s="52"/>
    </row>
    <row r="3860" ht="15.75" customHeight="1">
      <c r="DG3860" s="52"/>
      <c r="DH3860" s="52"/>
    </row>
    <row r="3861" ht="15.75" customHeight="1">
      <c r="DG3861" s="52"/>
      <c r="DH3861" s="52"/>
    </row>
    <row r="3862" ht="15.75" customHeight="1">
      <c r="DG3862" s="52"/>
      <c r="DH3862" s="52"/>
    </row>
    <row r="3863" ht="15.75" customHeight="1">
      <c r="DG3863" s="52"/>
      <c r="DH3863" s="52"/>
    </row>
    <row r="3864" ht="15.75" customHeight="1">
      <c r="DG3864" s="52"/>
      <c r="DH3864" s="52"/>
    </row>
    <row r="3865" ht="15.75" customHeight="1">
      <c r="DG3865" s="52"/>
      <c r="DH3865" s="52"/>
    </row>
    <row r="3866" ht="15.75" customHeight="1">
      <c r="DG3866" s="52"/>
      <c r="DH3866" s="52"/>
    </row>
    <row r="3867" ht="15.75" customHeight="1">
      <c r="DG3867" s="52"/>
      <c r="DH3867" s="52"/>
    </row>
    <row r="3868" ht="15.75" customHeight="1">
      <c r="DG3868" s="52"/>
      <c r="DH3868" s="52"/>
    </row>
    <row r="3869" ht="15.75" customHeight="1">
      <c r="DG3869" s="52"/>
      <c r="DH3869" s="52"/>
    </row>
    <row r="3870" ht="15.75" customHeight="1">
      <c r="DG3870" s="52"/>
      <c r="DH3870" s="52"/>
    </row>
    <row r="3871" ht="15.75" customHeight="1">
      <c r="DG3871" s="52"/>
      <c r="DH3871" s="52"/>
    </row>
    <row r="3872" ht="15.75" customHeight="1">
      <c r="DG3872" s="52"/>
      <c r="DH3872" s="52"/>
    </row>
    <row r="3873" ht="15.75" customHeight="1">
      <c r="DG3873" s="52"/>
      <c r="DH3873" s="52"/>
    </row>
    <row r="3874" ht="15.75" customHeight="1">
      <c r="DG3874" s="52"/>
      <c r="DH3874" s="52"/>
    </row>
    <row r="3875" ht="15.75" customHeight="1">
      <c r="DG3875" s="52"/>
      <c r="DH3875" s="52"/>
    </row>
    <row r="3876" ht="15.75" customHeight="1">
      <c r="DG3876" s="52"/>
      <c r="DH3876" s="52"/>
    </row>
    <row r="3877" ht="15.75" customHeight="1">
      <c r="DG3877" s="52"/>
      <c r="DH3877" s="52"/>
    </row>
    <row r="3878" ht="15.75" customHeight="1">
      <c r="DG3878" s="52"/>
      <c r="DH3878" s="52"/>
    </row>
    <row r="3879" ht="15.75" customHeight="1">
      <c r="DG3879" s="52"/>
      <c r="DH3879" s="52"/>
    </row>
    <row r="3880" ht="15.75" customHeight="1">
      <c r="DG3880" s="52"/>
      <c r="DH3880" s="52"/>
    </row>
    <row r="3881" ht="15.75" customHeight="1">
      <c r="DG3881" s="52"/>
      <c r="DH3881" s="52"/>
    </row>
    <row r="3882" ht="15.75" customHeight="1">
      <c r="DG3882" s="52"/>
      <c r="DH3882" s="52"/>
    </row>
    <row r="3883" ht="15.75" customHeight="1">
      <c r="DG3883" s="52"/>
      <c r="DH3883" s="52"/>
    </row>
    <row r="3884" ht="15.75" customHeight="1">
      <c r="DG3884" s="52"/>
      <c r="DH3884" s="52"/>
    </row>
    <row r="3885" ht="15.75" customHeight="1">
      <c r="DG3885" s="52"/>
      <c r="DH3885" s="52"/>
    </row>
    <row r="3886" ht="15.75" customHeight="1">
      <c r="DG3886" s="52"/>
      <c r="DH3886" s="52"/>
    </row>
    <row r="3887" ht="15.75" customHeight="1">
      <c r="DG3887" s="52"/>
      <c r="DH3887" s="52"/>
    </row>
    <row r="3888" ht="15.75" customHeight="1">
      <c r="DG3888" s="52"/>
      <c r="DH3888" s="52"/>
    </row>
    <row r="3889" ht="15.75" customHeight="1">
      <c r="DG3889" s="52"/>
      <c r="DH3889" s="52"/>
    </row>
    <row r="3890" ht="15.75" customHeight="1">
      <c r="DG3890" s="52"/>
      <c r="DH3890" s="52"/>
    </row>
    <row r="3891" ht="15.75" customHeight="1">
      <c r="DG3891" s="52"/>
      <c r="DH3891" s="52"/>
    </row>
    <row r="3892" ht="15.75" customHeight="1">
      <c r="DG3892" s="52"/>
      <c r="DH3892" s="52"/>
    </row>
    <row r="3893" ht="15.75" customHeight="1">
      <c r="DG3893" s="52"/>
      <c r="DH3893" s="52"/>
    </row>
    <row r="3894" ht="15.75" customHeight="1">
      <c r="DG3894" s="52"/>
      <c r="DH3894" s="52"/>
    </row>
    <row r="3895" ht="15.75" customHeight="1">
      <c r="DG3895" s="52"/>
      <c r="DH3895" s="52"/>
    </row>
    <row r="3896" ht="15.75" customHeight="1">
      <c r="DG3896" s="52"/>
      <c r="DH3896" s="52"/>
    </row>
    <row r="3897" ht="15.75" customHeight="1">
      <c r="DG3897" s="52"/>
      <c r="DH3897" s="52"/>
    </row>
    <row r="3898" ht="15.75" customHeight="1">
      <c r="DG3898" s="52"/>
      <c r="DH3898" s="52"/>
    </row>
    <row r="3899" ht="15.75" customHeight="1">
      <c r="DG3899" s="52"/>
      <c r="DH3899" s="52"/>
    </row>
    <row r="3900" ht="15.75" customHeight="1">
      <c r="DG3900" s="52"/>
      <c r="DH3900" s="52"/>
    </row>
    <row r="3901" ht="15.75" customHeight="1">
      <c r="DG3901" s="52"/>
      <c r="DH3901" s="52"/>
    </row>
    <row r="3902" ht="15.75" customHeight="1">
      <c r="DG3902" s="52"/>
      <c r="DH3902" s="52"/>
    </row>
    <row r="3903" ht="15.75" customHeight="1">
      <c r="DG3903" s="52"/>
      <c r="DH3903" s="52"/>
    </row>
    <row r="3904" ht="15.75" customHeight="1">
      <c r="DG3904" s="52"/>
      <c r="DH3904" s="52"/>
    </row>
    <row r="3905" ht="15.75" customHeight="1">
      <c r="DG3905" s="52"/>
      <c r="DH3905" s="52"/>
    </row>
    <row r="3906" ht="15.75" customHeight="1">
      <c r="DG3906" s="52"/>
      <c r="DH3906" s="52"/>
    </row>
    <row r="3907" ht="15.75" customHeight="1">
      <c r="DG3907" s="52"/>
      <c r="DH3907" s="52"/>
    </row>
    <row r="3908" ht="15.75" customHeight="1">
      <c r="DG3908" s="52"/>
      <c r="DH3908" s="52"/>
    </row>
    <row r="3909" ht="15.75" customHeight="1">
      <c r="DG3909" s="52"/>
      <c r="DH3909" s="52"/>
    </row>
    <row r="3910" ht="15.75" customHeight="1">
      <c r="DG3910" s="52"/>
      <c r="DH3910" s="52"/>
    </row>
    <row r="3911" ht="15.75" customHeight="1">
      <c r="DG3911" s="52"/>
      <c r="DH3911" s="52"/>
    </row>
    <row r="3912" ht="15.75" customHeight="1">
      <c r="DG3912" s="52"/>
      <c r="DH3912" s="52"/>
    </row>
    <row r="3913" ht="15.75" customHeight="1">
      <c r="DG3913" s="52"/>
      <c r="DH3913" s="52"/>
    </row>
    <row r="3914" ht="15.75" customHeight="1">
      <c r="DG3914" s="52"/>
      <c r="DH3914" s="52"/>
    </row>
    <row r="3915" ht="15.75" customHeight="1">
      <c r="DG3915" s="52"/>
      <c r="DH3915" s="52"/>
    </row>
    <row r="3916" ht="15.75" customHeight="1">
      <c r="DG3916" s="52"/>
      <c r="DH3916" s="52"/>
    </row>
    <row r="3917" ht="15.75" customHeight="1">
      <c r="DG3917" s="52"/>
      <c r="DH3917" s="52"/>
    </row>
    <row r="3918" ht="15.75" customHeight="1">
      <c r="DG3918" s="52"/>
      <c r="DH3918" s="52"/>
    </row>
    <row r="3919" ht="15.75" customHeight="1">
      <c r="DG3919" s="52"/>
      <c r="DH3919" s="52"/>
    </row>
    <row r="3920" ht="15.75" customHeight="1">
      <c r="DG3920" s="52"/>
      <c r="DH3920" s="52"/>
    </row>
    <row r="3921" ht="15.75" customHeight="1">
      <c r="DG3921" s="52"/>
      <c r="DH3921" s="52"/>
    </row>
    <row r="3922" ht="15.75" customHeight="1">
      <c r="DG3922" s="52"/>
      <c r="DH3922" s="52"/>
    </row>
    <row r="3923" ht="15.75" customHeight="1">
      <c r="DG3923" s="52"/>
      <c r="DH3923" s="52"/>
    </row>
    <row r="3924" ht="15.75" customHeight="1">
      <c r="DG3924" s="52"/>
      <c r="DH3924" s="52"/>
    </row>
    <row r="3925" ht="15.75" customHeight="1">
      <c r="DG3925" s="52"/>
      <c r="DH3925" s="52"/>
    </row>
    <row r="3926" ht="15.75" customHeight="1">
      <c r="DG3926" s="52"/>
      <c r="DH3926" s="52"/>
    </row>
    <row r="3927" ht="15.75" customHeight="1">
      <c r="DG3927" s="52"/>
      <c r="DH3927" s="52"/>
    </row>
    <row r="3928" ht="15.75" customHeight="1">
      <c r="DG3928" s="52"/>
      <c r="DH3928" s="52"/>
    </row>
    <row r="3929" ht="15.75" customHeight="1">
      <c r="DG3929" s="52"/>
      <c r="DH3929" s="52"/>
    </row>
    <row r="3930" ht="15.75" customHeight="1">
      <c r="DG3930" s="52"/>
      <c r="DH3930" s="52"/>
    </row>
    <row r="3931" ht="15.75" customHeight="1">
      <c r="DG3931" s="52"/>
      <c r="DH3931" s="52"/>
    </row>
    <row r="3932" ht="15.75" customHeight="1">
      <c r="DG3932" s="52"/>
      <c r="DH3932" s="52"/>
    </row>
    <row r="3933" ht="15.75" customHeight="1">
      <c r="DG3933" s="52"/>
      <c r="DH3933" s="52"/>
    </row>
    <row r="3934" ht="15.75" customHeight="1">
      <c r="DG3934" s="52"/>
      <c r="DH3934" s="52"/>
    </row>
    <row r="3935" ht="15.75" customHeight="1">
      <c r="DG3935" s="52"/>
      <c r="DH3935" s="52"/>
    </row>
    <row r="3936" ht="15.75" customHeight="1">
      <c r="DG3936" s="52"/>
      <c r="DH3936" s="52"/>
    </row>
    <row r="3937" ht="15.75" customHeight="1">
      <c r="DG3937" s="52"/>
      <c r="DH3937" s="52"/>
    </row>
    <row r="3938" ht="15.75" customHeight="1">
      <c r="DG3938" s="52"/>
      <c r="DH3938" s="52"/>
    </row>
    <row r="3939" ht="15.75" customHeight="1">
      <c r="DG3939" s="52"/>
      <c r="DH3939" s="52"/>
    </row>
    <row r="3940" ht="15.75" customHeight="1">
      <c r="DG3940" s="52"/>
      <c r="DH3940" s="52"/>
    </row>
    <row r="3941" ht="15.75" customHeight="1">
      <c r="DG3941" s="52"/>
      <c r="DH3941" s="52"/>
    </row>
    <row r="3942" ht="15.75" customHeight="1">
      <c r="DG3942" s="52"/>
      <c r="DH3942" s="52"/>
    </row>
    <row r="3943" ht="15.75" customHeight="1">
      <c r="DG3943" s="52"/>
      <c r="DH3943" s="52"/>
    </row>
    <row r="3944" ht="15.75" customHeight="1">
      <c r="DG3944" s="52"/>
      <c r="DH3944" s="52"/>
    </row>
    <row r="3945" ht="15.75" customHeight="1">
      <c r="DG3945" s="52"/>
      <c r="DH3945" s="52"/>
    </row>
    <row r="3946" ht="15.75" customHeight="1">
      <c r="DG3946" s="52"/>
      <c r="DH3946" s="52"/>
    </row>
    <row r="3947" ht="15.75" customHeight="1">
      <c r="DG3947" s="52"/>
      <c r="DH3947" s="52"/>
    </row>
    <row r="3948" ht="15.75" customHeight="1">
      <c r="DG3948" s="52"/>
      <c r="DH3948" s="52"/>
    </row>
    <row r="3949" ht="15.75" customHeight="1">
      <c r="DG3949" s="52"/>
      <c r="DH3949" s="52"/>
    </row>
    <row r="3950" ht="15.75" customHeight="1">
      <c r="DG3950" s="52"/>
      <c r="DH3950" s="52"/>
    </row>
    <row r="3951" ht="15.75" customHeight="1">
      <c r="DG3951" s="52"/>
      <c r="DH3951" s="52"/>
    </row>
    <row r="3952" ht="15.75" customHeight="1">
      <c r="DG3952" s="52"/>
      <c r="DH3952" s="52"/>
    </row>
    <row r="3953" ht="15.75" customHeight="1">
      <c r="DG3953" s="52"/>
      <c r="DH3953" s="52"/>
    </row>
    <row r="3954" ht="15.75" customHeight="1">
      <c r="DG3954" s="52"/>
      <c r="DH3954" s="52"/>
    </row>
    <row r="3955" ht="15.75" customHeight="1">
      <c r="DG3955" s="52"/>
      <c r="DH3955" s="52"/>
    </row>
    <row r="3956" ht="15.75" customHeight="1">
      <c r="DG3956" s="52"/>
      <c r="DH3956" s="52"/>
    </row>
    <row r="3957" ht="15.75" customHeight="1">
      <c r="DG3957" s="52"/>
      <c r="DH3957" s="52"/>
    </row>
    <row r="3958" ht="15.75" customHeight="1">
      <c r="DG3958" s="52"/>
      <c r="DH3958" s="52"/>
    </row>
    <row r="3959" ht="15.75" customHeight="1">
      <c r="DG3959" s="52"/>
      <c r="DH3959" s="52"/>
    </row>
    <row r="3960" ht="15.75" customHeight="1">
      <c r="DG3960" s="52"/>
      <c r="DH3960" s="52"/>
    </row>
    <row r="3961" ht="15.75" customHeight="1">
      <c r="DG3961" s="52"/>
      <c r="DH3961" s="52"/>
    </row>
    <row r="3962" ht="15.75" customHeight="1">
      <c r="DG3962" s="52"/>
      <c r="DH3962" s="52"/>
    </row>
    <row r="3963" ht="15.75" customHeight="1">
      <c r="DG3963" s="52"/>
      <c r="DH3963" s="52"/>
    </row>
    <row r="3964" ht="15.75" customHeight="1">
      <c r="DG3964" s="52"/>
      <c r="DH3964" s="52"/>
    </row>
    <row r="3965" ht="15.75" customHeight="1">
      <c r="DG3965" s="52"/>
      <c r="DH3965" s="52"/>
    </row>
    <row r="3966" ht="15.75" customHeight="1">
      <c r="DG3966" s="52"/>
      <c r="DH3966" s="52"/>
    </row>
    <row r="3967" ht="15.75" customHeight="1">
      <c r="DG3967" s="52"/>
      <c r="DH3967" s="52"/>
    </row>
    <row r="3968" ht="15.75" customHeight="1">
      <c r="DG3968" s="52"/>
      <c r="DH3968" s="52"/>
    </row>
    <row r="3969" ht="15.75" customHeight="1">
      <c r="DG3969" s="52"/>
      <c r="DH3969" s="52"/>
    </row>
    <row r="3970" ht="15.75" customHeight="1">
      <c r="DG3970" s="52"/>
      <c r="DH3970" s="52"/>
    </row>
    <row r="3971" ht="15.75" customHeight="1">
      <c r="DG3971" s="52"/>
      <c r="DH3971" s="52"/>
    </row>
    <row r="3972" ht="15.75" customHeight="1">
      <c r="DG3972" s="52"/>
      <c r="DH3972" s="52"/>
    </row>
    <row r="3973" ht="15.75" customHeight="1">
      <c r="DG3973" s="52"/>
      <c r="DH3973" s="52"/>
    </row>
    <row r="3974" ht="15.75" customHeight="1">
      <c r="DG3974" s="52"/>
      <c r="DH3974" s="52"/>
    </row>
    <row r="3975" ht="15.75" customHeight="1">
      <c r="DG3975" s="52"/>
      <c r="DH3975" s="52"/>
    </row>
    <row r="3976" ht="15.75" customHeight="1">
      <c r="DG3976" s="52"/>
      <c r="DH3976" s="52"/>
    </row>
    <row r="3977" ht="15.75" customHeight="1">
      <c r="DG3977" s="52"/>
      <c r="DH3977" s="52"/>
    </row>
    <row r="3978" ht="15.75" customHeight="1">
      <c r="DG3978" s="52"/>
      <c r="DH3978" s="52"/>
    </row>
    <row r="3979" ht="15.75" customHeight="1">
      <c r="DG3979" s="52"/>
      <c r="DH3979" s="52"/>
    </row>
    <row r="3980" ht="15.75" customHeight="1">
      <c r="DG3980" s="52"/>
      <c r="DH3980" s="52"/>
    </row>
    <row r="3981" ht="15.75" customHeight="1">
      <c r="DG3981" s="52"/>
      <c r="DH3981" s="52"/>
    </row>
    <row r="3982" ht="15.75" customHeight="1">
      <c r="DG3982" s="52"/>
      <c r="DH3982" s="52"/>
    </row>
    <row r="3983" ht="15.75" customHeight="1">
      <c r="DG3983" s="52"/>
      <c r="DH3983" s="52"/>
    </row>
    <row r="3984" ht="15.75" customHeight="1">
      <c r="DG3984" s="52"/>
      <c r="DH3984" s="52"/>
    </row>
    <row r="3985" ht="15.75" customHeight="1">
      <c r="DG3985" s="52"/>
      <c r="DH3985" s="52"/>
    </row>
    <row r="3986" ht="15.75" customHeight="1">
      <c r="DG3986" s="52"/>
      <c r="DH3986" s="52"/>
    </row>
    <row r="3987" ht="15.75" customHeight="1">
      <c r="DG3987" s="52"/>
      <c r="DH3987" s="52"/>
    </row>
    <row r="3988" ht="15.75" customHeight="1">
      <c r="DG3988" s="52"/>
      <c r="DH3988" s="52"/>
    </row>
    <row r="3989" ht="15.75" customHeight="1">
      <c r="DG3989" s="52"/>
      <c r="DH3989" s="52"/>
    </row>
    <row r="3990" ht="15.75" customHeight="1">
      <c r="DG3990" s="52"/>
      <c r="DH3990" s="52"/>
    </row>
    <row r="3991" ht="15.75" customHeight="1">
      <c r="DG3991" s="52"/>
      <c r="DH3991" s="52"/>
    </row>
    <row r="3992" ht="15.75" customHeight="1">
      <c r="DG3992" s="52"/>
      <c r="DH3992" s="52"/>
    </row>
    <row r="3993" ht="15.75" customHeight="1">
      <c r="DG3993" s="52"/>
      <c r="DH3993" s="52"/>
    </row>
    <row r="3994" ht="15.75" customHeight="1">
      <c r="DG3994" s="52"/>
      <c r="DH3994" s="52"/>
    </row>
    <row r="3995" ht="15.75" customHeight="1">
      <c r="DG3995" s="52"/>
      <c r="DH3995" s="52"/>
    </row>
    <row r="3996" ht="15.75" customHeight="1">
      <c r="DG3996" s="52"/>
      <c r="DH3996" s="52"/>
    </row>
    <row r="3997" ht="15.75" customHeight="1">
      <c r="DG3997" s="52"/>
      <c r="DH3997" s="52"/>
    </row>
    <row r="3998" ht="15.75" customHeight="1">
      <c r="DG3998" s="52"/>
      <c r="DH3998" s="52"/>
    </row>
    <row r="3999" ht="15.75" customHeight="1">
      <c r="DG3999" s="52"/>
      <c r="DH3999" s="52"/>
    </row>
    <row r="4000" ht="15.75" customHeight="1">
      <c r="DG4000" s="52"/>
      <c r="DH4000" s="52"/>
    </row>
    <row r="4001" ht="15.75" customHeight="1">
      <c r="DG4001" s="52"/>
      <c r="DH4001" s="52"/>
    </row>
    <row r="4002" ht="15.75" customHeight="1">
      <c r="DG4002" s="52"/>
      <c r="DH4002" s="52"/>
    </row>
    <row r="4003" ht="15.75" customHeight="1">
      <c r="DG4003" s="52"/>
      <c r="DH4003" s="52"/>
    </row>
    <row r="4004" ht="15.75" customHeight="1">
      <c r="DG4004" s="52"/>
      <c r="DH4004" s="52"/>
    </row>
    <row r="4005" ht="15.75" customHeight="1">
      <c r="DG4005" s="52"/>
      <c r="DH4005" s="52"/>
    </row>
    <row r="4006" ht="15.75" customHeight="1">
      <c r="DG4006" s="52"/>
      <c r="DH4006" s="52"/>
    </row>
    <row r="4007" ht="15.75" customHeight="1">
      <c r="DG4007" s="52"/>
      <c r="DH4007" s="52"/>
    </row>
    <row r="4008" ht="15.75" customHeight="1">
      <c r="DG4008" s="52"/>
      <c r="DH4008" s="52"/>
    </row>
    <row r="4009" ht="15.75" customHeight="1">
      <c r="DG4009" s="52"/>
      <c r="DH4009" s="52"/>
    </row>
    <row r="4010" ht="15.75" customHeight="1">
      <c r="DG4010" s="52"/>
      <c r="DH4010" s="52"/>
    </row>
    <row r="4011" ht="15.75" customHeight="1">
      <c r="DG4011" s="52"/>
      <c r="DH4011" s="52"/>
    </row>
    <row r="4012" ht="15.75" customHeight="1">
      <c r="DG4012" s="52"/>
      <c r="DH4012" s="52"/>
    </row>
    <row r="4013" ht="15.75" customHeight="1">
      <c r="DG4013" s="52"/>
      <c r="DH4013" s="52"/>
    </row>
    <row r="4014" ht="15.75" customHeight="1">
      <c r="DG4014" s="52"/>
      <c r="DH4014" s="52"/>
    </row>
    <row r="4015" ht="15.75" customHeight="1">
      <c r="DG4015" s="52"/>
      <c r="DH4015" s="52"/>
    </row>
    <row r="4016" ht="15.75" customHeight="1">
      <c r="DG4016" s="52"/>
      <c r="DH4016" s="52"/>
    </row>
    <row r="4017" ht="15.75" customHeight="1">
      <c r="DG4017" s="52"/>
      <c r="DH4017" s="52"/>
    </row>
    <row r="4018" ht="15.75" customHeight="1">
      <c r="DG4018" s="52"/>
      <c r="DH4018" s="52"/>
    </row>
    <row r="4019" ht="15.75" customHeight="1">
      <c r="DG4019" s="52"/>
      <c r="DH4019" s="52"/>
    </row>
    <row r="4020" ht="15.75" customHeight="1">
      <c r="DG4020" s="52"/>
      <c r="DH4020" s="52"/>
    </row>
    <row r="4021" ht="15.75" customHeight="1">
      <c r="DG4021" s="52"/>
      <c r="DH4021" s="52"/>
    </row>
    <row r="4022" ht="15.75" customHeight="1">
      <c r="DG4022" s="52"/>
      <c r="DH4022" s="52"/>
    </row>
    <row r="4023" ht="15.75" customHeight="1">
      <c r="DG4023" s="52"/>
      <c r="DH4023" s="52"/>
    </row>
    <row r="4024" ht="15.75" customHeight="1">
      <c r="DG4024" s="52"/>
      <c r="DH4024" s="52"/>
    </row>
    <row r="4025" ht="15.75" customHeight="1">
      <c r="DG4025" s="52"/>
      <c r="DH4025" s="52"/>
    </row>
    <row r="4026" ht="15.75" customHeight="1">
      <c r="DG4026" s="52"/>
      <c r="DH4026" s="52"/>
    </row>
    <row r="4027" ht="15.75" customHeight="1">
      <c r="DG4027" s="52"/>
      <c r="DH4027" s="52"/>
    </row>
    <row r="4028" ht="15.75" customHeight="1">
      <c r="DG4028" s="52"/>
      <c r="DH4028" s="52"/>
    </row>
    <row r="4029" ht="15.75" customHeight="1">
      <c r="DG4029" s="52"/>
      <c r="DH4029" s="52"/>
    </row>
    <row r="4030" ht="15.75" customHeight="1">
      <c r="DG4030" s="52"/>
      <c r="DH4030" s="52"/>
    </row>
    <row r="4031" ht="15.75" customHeight="1">
      <c r="DG4031" s="52"/>
      <c r="DH4031" s="52"/>
    </row>
    <row r="4032" ht="15.75" customHeight="1">
      <c r="DG4032" s="52"/>
      <c r="DH4032" s="52"/>
    </row>
    <row r="4033" ht="15.75" customHeight="1">
      <c r="DG4033" s="52"/>
      <c r="DH4033" s="52"/>
    </row>
    <row r="4034" ht="15.75" customHeight="1">
      <c r="DG4034" s="52"/>
      <c r="DH4034" s="52"/>
    </row>
    <row r="4035" ht="15.75" customHeight="1">
      <c r="DG4035" s="52"/>
      <c r="DH4035" s="52"/>
    </row>
    <row r="4036" ht="15.75" customHeight="1">
      <c r="DG4036" s="52"/>
      <c r="DH4036" s="52"/>
    </row>
    <row r="4037" ht="15.75" customHeight="1">
      <c r="DG4037" s="52"/>
      <c r="DH4037" s="52"/>
    </row>
    <row r="4038" ht="15.75" customHeight="1">
      <c r="DG4038" s="52"/>
      <c r="DH4038" s="52"/>
    </row>
    <row r="4039" ht="15.75" customHeight="1">
      <c r="DG4039" s="52"/>
      <c r="DH4039" s="52"/>
    </row>
    <row r="4040" ht="15.75" customHeight="1">
      <c r="DG4040" s="52"/>
      <c r="DH4040" s="52"/>
    </row>
    <row r="4041" ht="15.75" customHeight="1">
      <c r="DG4041" s="52"/>
      <c r="DH4041" s="52"/>
    </row>
    <row r="4042" ht="15.75" customHeight="1">
      <c r="DG4042" s="52"/>
      <c r="DH4042" s="52"/>
    </row>
    <row r="4043" ht="15.75" customHeight="1">
      <c r="DG4043" s="52"/>
      <c r="DH4043" s="52"/>
    </row>
    <row r="4044" ht="15.75" customHeight="1">
      <c r="DG4044" s="52"/>
      <c r="DH4044" s="52"/>
    </row>
    <row r="4045" ht="15.75" customHeight="1">
      <c r="DG4045" s="52"/>
      <c r="DH4045" s="52"/>
    </row>
    <row r="4046" ht="15.75" customHeight="1">
      <c r="DG4046" s="52"/>
      <c r="DH4046" s="52"/>
    </row>
    <row r="4047" ht="15.75" customHeight="1">
      <c r="DG4047" s="52"/>
      <c r="DH4047" s="52"/>
    </row>
    <row r="4048" ht="15.75" customHeight="1">
      <c r="DG4048" s="52"/>
      <c r="DH4048" s="52"/>
    </row>
    <row r="4049" ht="15.75" customHeight="1">
      <c r="DG4049" s="52"/>
      <c r="DH4049" s="52"/>
    </row>
    <row r="4050" ht="15.75" customHeight="1">
      <c r="DG4050" s="52"/>
      <c r="DH4050" s="52"/>
    </row>
    <row r="4051" ht="15.75" customHeight="1">
      <c r="DG4051" s="52"/>
      <c r="DH4051" s="52"/>
    </row>
    <row r="4052" ht="15.75" customHeight="1">
      <c r="DG4052" s="52"/>
      <c r="DH4052" s="52"/>
    </row>
    <row r="4053" ht="15.75" customHeight="1">
      <c r="DG4053" s="52"/>
      <c r="DH4053" s="52"/>
    </row>
    <row r="4054" ht="15.75" customHeight="1">
      <c r="DG4054" s="52"/>
      <c r="DH4054" s="52"/>
    </row>
    <row r="4055" ht="15.75" customHeight="1">
      <c r="DG4055" s="52"/>
      <c r="DH4055" s="52"/>
    </row>
    <row r="4056" ht="15.75" customHeight="1">
      <c r="DG4056" s="52"/>
      <c r="DH4056" s="52"/>
    </row>
    <row r="4057" ht="15.75" customHeight="1">
      <c r="DG4057" s="52"/>
      <c r="DH4057" s="52"/>
    </row>
    <row r="4058" ht="15.75" customHeight="1">
      <c r="DG4058" s="52"/>
      <c r="DH4058" s="52"/>
    </row>
    <row r="4059" ht="15.75" customHeight="1">
      <c r="DG4059" s="52"/>
      <c r="DH4059" s="52"/>
    </row>
    <row r="4060" ht="15.75" customHeight="1">
      <c r="DG4060" s="52"/>
      <c r="DH4060" s="52"/>
    </row>
    <row r="4061" ht="15.75" customHeight="1">
      <c r="DG4061" s="52"/>
      <c r="DH4061" s="52"/>
    </row>
    <row r="4062" ht="15.75" customHeight="1">
      <c r="DG4062" s="52"/>
      <c r="DH4062" s="52"/>
    </row>
    <row r="4063" ht="15.75" customHeight="1">
      <c r="DG4063" s="52"/>
      <c r="DH4063" s="52"/>
    </row>
    <row r="4064" ht="15.75" customHeight="1">
      <c r="DG4064" s="52"/>
      <c r="DH4064" s="52"/>
    </row>
    <row r="4065" ht="15.75" customHeight="1">
      <c r="DG4065" s="52"/>
      <c r="DH4065" s="52"/>
    </row>
    <row r="4066" ht="15.75" customHeight="1">
      <c r="DG4066" s="52"/>
      <c r="DH4066" s="52"/>
    </row>
    <row r="4067" ht="15.75" customHeight="1">
      <c r="DG4067" s="52"/>
      <c r="DH4067" s="52"/>
    </row>
    <row r="4068" ht="15.75" customHeight="1">
      <c r="DG4068" s="52"/>
      <c r="DH4068" s="52"/>
    </row>
    <row r="4069" ht="15.75" customHeight="1">
      <c r="DG4069" s="52"/>
      <c r="DH4069" s="52"/>
    </row>
    <row r="4070" ht="15.75" customHeight="1">
      <c r="DG4070" s="52"/>
      <c r="DH4070" s="52"/>
    </row>
    <row r="4071" ht="15.75" customHeight="1">
      <c r="DG4071" s="52"/>
      <c r="DH4071" s="52"/>
    </row>
    <row r="4072" ht="15.75" customHeight="1">
      <c r="DG4072" s="52"/>
      <c r="DH4072" s="52"/>
    </row>
    <row r="4073" ht="15.75" customHeight="1">
      <c r="DG4073" s="52"/>
      <c r="DH4073" s="52"/>
    </row>
    <row r="4074" ht="15.75" customHeight="1">
      <c r="DG4074" s="52"/>
      <c r="DH4074" s="52"/>
    </row>
    <row r="4075" ht="15.75" customHeight="1">
      <c r="DG4075" s="52"/>
      <c r="DH4075" s="52"/>
    </row>
    <row r="4076" ht="15.75" customHeight="1">
      <c r="DG4076" s="52"/>
      <c r="DH4076" s="52"/>
    </row>
    <row r="4077" ht="15.75" customHeight="1">
      <c r="DG4077" s="52"/>
      <c r="DH4077" s="52"/>
    </row>
    <row r="4078" ht="15.75" customHeight="1">
      <c r="DG4078" s="52"/>
      <c r="DH4078" s="52"/>
    </row>
    <row r="4079" ht="15.75" customHeight="1">
      <c r="DG4079" s="52"/>
      <c r="DH4079" s="52"/>
    </row>
    <row r="4080" ht="15.75" customHeight="1">
      <c r="DG4080" s="52"/>
      <c r="DH4080" s="52"/>
    </row>
    <row r="4081" ht="15.75" customHeight="1">
      <c r="DG4081" s="52"/>
      <c r="DH4081" s="52"/>
    </row>
    <row r="4082" ht="15.75" customHeight="1">
      <c r="DG4082" s="52"/>
      <c r="DH4082" s="52"/>
    </row>
    <row r="4083" ht="15.75" customHeight="1">
      <c r="DG4083" s="52"/>
      <c r="DH4083" s="52"/>
    </row>
    <row r="4084" ht="15.75" customHeight="1">
      <c r="DG4084" s="52"/>
      <c r="DH4084" s="52"/>
    </row>
    <row r="4085" ht="15.75" customHeight="1">
      <c r="DG4085" s="52"/>
      <c r="DH4085" s="52"/>
    </row>
    <row r="4086" ht="15.75" customHeight="1">
      <c r="DG4086" s="52"/>
      <c r="DH4086" s="52"/>
    </row>
    <row r="4087" ht="15.75" customHeight="1">
      <c r="DG4087" s="52"/>
      <c r="DH4087" s="52"/>
    </row>
    <row r="4088" ht="15.75" customHeight="1">
      <c r="DG4088" s="52"/>
      <c r="DH4088" s="52"/>
    </row>
    <row r="4089" ht="15.75" customHeight="1">
      <c r="DG4089" s="52"/>
      <c r="DH4089" s="52"/>
    </row>
    <row r="4090" ht="15.75" customHeight="1">
      <c r="DG4090" s="52"/>
      <c r="DH4090" s="52"/>
    </row>
    <row r="4091" ht="15.75" customHeight="1">
      <c r="DG4091" s="52"/>
      <c r="DH4091" s="52"/>
    </row>
    <row r="4092" ht="15.75" customHeight="1">
      <c r="DG4092" s="52"/>
      <c r="DH4092" s="52"/>
    </row>
    <row r="4093" ht="15.75" customHeight="1">
      <c r="DG4093" s="52"/>
      <c r="DH4093" s="52"/>
    </row>
    <row r="4094" ht="15.75" customHeight="1">
      <c r="DG4094" s="52"/>
      <c r="DH4094" s="52"/>
    </row>
    <row r="4095" ht="15.75" customHeight="1">
      <c r="DG4095" s="52"/>
      <c r="DH4095" s="52"/>
    </row>
    <row r="4096" ht="15.75" customHeight="1">
      <c r="DG4096" s="52"/>
      <c r="DH4096" s="52"/>
    </row>
    <row r="4097" ht="15.75" customHeight="1">
      <c r="DG4097" s="52"/>
      <c r="DH4097" s="52"/>
    </row>
    <row r="4098" ht="15.75" customHeight="1">
      <c r="DG4098" s="52"/>
      <c r="DH4098" s="52"/>
    </row>
    <row r="4099" ht="15.75" customHeight="1">
      <c r="DG4099" s="52"/>
      <c r="DH4099" s="52"/>
    </row>
    <row r="4100" ht="15.75" customHeight="1">
      <c r="DG4100" s="52"/>
      <c r="DH4100" s="52"/>
    </row>
    <row r="4101" ht="15.75" customHeight="1">
      <c r="DG4101" s="52"/>
      <c r="DH4101" s="52"/>
    </row>
    <row r="4102" ht="15.75" customHeight="1">
      <c r="DG4102" s="52"/>
      <c r="DH4102" s="52"/>
    </row>
    <row r="4103" ht="15.75" customHeight="1">
      <c r="DG4103" s="52"/>
      <c r="DH4103" s="52"/>
    </row>
    <row r="4104" ht="15.75" customHeight="1">
      <c r="DG4104" s="52"/>
      <c r="DH4104" s="52"/>
    </row>
    <row r="4105" ht="15.75" customHeight="1">
      <c r="DG4105" s="52"/>
      <c r="DH4105" s="52"/>
    </row>
    <row r="4106" ht="15.75" customHeight="1">
      <c r="DG4106" s="52"/>
      <c r="DH4106" s="52"/>
    </row>
    <row r="4107" ht="15.75" customHeight="1">
      <c r="DG4107" s="52"/>
      <c r="DH4107" s="52"/>
    </row>
    <row r="4108" ht="15.75" customHeight="1">
      <c r="DG4108" s="52"/>
      <c r="DH4108" s="52"/>
    </row>
    <row r="4109" ht="15.75" customHeight="1">
      <c r="DG4109" s="52"/>
      <c r="DH4109" s="52"/>
    </row>
    <row r="4110" ht="15.75" customHeight="1">
      <c r="DG4110" s="52"/>
      <c r="DH4110" s="52"/>
    </row>
    <row r="4111" ht="15.75" customHeight="1">
      <c r="DG4111" s="52"/>
      <c r="DH4111" s="52"/>
    </row>
    <row r="4112" ht="15.75" customHeight="1">
      <c r="DG4112" s="52"/>
      <c r="DH4112" s="52"/>
    </row>
    <row r="4113" ht="15.75" customHeight="1">
      <c r="DG4113" s="52"/>
      <c r="DH4113" s="52"/>
    </row>
    <row r="4114" ht="15.75" customHeight="1">
      <c r="DG4114" s="52"/>
      <c r="DH4114" s="52"/>
    </row>
    <row r="4115" ht="15.75" customHeight="1">
      <c r="DG4115" s="52"/>
      <c r="DH4115" s="52"/>
    </row>
    <row r="4116" ht="15.75" customHeight="1">
      <c r="DG4116" s="52"/>
      <c r="DH4116" s="52"/>
    </row>
    <row r="4117" ht="15.75" customHeight="1">
      <c r="DG4117" s="52"/>
      <c r="DH4117" s="52"/>
    </row>
    <row r="4118" ht="15.75" customHeight="1">
      <c r="DG4118" s="52"/>
      <c r="DH4118" s="52"/>
    </row>
    <row r="4119" ht="15.75" customHeight="1">
      <c r="DG4119" s="52"/>
      <c r="DH4119" s="52"/>
    </row>
    <row r="4120" ht="15.75" customHeight="1">
      <c r="DG4120" s="52"/>
      <c r="DH4120" s="52"/>
    </row>
    <row r="4121" ht="15.75" customHeight="1">
      <c r="DG4121" s="52"/>
      <c r="DH4121" s="52"/>
    </row>
    <row r="4122" ht="15.75" customHeight="1">
      <c r="DG4122" s="52"/>
      <c r="DH4122" s="52"/>
    </row>
    <row r="4123" ht="15.75" customHeight="1">
      <c r="DG4123" s="52"/>
      <c r="DH4123" s="52"/>
    </row>
    <row r="4124" ht="15.75" customHeight="1">
      <c r="DG4124" s="52"/>
      <c r="DH4124" s="52"/>
    </row>
    <row r="4125" ht="15.75" customHeight="1">
      <c r="DG4125" s="52"/>
      <c r="DH4125" s="52"/>
    </row>
    <row r="4126" ht="15.75" customHeight="1">
      <c r="DG4126" s="52"/>
      <c r="DH4126" s="52"/>
    </row>
    <row r="4127" ht="15.75" customHeight="1">
      <c r="DG4127" s="52"/>
      <c r="DH4127" s="52"/>
    </row>
    <row r="4128" ht="15.75" customHeight="1">
      <c r="DG4128" s="52"/>
      <c r="DH4128" s="52"/>
    </row>
    <row r="4129" ht="15.75" customHeight="1">
      <c r="DG4129" s="52"/>
      <c r="DH4129" s="52"/>
    </row>
    <row r="4130" ht="15.75" customHeight="1">
      <c r="DG4130" s="52"/>
      <c r="DH4130" s="52"/>
    </row>
    <row r="4131" ht="15.75" customHeight="1">
      <c r="DG4131" s="52"/>
      <c r="DH4131" s="52"/>
    </row>
    <row r="4132" ht="15.75" customHeight="1">
      <c r="DG4132" s="52"/>
      <c r="DH4132" s="52"/>
    </row>
    <row r="4133" ht="15.75" customHeight="1">
      <c r="DG4133" s="52"/>
      <c r="DH4133" s="52"/>
    </row>
    <row r="4134" ht="15.75" customHeight="1">
      <c r="DG4134" s="52"/>
      <c r="DH4134" s="52"/>
    </row>
    <row r="4135" ht="15.75" customHeight="1">
      <c r="DG4135" s="52"/>
      <c r="DH4135" s="52"/>
    </row>
    <row r="4136" ht="15.75" customHeight="1">
      <c r="DG4136" s="52"/>
      <c r="DH4136" s="52"/>
    </row>
    <row r="4137" ht="15.75" customHeight="1">
      <c r="DG4137" s="52"/>
      <c r="DH4137" s="52"/>
    </row>
    <row r="4138" ht="15.75" customHeight="1">
      <c r="DG4138" s="52"/>
      <c r="DH4138" s="52"/>
    </row>
    <row r="4139" ht="15.75" customHeight="1">
      <c r="DG4139" s="52"/>
      <c r="DH4139" s="52"/>
    </row>
    <row r="4140" ht="15.75" customHeight="1">
      <c r="DG4140" s="52"/>
      <c r="DH4140" s="52"/>
    </row>
    <row r="4141" ht="15.75" customHeight="1">
      <c r="DG4141" s="52"/>
      <c r="DH4141" s="52"/>
    </row>
    <row r="4142" ht="15.75" customHeight="1">
      <c r="DG4142" s="52"/>
      <c r="DH4142" s="52"/>
    </row>
    <row r="4143" ht="15.75" customHeight="1">
      <c r="DG4143" s="52"/>
      <c r="DH4143" s="52"/>
    </row>
    <row r="4144" ht="15.75" customHeight="1">
      <c r="DG4144" s="52"/>
      <c r="DH4144" s="52"/>
    </row>
    <row r="4145" ht="15.75" customHeight="1">
      <c r="DG4145" s="52"/>
      <c r="DH4145" s="52"/>
    </row>
    <row r="4146" ht="15.75" customHeight="1">
      <c r="DG4146" s="52"/>
      <c r="DH4146" s="52"/>
    </row>
    <row r="4147" ht="15.75" customHeight="1">
      <c r="DG4147" s="52"/>
      <c r="DH4147" s="52"/>
    </row>
    <row r="4148" ht="15.75" customHeight="1">
      <c r="DG4148" s="52"/>
      <c r="DH4148" s="52"/>
    </row>
    <row r="4149" ht="15.75" customHeight="1">
      <c r="DG4149" s="52"/>
      <c r="DH4149" s="52"/>
    </row>
    <row r="4150" ht="15.75" customHeight="1">
      <c r="DG4150" s="52"/>
      <c r="DH4150" s="52"/>
    </row>
    <row r="4151" ht="15.75" customHeight="1">
      <c r="DG4151" s="52"/>
      <c r="DH4151" s="52"/>
    </row>
    <row r="4152" ht="15.75" customHeight="1">
      <c r="DG4152" s="52"/>
      <c r="DH4152" s="52"/>
    </row>
    <row r="4153" ht="15.75" customHeight="1">
      <c r="DG4153" s="52"/>
      <c r="DH4153" s="52"/>
    </row>
    <row r="4154" ht="15.75" customHeight="1">
      <c r="DG4154" s="52"/>
      <c r="DH4154" s="52"/>
    </row>
    <row r="4155" ht="15.75" customHeight="1">
      <c r="DG4155" s="52"/>
      <c r="DH4155" s="52"/>
    </row>
    <row r="4156" ht="15.75" customHeight="1">
      <c r="DG4156" s="52"/>
      <c r="DH4156" s="52"/>
    </row>
    <row r="4157" ht="15.75" customHeight="1">
      <c r="DG4157" s="52"/>
      <c r="DH4157" s="52"/>
    </row>
    <row r="4158" ht="15.75" customHeight="1">
      <c r="DG4158" s="52"/>
      <c r="DH4158" s="52"/>
    </row>
    <row r="4159" ht="15.75" customHeight="1">
      <c r="DG4159" s="52"/>
      <c r="DH4159" s="52"/>
    </row>
    <row r="4160" ht="15.75" customHeight="1">
      <c r="DG4160" s="52"/>
      <c r="DH4160" s="52"/>
    </row>
    <row r="4161" ht="15.75" customHeight="1">
      <c r="DG4161" s="52"/>
      <c r="DH4161" s="52"/>
    </row>
    <row r="4162" ht="15.75" customHeight="1">
      <c r="DG4162" s="52"/>
      <c r="DH4162" s="52"/>
    </row>
    <row r="4163" ht="15.75" customHeight="1">
      <c r="DG4163" s="52"/>
      <c r="DH4163" s="52"/>
    </row>
    <row r="4164" ht="15.75" customHeight="1">
      <c r="DG4164" s="52"/>
      <c r="DH4164" s="52"/>
    </row>
    <row r="4165" ht="15.75" customHeight="1">
      <c r="DG4165" s="52"/>
      <c r="DH4165" s="52"/>
    </row>
    <row r="4166" ht="15.75" customHeight="1">
      <c r="DG4166" s="52"/>
      <c r="DH4166" s="52"/>
    </row>
    <row r="4167" ht="15.75" customHeight="1">
      <c r="DG4167" s="52"/>
      <c r="DH4167" s="52"/>
    </row>
    <row r="4168" ht="15.75" customHeight="1">
      <c r="DG4168" s="52"/>
      <c r="DH4168" s="52"/>
    </row>
    <row r="4169" ht="15.75" customHeight="1">
      <c r="DG4169" s="52"/>
      <c r="DH4169" s="52"/>
    </row>
    <row r="4170" ht="15.75" customHeight="1">
      <c r="DG4170" s="52"/>
      <c r="DH4170" s="52"/>
    </row>
    <row r="4171" ht="15.75" customHeight="1">
      <c r="DG4171" s="52"/>
      <c r="DH4171" s="52"/>
    </row>
    <row r="4172" ht="15.75" customHeight="1">
      <c r="DG4172" s="52"/>
      <c r="DH4172" s="52"/>
    </row>
    <row r="4173" ht="15.75" customHeight="1">
      <c r="DG4173" s="52"/>
      <c r="DH4173" s="52"/>
    </row>
    <row r="4174" ht="15.75" customHeight="1">
      <c r="DG4174" s="52"/>
      <c r="DH4174" s="52"/>
    </row>
    <row r="4175" ht="15.75" customHeight="1">
      <c r="DG4175" s="52"/>
      <c r="DH4175" s="52"/>
    </row>
    <row r="4176" ht="15.75" customHeight="1">
      <c r="DG4176" s="52"/>
      <c r="DH4176" s="52"/>
    </row>
    <row r="4177" ht="15.75" customHeight="1">
      <c r="DG4177" s="52"/>
      <c r="DH4177" s="52"/>
    </row>
    <row r="4178" ht="15.75" customHeight="1">
      <c r="DG4178" s="52"/>
      <c r="DH4178" s="52"/>
    </row>
    <row r="4179" ht="15.75" customHeight="1">
      <c r="DG4179" s="52"/>
      <c r="DH4179" s="52"/>
    </row>
    <row r="4180" ht="15.75" customHeight="1">
      <c r="DG4180" s="52"/>
      <c r="DH4180" s="52"/>
    </row>
    <row r="4181" ht="15.75" customHeight="1">
      <c r="DG4181" s="52"/>
      <c r="DH4181" s="52"/>
    </row>
    <row r="4182" ht="15.75" customHeight="1">
      <c r="DG4182" s="52"/>
      <c r="DH4182" s="52"/>
    </row>
    <row r="4183" ht="15.75" customHeight="1">
      <c r="DG4183" s="52"/>
      <c r="DH4183" s="52"/>
    </row>
    <row r="4184" ht="15.75" customHeight="1">
      <c r="DG4184" s="52"/>
      <c r="DH4184" s="52"/>
    </row>
    <row r="4185" ht="15.75" customHeight="1">
      <c r="DG4185" s="52"/>
      <c r="DH4185" s="52"/>
    </row>
    <row r="4186" ht="15.75" customHeight="1">
      <c r="DG4186" s="52"/>
      <c r="DH4186" s="52"/>
    </row>
    <row r="4187" ht="15.75" customHeight="1">
      <c r="DG4187" s="52"/>
      <c r="DH4187" s="52"/>
    </row>
    <row r="4188" ht="15.75" customHeight="1">
      <c r="DG4188" s="52"/>
      <c r="DH4188" s="52"/>
    </row>
    <row r="4189" ht="15.75" customHeight="1">
      <c r="DG4189" s="52"/>
      <c r="DH4189" s="52"/>
    </row>
    <row r="4190" ht="15.75" customHeight="1">
      <c r="DG4190" s="52"/>
      <c r="DH4190" s="52"/>
    </row>
    <row r="4191" ht="15.75" customHeight="1">
      <c r="DG4191" s="52"/>
      <c r="DH4191" s="52"/>
    </row>
    <row r="4192" ht="15.75" customHeight="1">
      <c r="DG4192" s="52"/>
      <c r="DH4192" s="52"/>
    </row>
    <row r="4193" ht="15.75" customHeight="1">
      <c r="DG4193" s="52"/>
      <c r="DH4193" s="52"/>
    </row>
    <row r="4194" ht="15.75" customHeight="1">
      <c r="DG4194" s="52"/>
      <c r="DH4194" s="52"/>
    </row>
    <row r="4195" ht="15.75" customHeight="1">
      <c r="DG4195" s="52"/>
      <c r="DH4195" s="52"/>
    </row>
    <row r="4196" ht="15.75" customHeight="1">
      <c r="DG4196" s="52"/>
      <c r="DH4196" s="52"/>
    </row>
    <row r="4197" ht="15.75" customHeight="1">
      <c r="DG4197" s="52"/>
      <c r="DH4197" s="52"/>
    </row>
    <row r="4198" ht="15.75" customHeight="1">
      <c r="DG4198" s="52"/>
      <c r="DH4198" s="52"/>
    </row>
    <row r="4199" ht="15.75" customHeight="1">
      <c r="DG4199" s="52"/>
      <c r="DH4199" s="52"/>
    </row>
    <row r="4200" ht="15.75" customHeight="1">
      <c r="DG4200" s="52"/>
      <c r="DH4200" s="52"/>
    </row>
    <row r="4201" ht="15.75" customHeight="1">
      <c r="DG4201" s="52"/>
      <c r="DH4201" s="52"/>
    </row>
    <row r="4202" ht="15.75" customHeight="1">
      <c r="DG4202" s="52"/>
      <c r="DH4202" s="52"/>
    </row>
    <row r="4203" ht="15.75" customHeight="1">
      <c r="DG4203" s="52"/>
      <c r="DH4203" s="52"/>
    </row>
    <row r="4204" ht="15.75" customHeight="1">
      <c r="DG4204" s="52"/>
      <c r="DH4204" s="52"/>
    </row>
    <row r="4205" ht="15.75" customHeight="1">
      <c r="DG4205" s="52"/>
      <c r="DH4205" s="52"/>
    </row>
    <row r="4206" ht="15.75" customHeight="1">
      <c r="DG4206" s="52"/>
      <c r="DH4206" s="52"/>
    </row>
    <row r="4207" ht="15.75" customHeight="1">
      <c r="DG4207" s="52"/>
      <c r="DH4207" s="52"/>
    </row>
    <row r="4208" ht="15.75" customHeight="1">
      <c r="DG4208" s="52"/>
      <c r="DH4208" s="52"/>
    </row>
    <row r="4209" ht="15.75" customHeight="1">
      <c r="DG4209" s="52"/>
      <c r="DH4209" s="52"/>
    </row>
    <row r="4210" ht="15.75" customHeight="1">
      <c r="DG4210" s="52"/>
      <c r="DH4210" s="52"/>
    </row>
    <row r="4211" ht="15.75" customHeight="1">
      <c r="DG4211" s="52"/>
      <c r="DH4211" s="52"/>
    </row>
    <row r="4212" ht="15.75" customHeight="1">
      <c r="DG4212" s="52"/>
      <c r="DH4212" s="52"/>
    </row>
    <row r="4213" ht="15.75" customHeight="1">
      <c r="DG4213" s="52"/>
      <c r="DH4213" s="52"/>
    </row>
    <row r="4214" ht="15.75" customHeight="1">
      <c r="DG4214" s="52"/>
      <c r="DH4214" s="52"/>
    </row>
    <row r="4215" ht="15.75" customHeight="1">
      <c r="DG4215" s="52"/>
      <c r="DH4215" s="52"/>
    </row>
    <row r="4216" ht="15.75" customHeight="1">
      <c r="DG4216" s="52"/>
      <c r="DH4216" s="52"/>
    </row>
    <row r="4217" ht="15.75" customHeight="1">
      <c r="DG4217" s="52"/>
      <c r="DH4217" s="52"/>
    </row>
    <row r="4218" ht="15.75" customHeight="1">
      <c r="DG4218" s="52"/>
      <c r="DH4218" s="52"/>
    </row>
    <row r="4219" ht="15.75" customHeight="1">
      <c r="DG4219" s="52"/>
      <c r="DH4219" s="52"/>
    </row>
    <row r="4220" ht="15.75" customHeight="1">
      <c r="DG4220" s="52"/>
      <c r="DH4220" s="52"/>
    </row>
    <row r="4221" ht="15.75" customHeight="1">
      <c r="DG4221" s="52"/>
      <c r="DH4221" s="52"/>
    </row>
    <row r="4222" ht="15.75" customHeight="1">
      <c r="DG4222" s="52"/>
      <c r="DH4222" s="52"/>
    </row>
    <row r="4223" ht="15.75" customHeight="1">
      <c r="DG4223" s="52"/>
      <c r="DH4223" s="52"/>
    </row>
    <row r="4224" ht="15.75" customHeight="1">
      <c r="DG4224" s="52"/>
      <c r="DH4224" s="52"/>
    </row>
    <row r="4225" ht="15.75" customHeight="1">
      <c r="DG4225" s="52"/>
      <c r="DH4225" s="52"/>
    </row>
    <row r="4226" ht="15.75" customHeight="1">
      <c r="DG4226" s="52"/>
      <c r="DH4226" s="52"/>
    </row>
    <row r="4227" ht="15.75" customHeight="1">
      <c r="DG4227" s="52"/>
      <c r="DH4227" s="52"/>
    </row>
    <row r="4228" ht="15.75" customHeight="1">
      <c r="DG4228" s="52"/>
      <c r="DH4228" s="52"/>
    </row>
    <row r="4229" ht="15.75" customHeight="1">
      <c r="DG4229" s="52"/>
      <c r="DH4229" s="52"/>
    </row>
    <row r="4230" ht="15.75" customHeight="1">
      <c r="DG4230" s="52"/>
      <c r="DH4230" s="52"/>
    </row>
    <row r="4231" ht="15.75" customHeight="1">
      <c r="DG4231" s="52"/>
      <c r="DH4231" s="52"/>
    </row>
    <row r="4232" ht="15.75" customHeight="1">
      <c r="DG4232" s="52"/>
      <c r="DH4232" s="52"/>
    </row>
    <row r="4233" ht="15.75" customHeight="1">
      <c r="DG4233" s="52"/>
      <c r="DH4233" s="52"/>
    </row>
    <row r="4234" ht="15.75" customHeight="1">
      <c r="DG4234" s="52"/>
      <c r="DH4234" s="52"/>
    </row>
    <row r="4235" ht="15.75" customHeight="1">
      <c r="DG4235" s="52"/>
      <c r="DH4235" s="52"/>
    </row>
    <row r="4236" ht="15.75" customHeight="1">
      <c r="DG4236" s="52"/>
      <c r="DH4236" s="52"/>
    </row>
    <row r="4237" ht="15.75" customHeight="1">
      <c r="DG4237" s="52"/>
      <c r="DH4237" s="52"/>
    </row>
    <row r="4238" ht="15.75" customHeight="1">
      <c r="DG4238" s="52"/>
      <c r="DH4238" s="52"/>
    </row>
    <row r="4239" ht="15.75" customHeight="1">
      <c r="DG4239" s="52"/>
      <c r="DH4239" s="52"/>
    </row>
    <row r="4240" ht="15.75" customHeight="1">
      <c r="DG4240" s="52"/>
      <c r="DH4240" s="52"/>
    </row>
    <row r="4241" ht="15.75" customHeight="1">
      <c r="DG4241" s="52"/>
      <c r="DH4241" s="52"/>
    </row>
    <row r="4242" ht="15.75" customHeight="1">
      <c r="DG4242" s="52"/>
      <c r="DH4242" s="52"/>
    </row>
    <row r="4243" ht="15.75" customHeight="1">
      <c r="DG4243" s="52"/>
      <c r="DH4243" s="52"/>
    </row>
    <row r="4244" ht="15.75" customHeight="1">
      <c r="DG4244" s="52"/>
      <c r="DH4244" s="52"/>
    </row>
    <row r="4245" ht="15.75" customHeight="1">
      <c r="DG4245" s="52"/>
      <c r="DH4245" s="52"/>
    </row>
    <row r="4246" ht="15.75" customHeight="1">
      <c r="DG4246" s="52"/>
      <c r="DH4246" s="52"/>
    </row>
    <row r="4247" ht="15.75" customHeight="1">
      <c r="DG4247" s="52"/>
      <c r="DH4247" s="52"/>
    </row>
    <row r="4248" ht="15.75" customHeight="1">
      <c r="DG4248" s="52"/>
      <c r="DH4248" s="52"/>
    </row>
    <row r="4249" ht="15.75" customHeight="1">
      <c r="DG4249" s="52"/>
      <c r="DH4249" s="52"/>
    </row>
    <row r="4250" ht="15.75" customHeight="1">
      <c r="DG4250" s="52"/>
      <c r="DH4250" s="52"/>
    </row>
    <row r="4251" ht="15.75" customHeight="1">
      <c r="DG4251" s="52"/>
      <c r="DH4251" s="52"/>
    </row>
    <row r="4252" ht="15.75" customHeight="1">
      <c r="DG4252" s="52"/>
      <c r="DH4252" s="52"/>
    </row>
    <row r="4253" ht="15.75" customHeight="1">
      <c r="DG4253" s="52"/>
      <c r="DH4253" s="52"/>
    </row>
    <row r="4254" ht="15.75" customHeight="1">
      <c r="DG4254" s="52"/>
      <c r="DH4254" s="52"/>
    </row>
    <row r="4255" ht="15.75" customHeight="1">
      <c r="DG4255" s="52"/>
      <c r="DH4255" s="52"/>
    </row>
    <row r="4256" ht="15.75" customHeight="1">
      <c r="DG4256" s="52"/>
      <c r="DH4256" s="52"/>
    </row>
    <row r="4257" ht="15.75" customHeight="1">
      <c r="DG4257" s="52"/>
      <c r="DH4257" s="52"/>
    </row>
    <row r="4258" ht="15.75" customHeight="1">
      <c r="DG4258" s="52"/>
      <c r="DH4258" s="52"/>
    </row>
    <row r="4259" ht="15.75" customHeight="1">
      <c r="DG4259" s="52"/>
      <c r="DH4259" s="52"/>
    </row>
    <row r="4260" ht="15.75" customHeight="1">
      <c r="DG4260" s="52"/>
      <c r="DH4260" s="52"/>
    </row>
    <row r="4261" ht="15.75" customHeight="1">
      <c r="DG4261" s="52"/>
      <c r="DH4261" s="52"/>
    </row>
    <row r="4262" ht="15.75" customHeight="1">
      <c r="DG4262" s="52"/>
      <c r="DH4262" s="52"/>
    </row>
    <row r="4263" ht="15.75" customHeight="1">
      <c r="DG4263" s="52"/>
      <c r="DH4263" s="52"/>
    </row>
    <row r="4264" ht="15.75" customHeight="1">
      <c r="DG4264" s="52"/>
      <c r="DH4264" s="52"/>
    </row>
    <row r="4265" ht="15.75" customHeight="1">
      <c r="DG4265" s="52"/>
      <c r="DH4265" s="52"/>
    </row>
    <row r="4266" ht="15.75" customHeight="1">
      <c r="DG4266" s="52"/>
      <c r="DH4266" s="52"/>
    </row>
    <row r="4267" ht="15.75" customHeight="1">
      <c r="DG4267" s="52"/>
      <c r="DH4267" s="52"/>
    </row>
    <row r="4268" ht="15.75" customHeight="1">
      <c r="DG4268" s="52"/>
      <c r="DH4268" s="52"/>
    </row>
    <row r="4269" ht="15.75" customHeight="1">
      <c r="DG4269" s="52"/>
      <c r="DH4269" s="52"/>
    </row>
    <row r="4270" ht="15.75" customHeight="1">
      <c r="DG4270" s="52"/>
      <c r="DH4270" s="52"/>
    </row>
    <row r="4271" ht="15.75" customHeight="1">
      <c r="DG4271" s="52"/>
      <c r="DH4271" s="52"/>
    </row>
    <row r="4272" ht="15.75" customHeight="1">
      <c r="DG4272" s="52"/>
      <c r="DH4272" s="52"/>
    </row>
    <row r="4273" ht="15.75" customHeight="1">
      <c r="DG4273" s="52"/>
      <c r="DH4273" s="52"/>
    </row>
    <row r="4274" ht="15.75" customHeight="1">
      <c r="DG4274" s="52"/>
      <c r="DH4274" s="52"/>
    </row>
    <row r="4275" ht="15.75" customHeight="1">
      <c r="DG4275" s="52"/>
      <c r="DH4275" s="52"/>
    </row>
    <row r="4276" ht="15.75" customHeight="1">
      <c r="DG4276" s="52"/>
      <c r="DH4276" s="52"/>
    </row>
    <row r="4277" ht="15.75" customHeight="1">
      <c r="DG4277" s="52"/>
      <c r="DH4277" s="52"/>
    </row>
    <row r="4278" ht="15.75" customHeight="1">
      <c r="DG4278" s="52"/>
      <c r="DH4278" s="52"/>
    </row>
    <row r="4279" ht="15.75" customHeight="1">
      <c r="DG4279" s="52"/>
      <c r="DH4279" s="52"/>
    </row>
    <row r="4280" ht="15.75" customHeight="1">
      <c r="DG4280" s="52"/>
      <c r="DH4280" s="52"/>
    </row>
    <row r="4281" ht="15.75" customHeight="1">
      <c r="DG4281" s="52"/>
      <c r="DH4281" s="52"/>
    </row>
    <row r="4282" ht="15.75" customHeight="1">
      <c r="DG4282" s="52"/>
      <c r="DH4282" s="52"/>
    </row>
    <row r="4283" ht="15.75" customHeight="1">
      <c r="DG4283" s="52"/>
      <c r="DH4283" s="52"/>
    </row>
    <row r="4284" ht="15.75" customHeight="1">
      <c r="DG4284" s="52"/>
      <c r="DH4284" s="52"/>
    </row>
    <row r="4285" ht="15.75" customHeight="1">
      <c r="DG4285" s="52"/>
      <c r="DH4285" s="52"/>
    </row>
    <row r="4286" ht="15.75" customHeight="1">
      <c r="DG4286" s="52"/>
      <c r="DH4286" s="52"/>
    </row>
    <row r="4287" ht="15.75" customHeight="1">
      <c r="DG4287" s="52"/>
      <c r="DH4287" s="52"/>
    </row>
    <row r="4288" ht="15.75" customHeight="1">
      <c r="DG4288" s="52"/>
      <c r="DH4288" s="52"/>
    </row>
    <row r="4289" ht="15.75" customHeight="1">
      <c r="DG4289" s="52"/>
      <c r="DH4289" s="52"/>
    </row>
    <row r="4290" ht="15.75" customHeight="1">
      <c r="DG4290" s="52"/>
      <c r="DH4290" s="52"/>
    </row>
    <row r="4291" ht="15.75" customHeight="1">
      <c r="DG4291" s="52"/>
      <c r="DH4291" s="52"/>
    </row>
    <row r="4292" ht="15.75" customHeight="1">
      <c r="DG4292" s="52"/>
      <c r="DH4292" s="52"/>
    </row>
    <row r="4293" ht="15.75" customHeight="1">
      <c r="DG4293" s="52"/>
      <c r="DH4293" s="52"/>
    </row>
    <row r="4294" ht="15.75" customHeight="1">
      <c r="DG4294" s="52"/>
      <c r="DH4294" s="52"/>
    </row>
    <row r="4295" ht="15.75" customHeight="1">
      <c r="DG4295" s="52"/>
      <c r="DH4295" s="52"/>
    </row>
    <row r="4296" ht="15.75" customHeight="1">
      <c r="DG4296" s="52"/>
      <c r="DH4296" s="52"/>
    </row>
    <row r="4297" ht="15.75" customHeight="1">
      <c r="DG4297" s="52"/>
      <c r="DH4297" s="52"/>
    </row>
    <row r="4298" ht="15.75" customHeight="1">
      <c r="DG4298" s="52"/>
      <c r="DH4298" s="52"/>
    </row>
    <row r="4299" ht="15.75" customHeight="1">
      <c r="DG4299" s="52"/>
      <c r="DH4299" s="52"/>
    </row>
    <row r="4300" ht="15.75" customHeight="1">
      <c r="DG4300" s="52"/>
      <c r="DH4300" s="52"/>
    </row>
    <row r="4301" ht="15.75" customHeight="1">
      <c r="DG4301" s="52"/>
      <c r="DH4301" s="52"/>
    </row>
    <row r="4302" ht="15.75" customHeight="1">
      <c r="DG4302" s="52"/>
      <c r="DH4302" s="52"/>
    </row>
    <row r="4303" ht="15.75" customHeight="1">
      <c r="DG4303" s="52"/>
      <c r="DH4303" s="52"/>
    </row>
    <row r="4304" ht="15.75" customHeight="1">
      <c r="DG4304" s="52"/>
      <c r="DH4304" s="52"/>
    </row>
    <row r="4305" ht="15.75" customHeight="1">
      <c r="DG4305" s="52"/>
      <c r="DH4305" s="52"/>
    </row>
    <row r="4306" ht="15.75" customHeight="1">
      <c r="DG4306" s="52"/>
      <c r="DH4306" s="52"/>
    </row>
    <row r="4307" ht="15.75" customHeight="1">
      <c r="DG4307" s="52"/>
      <c r="DH4307" s="52"/>
    </row>
    <row r="4308" ht="15.75" customHeight="1">
      <c r="DG4308" s="52"/>
      <c r="DH4308" s="52"/>
    </row>
    <row r="4309" ht="15.75" customHeight="1">
      <c r="DG4309" s="52"/>
      <c r="DH4309" s="52"/>
    </row>
    <row r="4310" ht="15.75" customHeight="1">
      <c r="DG4310" s="52"/>
      <c r="DH4310" s="52"/>
    </row>
    <row r="4311" ht="15.75" customHeight="1">
      <c r="DG4311" s="52"/>
      <c r="DH4311" s="52"/>
    </row>
    <row r="4312" ht="15.75" customHeight="1">
      <c r="DG4312" s="52"/>
      <c r="DH4312" s="52"/>
    </row>
    <row r="4313" ht="15.75" customHeight="1">
      <c r="DG4313" s="52"/>
      <c r="DH4313" s="52"/>
    </row>
    <row r="4314" ht="15.75" customHeight="1">
      <c r="DG4314" s="52"/>
      <c r="DH4314" s="52"/>
    </row>
    <row r="4315" ht="15.75" customHeight="1">
      <c r="DG4315" s="52"/>
      <c r="DH4315" s="52"/>
    </row>
    <row r="4316" ht="15.75" customHeight="1">
      <c r="DG4316" s="52"/>
      <c r="DH4316" s="52"/>
    </row>
    <row r="4317" ht="15.75" customHeight="1">
      <c r="DG4317" s="52"/>
      <c r="DH4317" s="52"/>
    </row>
    <row r="4318" ht="15.75" customHeight="1">
      <c r="DG4318" s="52"/>
      <c r="DH4318" s="52"/>
    </row>
    <row r="4319" ht="15.75" customHeight="1">
      <c r="DG4319" s="52"/>
      <c r="DH4319" s="52"/>
    </row>
    <row r="4320" ht="15.75" customHeight="1">
      <c r="DG4320" s="52"/>
      <c r="DH4320" s="52"/>
    </row>
    <row r="4321" ht="15.75" customHeight="1">
      <c r="DG4321" s="52"/>
      <c r="DH4321" s="52"/>
    </row>
    <row r="4322" ht="15.75" customHeight="1">
      <c r="DG4322" s="52"/>
      <c r="DH4322" s="52"/>
    </row>
    <row r="4323" ht="15.75" customHeight="1">
      <c r="DG4323" s="52"/>
      <c r="DH4323" s="52"/>
    </row>
    <row r="4324" ht="15.75" customHeight="1">
      <c r="DG4324" s="52"/>
      <c r="DH4324" s="52"/>
    </row>
    <row r="4325" ht="15.75" customHeight="1">
      <c r="DG4325" s="52"/>
      <c r="DH4325" s="52"/>
    </row>
    <row r="4326" ht="15.75" customHeight="1">
      <c r="DG4326" s="52"/>
      <c r="DH4326" s="52"/>
    </row>
    <row r="4327" ht="15.75" customHeight="1">
      <c r="DG4327" s="52"/>
      <c r="DH4327" s="52"/>
    </row>
    <row r="4328" ht="15.75" customHeight="1">
      <c r="DG4328" s="52"/>
      <c r="DH4328" s="52"/>
    </row>
    <row r="4329" ht="15.75" customHeight="1">
      <c r="DG4329" s="52"/>
      <c r="DH4329" s="52"/>
    </row>
    <row r="4330" ht="15.75" customHeight="1">
      <c r="DG4330" s="52"/>
      <c r="DH4330" s="52"/>
    </row>
    <row r="4331" ht="15.75" customHeight="1">
      <c r="DG4331" s="52"/>
      <c r="DH4331" s="52"/>
    </row>
    <row r="4332" ht="15.75" customHeight="1">
      <c r="DG4332" s="52"/>
      <c r="DH4332" s="52"/>
    </row>
    <row r="4333" ht="15.75" customHeight="1">
      <c r="DG4333" s="52"/>
      <c r="DH4333" s="52"/>
    </row>
    <row r="4334" ht="15.75" customHeight="1">
      <c r="DG4334" s="52"/>
      <c r="DH4334" s="52"/>
    </row>
    <row r="4335" ht="15.75" customHeight="1">
      <c r="DG4335" s="52"/>
      <c r="DH4335" s="52"/>
    </row>
    <row r="4336" ht="15.75" customHeight="1">
      <c r="DG4336" s="52"/>
      <c r="DH4336" s="52"/>
    </row>
    <row r="4337" ht="15.75" customHeight="1">
      <c r="DG4337" s="52"/>
      <c r="DH4337" s="52"/>
    </row>
    <row r="4338" ht="15.75" customHeight="1">
      <c r="DG4338" s="52"/>
      <c r="DH4338" s="52"/>
    </row>
    <row r="4339" ht="15.75" customHeight="1">
      <c r="DG4339" s="52"/>
      <c r="DH4339" s="52"/>
    </row>
    <row r="4340" ht="15.75" customHeight="1">
      <c r="DG4340" s="52"/>
      <c r="DH4340" s="52"/>
    </row>
    <row r="4341" ht="15.75" customHeight="1">
      <c r="DG4341" s="52"/>
      <c r="DH4341" s="52"/>
    </row>
    <row r="4342" ht="15.75" customHeight="1">
      <c r="DG4342" s="52"/>
      <c r="DH4342" s="52"/>
    </row>
    <row r="4343" ht="15.75" customHeight="1">
      <c r="DG4343" s="52"/>
      <c r="DH4343" s="52"/>
    </row>
    <row r="4344" ht="15.75" customHeight="1">
      <c r="DG4344" s="52"/>
      <c r="DH4344" s="52"/>
    </row>
    <row r="4345" ht="15.75" customHeight="1">
      <c r="DG4345" s="52"/>
      <c r="DH4345" s="52"/>
    </row>
    <row r="4346" ht="15.75" customHeight="1">
      <c r="DG4346" s="52"/>
      <c r="DH4346" s="52"/>
    </row>
    <row r="4347" ht="15.75" customHeight="1">
      <c r="DG4347" s="52"/>
      <c r="DH4347" s="52"/>
    </row>
    <row r="4348" ht="15.75" customHeight="1">
      <c r="DG4348" s="52"/>
      <c r="DH4348" s="52"/>
    </row>
    <row r="4349" ht="15.75" customHeight="1">
      <c r="DG4349" s="52"/>
      <c r="DH4349" s="52"/>
    </row>
    <row r="4350" ht="15.75" customHeight="1">
      <c r="DG4350" s="52"/>
      <c r="DH4350" s="52"/>
    </row>
    <row r="4351" ht="15.75" customHeight="1">
      <c r="DG4351" s="52"/>
      <c r="DH4351" s="52"/>
    </row>
    <row r="4352" ht="15.75" customHeight="1">
      <c r="DG4352" s="52"/>
      <c r="DH4352" s="52"/>
    </row>
    <row r="4353" ht="15.75" customHeight="1">
      <c r="DG4353" s="52"/>
      <c r="DH4353" s="52"/>
    </row>
    <row r="4354" ht="15.75" customHeight="1">
      <c r="DG4354" s="52"/>
      <c r="DH4354" s="52"/>
    </row>
    <row r="4355" ht="15.75" customHeight="1">
      <c r="DG4355" s="52"/>
      <c r="DH4355" s="52"/>
    </row>
    <row r="4356" ht="15.75" customHeight="1">
      <c r="DG4356" s="52"/>
      <c r="DH4356" s="52"/>
    </row>
    <row r="4357" ht="15.75" customHeight="1">
      <c r="DG4357" s="52"/>
      <c r="DH4357" s="52"/>
    </row>
    <row r="4358" ht="15.75" customHeight="1">
      <c r="DG4358" s="52"/>
      <c r="DH4358" s="52"/>
    </row>
    <row r="4359" ht="15.75" customHeight="1">
      <c r="DG4359" s="52"/>
      <c r="DH4359" s="52"/>
    </row>
    <row r="4360" ht="15.75" customHeight="1">
      <c r="DG4360" s="52"/>
      <c r="DH4360" s="52"/>
    </row>
    <row r="4361" ht="15.75" customHeight="1">
      <c r="DG4361" s="52"/>
      <c r="DH4361" s="52"/>
    </row>
    <row r="4362" ht="15.75" customHeight="1">
      <c r="DG4362" s="52"/>
      <c r="DH4362" s="52"/>
    </row>
    <row r="4363" ht="15.75" customHeight="1">
      <c r="DG4363" s="52"/>
      <c r="DH4363" s="52"/>
    </row>
    <row r="4364" ht="15.75" customHeight="1">
      <c r="DG4364" s="52"/>
      <c r="DH4364" s="52"/>
    </row>
    <row r="4365" ht="15.75" customHeight="1">
      <c r="DG4365" s="52"/>
      <c r="DH4365" s="52"/>
    </row>
    <row r="4366" ht="15.75" customHeight="1">
      <c r="DG4366" s="52"/>
      <c r="DH4366" s="52"/>
    </row>
    <row r="4367" ht="15.75" customHeight="1">
      <c r="DG4367" s="52"/>
      <c r="DH4367" s="52"/>
    </row>
    <row r="4368" ht="15.75" customHeight="1">
      <c r="DG4368" s="52"/>
      <c r="DH4368" s="52"/>
    </row>
    <row r="4369" ht="15.75" customHeight="1">
      <c r="DG4369" s="52"/>
      <c r="DH4369" s="52"/>
    </row>
    <row r="4370" ht="15.75" customHeight="1">
      <c r="DG4370" s="52"/>
      <c r="DH4370" s="52"/>
    </row>
    <row r="4371" ht="15.75" customHeight="1">
      <c r="DG4371" s="52"/>
      <c r="DH4371" s="52"/>
    </row>
    <row r="4372" ht="15.75" customHeight="1">
      <c r="DG4372" s="52"/>
      <c r="DH4372" s="52"/>
    </row>
    <row r="4373" ht="15.75" customHeight="1">
      <c r="DG4373" s="52"/>
      <c r="DH4373" s="52"/>
    </row>
    <row r="4374" ht="15.75" customHeight="1">
      <c r="DG4374" s="52"/>
      <c r="DH4374" s="52"/>
    </row>
    <row r="4375" ht="15.75" customHeight="1">
      <c r="DG4375" s="52"/>
      <c r="DH4375" s="52"/>
    </row>
    <row r="4376" ht="15.75" customHeight="1">
      <c r="DG4376" s="52"/>
      <c r="DH4376" s="52"/>
    </row>
    <row r="4377" ht="15.75" customHeight="1">
      <c r="DG4377" s="52"/>
      <c r="DH4377" s="52"/>
    </row>
    <row r="4378" ht="15.75" customHeight="1">
      <c r="DG4378" s="52"/>
      <c r="DH4378" s="52"/>
    </row>
    <row r="4379" ht="15.75" customHeight="1">
      <c r="DG4379" s="52"/>
      <c r="DH4379" s="52"/>
    </row>
    <row r="4380" ht="15.75" customHeight="1">
      <c r="DG4380" s="52"/>
      <c r="DH4380" s="52"/>
    </row>
    <row r="4381" ht="15.75" customHeight="1">
      <c r="DG4381" s="52"/>
      <c r="DH4381" s="52"/>
    </row>
    <row r="4382" ht="15.75" customHeight="1">
      <c r="DG4382" s="52"/>
      <c r="DH4382" s="52"/>
    </row>
    <row r="4383" ht="15.75" customHeight="1">
      <c r="DG4383" s="52"/>
      <c r="DH4383" s="52"/>
    </row>
    <row r="4384" ht="15.75" customHeight="1">
      <c r="DG4384" s="52"/>
      <c r="DH4384" s="52"/>
    </row>
    <row r="4385" ht="15.75" customHeight="1">
      <c r="DG4385" s="52"/>
      <c r="DH4385" s="52"/>
    </row>
    <row r="4386" ht="15.75" customHeight="1">
      <c r="DG4386" s="52"/>
      <c r="DH4386" s="52"/>
    </row>
    <row r="4387" ht="15.75" customHeight="1">
      <c r="DG4387" s="52"/>
      <c r="DH4387" s="52"/>
    </row>
    <row r="4388" ht="15.75" customHeight="1">
      <c r="DG4388" s="52"/>
      <c r="DH4388" s="52"/>
    </row>
    <row r="4389" ht="15.75" customHeight="1">
      <c r="DG4389" s="52"/>
      <c r="DH4389" s="52"/>
    </row>
    <row r="4390" ht="15.75" customHeight="1">
      <c r="DG4390" s="52"/>
      <c r="DH4390" s="52"/>
    </row>
    <row r="4391" ht="15.75" customHeight="1">
      <c r="DG4391" s="52"/>
      <c r="DH4391" s="52"/>
    </row>
    <row r="4392" ht="15.75" customHeight="1">
      <c r="DG4392" s="52"/>
      <c r="DH4392" s="52"/>
    </row>
    <row r="4393" ht="15.75" customHeight="1">
      <c r="DG4393" s="52"/>
      <c r="DH4393" s="52"/>
    </row>
    <row r="4394" ht="15.75" customHeight="1">
      <c r="DG4394" s="52"/>
      <c r="DH4394" s="52"/>
    </row>
    <row r="4395" ht="15.75" customHeight="1">
      <c r="DG4395" s="52"/>
      <c r="DH4395" s="52"/>
    </row>
    <row r="4396" ht="15.75" customHeight="1">
      <c r="DG4396" s="52"/>
      <c r="DH4396" s="52"/>
    </row>
    <row r="4397" ht="15.75" customHeight="1">
      <c r="DG4397" s="52"/>
      <c r="DH4397" s="52"/>
    </row>
    <row r="4398" ht="15.75" customHeight="1">
      <c r="DG4398" s="52"/>
      <c r="DH4398" s="52"/>
    </row>
    <row r="4399" ht="15.75" customHeight="1">
      <c r="DG4399" s="52"/>
      <c r="DH4399" s="52"/>
    </row>
    <row r="4400" ht="15.75" customHeight="1">
      <c r="DG4400" s="52"/>
      <c r="DH4400" s="52"/>
    </row>
    <row r="4401" ht="15.75" customHeight="1">
      <c r="DG4401" s="52"/>
      <c r="DH4401" s="52"/>
    </row>
    <row r="4402" ht="15.75" customHeight="1">
      <c r="DG4402" s="52"/>
      <c r="DH4402" s="52"/>
    </row>
    <row r="4403" ht="15.75" customHeight="1">
      <c r="DG4403" s="52"/>
      <c r="DH4403" s="52"/>
    </row>
    <row r="4404" ht="15.75" customHeight="1">
      <c r="DG4404" s="52"/>
      <c r="DH4404" s="52"/>
    </row>
    <row r="4405" ht="15.75" customHeight="1">
      <c r="DG4405" s="52"/>
      <c r="DH4405" s="52"/>
    </row>
    <row r="4406" ht="15.75" customHeight="1">
      <c r="DG4406" s="52"/>
      <c r="DH4406" s="52"/>
    </row>
    <row r="4407" ht="15.75" customHeight="1">
      <c r="DG4407" s="52"/>
      <c r="DH4407" s="52"/>
    </row>
    <row r="4408" ht="15.75" customHeight="1">
      <c r="DG4408" s="52"/>
      <c r="DH4408" s="52"/>
    </row>
    <row r="4409" ht="15.75" customHeight="1">
      <c r="DG4409" s="52"/>
      <c r="DH4409" s="52"/>
    </row>
    <row r="4410" ht="15.75" customHeight="1">
      <c r="DG4410" s="52"/>
      <c r="DH4410" s="52"/>
    </row>
    <row r="4411" ht="15.75" customHeight="1">
      <c r="DG4411" s="52"/>
      <c r="DH4411" s="52"/>
    </row>
    <row r="4412" ht="15.75" customHeight="1">
      <c r="DG4412" s="52"/>
      <c r="DH4412" s="52"/>
    </row>
    <row r="4413" ht="15.75" customHeight="1">
      <c r="DG4413" s="52"/>
      <c r="DH4413" s="52"/>
    </row>
    <row r="4414" ht="15.75" customHeight="1">
      <c r="DG4414" s="52"/>
      <c r="DH4414" s="52"/>
    </row>
    <row r="4415" ht="15.75" customHeight="1">
      <c r="DG4415" s="52"/>
      <c r="DH4415" s="52"/>
    </row>
    <row r="4416" ht="15.75" customHeight="1">
      <c r="DG4416" s="52"/>
      <c r="DH4416" s="52"/>
    </row>
    <row r="4417" ht="15.75" customHeight="1">
      <c r="DG4417" s="52"/>
      <c r="DH4417" s="52"/>
    </row>
    <row r="4418" ht="15.75" customHeight="1">
      <c r="DG4418" s="52"/>
      <c r="DH4418" s="52"/>
    </row>
    <row r="4419" ht="15.75" customHeight="1">
      <c r="DG4419" s="52"/>
      <c r="DH4419" s="52"/>
    </row>
    <row r="4420" ht="15.75" customHeight="1">
      <c r="DG4420" s="52"/>
      <c r="DH4420" s="52"/>
    </row>
    <row r="4421" ht="15.75" customHeight="1">
      <c r="DG4421" s="52"/>
      <c r="DH4421" s="52"/>
    </row>
    <row r="4422" ht="15.75" customHeight="1">
      <c r="DG4422" s="52"/>
      <c r="DH4422" s="52"/>
    </row>
    <row r="4423" ht="15.75" customHeight="1">
      <c r="DG4423" s="52"/>
      <c r="DH4423" s="52"/>
    </row>
    <row r="4424" ht="15.75" customHeight="1">
      <c r="DG4424" s="52"/>
      <c r="DH4424" s="52"/>
    </row>
    <row r="4425" ht="15.75" customHeight="1">
      <c r="DG4425" s="52"/>
      <c r="DH4425" s="52"/>
    </row>
    <row r="4426" ht="15.75" customHeight="1">
      <c r="DG4426" s="52"/>
      <c r="DH4426" s="52"/>
    </row>
    <row r="4427" ht="15.75" customHeight="1">
      <c r="DG4427" s="52"/>
      <c r="DH4427" s="52"/>
    </row>
    <row r="4428" ht="15.75" customHeight="1">
      <c r="DG4428" s="52"/>
      <c r="DH4428" s="52"/>
    </row>
    <row r="4429" ht="15.75" customHeight="1">
      <c r="DG4429" s="52"/>
      <c r="DH4429" s="52"/>
    </row>
    <row r="4430" ht="15.75" customHeight="1">
      <c r="DG4430" s="52"/>
      <c r="DH4430" s="52"/>
    </row>
    <row r="4431" ht="15.75" customHeight="1">
      <c r="DG4431" s="52"/>
      <c r="DH4431" s="52"/>
    </row>
    <row r="4432" ht="15.75" customHeight="1">
      <c r="DG4432" s="52"/>
      <c r="DH4432" s="52"/>
    </row>
    <row r="4433" ht="15.75" customHeight="1">
      <c r="DG4433" s="52"/>
      <c r="DH4433" s="52"/>
    </row>
    <row r="4434" ht="15.75" customHeight="1">
      <c r="DG4434" s="52"/>
      <c r="DH4434" s="52"/>
    </row>
    <row r="4435" ht="15.75" customHeight="1">
      <c r="DG4435" s="52"/>
      <c r="DH4435" s="52"/>
    </row>
    <row r="4436" ht="15.75" customHeight="1">
      <c r="DG4436" s="52"/>
      <c r="DH4436" s="52"/>
    </row>
    <row r="4437" ht="15.75" customHeight="1">
      <c r="DG4437" s="52"/>
      <c r="DH4437" s="52"/>
    </row>
    <row r="4438" ht="15.75" customHeight="1">
      <c r="DG4438" s="52"/>
      <c r="DH4438" s="52"/>
    </row>
    <row r="4439" ht="15.75" customHeight="1">
      <c r="DG4439" s="52"/>
      <c r="DH4439" s="52"/>
    </row>
    <row r="4440" ht="15.75" customHeight="1">
      <c r="DG4440" s="52"/>
      <c r="DH4440" s="52"/>
    </row>
    <row r="4441" ht="15.75" customHeight="1">
      <c r="DG4441" s="52"/>
      <c r="DH4441" s="52"/>
    </row>
    <row r="4442" ht="15.75" customHeight="1">
      <c r="DG4442" s="52"/>
      <c r="DH4442" s="52"/>
    </row>
    <row r="4443" ht="15.75" customHeight="1">
      <c r="DG4443" s="52"/>
      <c r="DH4443" s="52"/>
    </row>
    <row r="4444" ht="15.75" customHeight="1">
      <c r="DG4444" s="52"/>
      <c r="DH4444" s="52"/>
    </row>
    <row r="4445" ht="15.75" customHeight="1">
      <c r="DG4445" s="52"/>
      <c r="DH4445" s="52"/>
    </row>
    <row r="4446" ht="15.75" customHeight="1">
      <c r="DG4446" s="52"/>
      <c r="DH4446" s="52"/>
    </row>
    <row r="4447" ht="15.75" customHeight="1">
      <c r="DG4447" s="52"/>
      <c r="DH4447" s="52"/>
    </row>
    <row r="4448" ht="15.75" customHeight="1">
      <c r="DG4448" s="52"/>
      <c r="DH4448" s="52"/>
    </row>
    <row r="4449" ht="15.75" customHeight="1">
      <c r="DG4449" s="52"/>
      <c r="DH4449" s="52"/>
    </row>
    <row r="4450" ht="15.75" customHeight="1">
      <c r="DG4450" s="52"/>
      <c r="DH4450" s="52"/>
    </row>
    <row r="4451" ht="15.75" customHeight="1">
      <c r="DG4451" s="52"/>
      <c r="DH4451" s="52"/>
    </row>
    <row r="4452" ht="15.75" customHeight="1">
      <c r="DG4452" s="52"/>
      <c r="DH4452" s="52"/>
    </row>
    <row r="4453" ht="15.75" customHeight="1">
      <c r="DG4453" s="52"/>
      <c r="DH4453" s="52"/>
    </row>
    <row r="4454" ht="15.75" customHeight="1">
      <c r="DG4454" s="52"/>
      <c r="DH4454" s="52"/>
    </row>
    <row r="4455" ht="15.75" customHeight="1">
      <c r="DG4455" s="52"/>
      <c r="DH4455" s="52"/>
    </row>
    <row r="4456" ht="15.75" customHeight="1">
      <c r="DG4456" s="52"/>
      <c r="DH4456" s="52"/>
    </row>
    <row r="4457" ht="15.75" customHeight="1">
      <c r="DG4457" s="52"/>
      <c r="DH4457" s="52"/>
    </row>
    <row r="4458" ht="15.75" customHeight="1">
      <c r="DG4458" s="52"/>
      <c r="DH4458" s="52"/>
    </row>
    <row r="4459" ht="15.75" customHeight="1">
      <c r="DG4459" s="52"/>
      <c r="DH4459" s="52"/>
    </row>
    <row r="4460" ht="15.75" customHeight="1">
      <c r="DG4460" s="52"/>
      <c r="DH4460" s="52"/>
    </row>
    <row r="4461" ht="15.75" customHeight="1">
      <c r="DG4461" s="52"/>
      <c r="DH4461" s="52"/>
    </row>
    <row r="4462" ht="15.75" customHeight="1">
      <c r="DG4462" s="52"/>
      <c r="DH4462" s="52"/>
    </row>
    <row r="4463" ht="15.75" customHeight="1">
      <c r="DG4463" s="52"/>
      <c r="DH4463" s="52"/>
    </row>
    <row r="4464" ht="15.75" customHeight="1">
      <c r="DG4464" s="52"/>
      <c r="DH4464" s="52"/>
    </row>
    <row r="4465" ht="15.75" customHeight="1">
      <c r="DG4465" s="52"/>
      <c r="DH4465" s="52"/>
    </row>
    <row r="4466" ht="15.75" customHeight="1">
      <c r="DG4466" s="52"/>
      <c r="DH4466" s="52"/>
    </row>
    <row r="4467" ht="15.75" customHeight="1">
      <c r="DG4467" s="52"/>
      <c r="DH4467" s="52"/>
    </row>
    <row r="4468" ht="15.75" customHeight="1">
      <c r="DG4468" s="52"/>
      <c r="DH4468" s="52"/>
    </row>
    <row r="4469" ht="15.75" customHeight="1">
      <c r="DG4469" s="52"/>
      <c r="DH4469" s="52"/>
    </row>
    <row r="4470" ht="15.75" customHeight="1">
      <c r="DG4470" s="52"/>
      <c r="DH4470" s="52"/>
    </row>
    <row r="4471" ht="15.75" customHeight="1">
      <c r="DG4471" s="52"/>
      <c r="DH4471" s="52"/>
    </row>
    <row r="4472" ht="15.75" customHeight="1">
      <c r="DG4472" s="52"/>
      <c r="DH4472" s="52"/>
    </row>
    <row r="4473" ht="15.75" customHeight="1">
      <c r="DG4473" s="52"/>
      <c r="DH4473" s="52"/>
    </row>
    <row r="4474" ht="15.75" customHeight="1">
      <c r="DG4474" s="52"/>
      <c r="DH4474" s="52"/>
    </row>
    <row r="4475" ht="15.75" customHeight="1">
      <c r="DG4475" s="52"/>
      <c r="DH4475" s="52"/>
    </row>
    <row r="4476" ht="15.75" customHeight="1">
      <c r="DG4476" s="52"/>
      <c r="DH4476" s="52"/>
    </row>
    <row r="4477" ht="15.75" customHeight="1">
      <c r="DG4477" s="52"/>
      <c r="DH4477" s="52"/>
    </row>
    <row r="4478" ht="15.75" customHeight="1">
      <c r="DG4478" s="52"/>
      <c r="DH4478" s="52"/>
    </row>
    <row r="4479" ht="15.75" customHeight="1">
      <c r="DG4479" s="52"/>
      <c r="DH4479" s="52"/>
    </row>
    <row r="4480" ht="15.75" customHeight="1">
      <c r="DG4480" s="52"/>
      <c r="DH4480" s="52"/>
    </row>
    <row r="4481" ht="15.75" customHeight="1">
      <c r="DG4481" s="52"/>
      <c r="DH4481" s="52"/>
    </row>
    <row r="4482" ht="15.75" customHeight="1">
      <c r="DG4482" s="52"/>
      <c r="DH4482" s="52"/>
    </row>
    <row r="4483" ht="15.75" customHeight="1">
      <c r="DG4483" s="52"/>
      <c r="DH4483" s="52"/>
    </row>
    <row r="4484" ht="15.75" customHeight="1">
      <c r="DG4484" s="52"/>
      <c r="DH4484" s="52"/>
    </row>
    <row r="4485" ht="15.75" customHeight="1">
      <c r="DG4485" s="52"/>
      <c r="DH4485" s="52"/>
    </row>
    <row r="4486" ht="15.75" customHeight="1">
      <c r="DG4486" s="52"/>
      <c r="DH4486" s="52"/>
    </row>
    <row r="4487" ht="15.75" customHeight="1">
      <c r="DG4487" s="52"/>
      <c r="DH4487" s="52"/>
    </row>
    <row r="4488" ht="15.75" customHeight="1">
      <c r="DG4488" s="52"/>
      <c r="DH4488" s="52"/>
    </row>
    <row r="4489" ht="15.75" customHeight="1">
      <c r="DG4489" s="52"/>
      <c r="DH4489" s="52"/>
    </row>
    <row r="4490" ht="15.75" customHeight="1">
      <c r="DG4490" s="52"/>
      <c r="DH4490" s="52"/>
    </row>
    <row r="4491" ht="15.75" customHeight="1">
      <c r="DG4491" s="52"/>
      <c r="DH4491" s="52"/>
    </row>
    <row r="4492" ht="15.75" customHeight="1">
      <c r="DG4492" s="52"/>
      <c r="DH4492" s="52"/>
    </row>
    <row r="4493" ht="15.75" customHeight="1">
      <c r="DG4493" s="52"/>
      <c r="DH4493" s="52"/>
    </row>
    <row r="4494" ht="15.75" customHeight="1">
      <c r="DG4494" s="52"/>
      <c r="DH4494" s="52"/>
    </row>
    <row r="4495" ht="15.75" customHeight="1">
      <c r="DG4495" s="52"/>
      <c r="DH4495" s="52"/>
    </row>
    <row r="4496" ht="15.75" customHeight="1">
      <c r="DG4496" s="52"/>
      <c r="DH4496" s="52"/>
    </row>
    <row r="4497" ht="15.75" customHeight="1">
      <c r="DG4497" s="52"/>
      <c r="DH4497" s="52"/>
    </row>
    <row r="4498" ht="15.75" customHeight="1">
      <c r="DG4498" s="52"/>
      <c r="DH4498" s="52"/>
    </row>
    <row r="4499" ht="15.75" customHeight="1">
      <c r="DG4499" s="52"/>
      <c r="DH4499" s="52"/>
    </row>
    <row r="4500" ht="15.75" customHeight="1">
      <c r="DG4500" s="52"/>
      <c r="DH4500" s="52"/>
    </row>
    <row r="4501" ht="15.75" customHeight="1">
      <c r="DG4501" s="52"/>
      <c r="DH4501" s="52"/>
    </row>
    <row r="4502" ht="15.75" customHeight="1">
      <c r="DG4502" s="52"/>
      <c r="DH4502" s="52"/>
    </row>
    <row r="4503" ht="15.75" customHeight="1">
      <c r="DG4503" s="52"/>
      <c r="DH4503" s="52"/>
    </row>
    <row r="4504" ht="15.75" customHeight="1">
      <c r="DG4504" s="52"/>
      <c r="DH4504" s="52"/>
    </row>
    <row r="4505" ht="15.75" customHeight="1">
      <c r="DG4505" s="52"/>
      <c r="DH4505" s="52"/>
    </row>
    <row r="4506" ht="15.75" customHeight="1">
      <c r="DG4506" s="52"/>
      <c r="DH4506" s="52"/>
    </row>
    <row r="4507" ht="15.75" customHeight="1">
      <c r="DG4507" s="52"/>
      <c r="DH4507" s="52"/>
    </row>
    <row r="4508" ht="15.75" customHeight="1">
      <c r="DG4508" s="52"/>
      <c r="DH4508" s="52"/>
    </row>
    <row r="4509" ht="15.75" customHeight="1">
      <c r="DG4509" s="52"/>
      <c r="DH4509" s="52"/>
    </row>
    <row r="4510" ht="15.75" customHeight="1">
      <c r="DG4510" s="52"/>
      <c r="DH4510" s="52"/>
    </row>
    <row r="4511" ht="15.75" customHeight="1">
      <c r="DG4511" s="52"/>
      <c r="DH4511" s="52"/>
    </row>
    <row r="4512" ht="15.75" customHeight="1">
      <c r="DG4512" s="52"/>
      <c r="DH4512" s="52"/>
    </row>
    <row r="4513" ht="15.75" customHeight="1">
      <c r="DG4513" s="52"/>
      <c r="DH4513" s="52"/>
    </row>
    <row r="4514" ht="15.75" customHeight="1">
      <c r="DG4514" s="52"/>
      <c r="DH4514" s="52"/>
    </row>
    <row r="4515" ht="15.75" customHeight="1">
      <c r="DG4515" s="52"/>
      <c r="DH4515" s="52"/>
    </row>
    <row r="4516" ht="15.75" customHeight="1">
      <c r="DG4516" s="52"/>
      <c r="DH4516" s="52"/>
    </row>
    <row r="4517" ht="15.75" customHeight="1">
      <c r="DG4517" s="52"/>
      <c r="DH4517" s="52"/>
    </row>
    <row r="4518" ht="15.75" customHeight="1">
      <c r="DG4518" s="52"/>
      <c r="DH4518" s="52"/>
    </row>
    <row r="4519" ht="15.75" customHeight="1">
      <c r="DG4519" s="52"/>
      <c r="DH4519" s="52"/>
    </row>
    <row r="4520" ht="15.75" customHeight="1">
      <c r="DG4520" s="52"/>
      <c r="DH4520" s="52"/>
    </row>
    <row r="4521" ht="15.75" customHeight="1">
      <c r="DG4521" s="52"/>
      <c r="DH4521" s="52"/>
    </row>
    <row r="4522" ht="15.75" customHeight="1">
      <c r="DG4522" s="52"/>
      <c r="DH4522" s="52"/>
    </row>
    <row r="4523" ht="15.75" customHeight="1">
      <c r="DG4523" s="52"/>
      <c r="DH4523" s="52"/>
    </row>
    <row r="4524" ht="15.75" customHeight="1">
      <c r="DG4524" s="52"/>
      <c r="DH4524" s="52"/>
    </row>
    <row r="4525" ht="15.75" customHeight="1">
      <c r="DG4525" s="52"/>
      <c r="DH4525" s="52"/>
    </row>
    <row r="4526" ht="15.75" customHeight="1">
      <c r="DG4526" s="52"/>
      <c r="DH4526" s="52"/>
    </row>
    <row r="4527" ht="15.75" customHeight="1">
      <c r="DG4527" s="52"/>
      <c r="DH4527" s="52"/>
    </row>
    <row r="4528" ht="15.75" customHeight="1">
      <c r="DG4528" s="52"/>
      <c r="DH4528" s="52"/>
    </row>
    <row r="4529" ht="15.75" customHeight="1">
      <c r="DG4529" s="52"/>
      <c r="DH4529" s="52"/>
    </row>
    <row r="4530" ht="15.75" customHeight="1">
      <c r="DG4530" s="52"/>
      <c r="DH4530" s="52"/>
    </row>
    <row r="4531" ht="15.75" customHeight="1">
      <c r="DG4531" s="52"/>
      <c r="DH4531" s="52"/>
    </row>
    <row r="4532" ht="15.75" customHeight="1">
      <c r="DG4532" s="52"/>
      <c r="DH4532" s="52"/>
    </row>
    <row r="4533" ht="15.75" customHeight="1">
      <c r="DG4533" s="52"/>
      <c r="DH4533" s="52"/>
    </row>
    <row r="4534" ht="15.75" customHeight="1">
      <c r="DG4534" s="52"/>
      <c r="DH4534" s="52"/>
    </row>
    <row r="4535" ht="15.75" customHeight="1">
      <c r="DG4535" s="52"/>
      <c r="DH4535" s="52"/>
    </row>
    <row r="4536" ht="15.75" customHeight="1">
      <c r="DG4536" s="52"/>
      <c r="DH4536" s="52"/>
    </row>
    <row r="4537" ht="15.75" customHeight="1">
      <c r="DG4537" s="52"/>
      <c r="DH4537" s="52"/>
    </row>
    <row r="4538" ht="15.75" customHeight="1">
      <c r="DG4538" s="52"/>
      <c r="DH4538" s="52"/>
    </row>
    <row r="4539" ht="15.75" customHeight="1">
      <c r="DG4539" s="52"/>
      <c r="DH4539" s="52"/>
    </row>
    <row r="4540" ht="15.75" customHeight="1">
      <c r="DG4540" s="52"/>
      <c r="DH4540" s="52"/>
    </row>
    <row r="4541" ht="15.75" customHeight="1">
      <c r="DG4541" s="52"/>
      <c r="DH4541" s="52"/>
    </row>
    <row r="4542" ht="15.75" customHeight="1">
      <c r="DG4542" s="52"/>
      <c r="DH4542" s="52"/>
    </row>
    <row r="4543" ht="15.75" customHeight="1">
      <c r="DG4543" s="52"/>
      <c r="DH4543" s="52"/>
    </row>
    <row r="4544" ht="15.75" customHeight="1">
      <c r="DG4544" s="52"/>
      <c r="DH4544" s="52"/>
    </row>
    <row r="4545" ht="15.75" customHeight="1">
      <c r="DG4545" s="52"/>
      <c r="DH4545" s="52"/>
    </row>
    <row r="4546" ht="15.75" customHeight="1">
      <c r="DG4546" s="52"/>
      <c r="DH4546" s="52"/>
    </row>
    <row r="4547" ht="15.75" customHeight="1">
      <c r="DG4547" s="52"/>
      <c r="DH4547" s="52"/>
    </row>
    <row r="4548" ht="15.75" customHeight="1">
      <c r="DG4548" s="52"/>
      <c r="DH4548" s="52"/>
    </row>
    <row r="4549" ht="15.75" customHeight="1">
      <c r="DG4549" s="52"/>
      <c r="DH4549" s="52"/>
    </row>
    <row r="4550" ht="15.75" customHeight="1">
      <c r="DG4550" s="52"/>
      <c r="DH4550" s="52"/>
    </row>
    <row r="4551" ht="15.75" customHeight="1">
      <c r="DG4551" s="52"/>
      <c r="DH4551" s="52"/>
    </row>
    <row r="4552" ht="15.75" customHeight="1">
      <c r="DG4552" s="52"/>
      <c r="DH4552" s="52"/>
    </row>
    <row r="4553" ht="15.75" customHeight="1">
      <c r="DG4553" s="52"/>
      <c r="DH4553" s="52"/>
    </row>
    <row r="4554" ht="15.75" customHeight="1">
      <c r="DG4554" s="52"/>
      <c r="DH4554" s="52"/>
    </row>
    <row r="4555" ht="15.75" customHeight="1">
      <c r="DG4555" s="52"/>
      <c r="DH4555" s="52"/>
    </row>
    <row r="4556" ht="15.75" customHeight="1">
      <c r="DG4556" s="52"/>
      <c r="DH4556" s="52"/>
    </row>
    <row r="4557" ht="15.75" customHeight="1">
      <c r="DG4557" s="52"/>
      <c r="DH4557" s="52"/>
    </row>
    <row r="4558" ht="15.75" customHeight="1">
      <c r="DG4558" s="52"/>
      <c r="DH4558" s="52"/>
    </row>
    <row r="4559" ht="15.75" customHeight="1">
      <c r="DG4559" s="52"/>
      <c r="DH4559" s="52"/>
    </row>
    <row r="4560" ht="15.75" customHeight="1">
      <c r="DG4560" s="52"/>
      <c r="DH4560" s="52"/>
    </row>
    <row r="4561" ht="15.75" customHeight="1">
      <c r="DG4561" s="52"/>
      <c r="DH4561" s="52"/>
    </row>
    <row r="4562" ht="15.75" customHeight="1">
      <c r="DG4562" s="52"/>
      <c r="DH4562" s="52"/>
    </row>
    <row r="4563" ht="15.75" customHeight="1">
      <c r="DG4563" s="52"/>
      <c r="DH4563" s="52"/>
    </row>
    <row r="4564" ht="15.75" customHeight="1">
      <c r="DG4564" s="52"/>
      <c r="DH4564" s="52"/>
    </row>
    <row r="4565" ht="15.75" customHeight="1">
      <c r="DG4565" s="52"/>
      <c r="DH4565" s="52"/>
    </row>
    <row r="4566" ht="15.75" customHeight="1">
      <c r="DG4566" s="52"/>
      <c r="DH4566" s="52"/>
    </row>
    <row r="4567" ht="15.75" customHeight="1">
      <c r="DG4567" s="52"/>
      <c r="DH4567" s="52"/>
    </row>
    <row r="4568" ht="15.75" customHeight="1">
      <c r="DG4568" s="52"/>
      <c r="DH4568" s="52"/>
    </row>
    <row r="4569" ht="15.75" customHeight="1">
      <c r="DG4569" s="52"/>
      <c r="DH4569" s="52"/>
    </row>
    <row r="4570" ht="15.75" customHeight="1">
      <c r="DG4570" s="52"/>
      <c r="DH4570" s="52"/>
    </row>
    <row r="4571" ht="15.75" customHeight="1">
      <c r="DG4571" s="52"/>
      <c r="DH4571" s="52"/>
    </row>
    <row r="4572" ht="15.75" customHeight="1">
      <c r="DG4572" s="52"/>
      <c r="DH4572" s="52"/>
    </row>
    <row r="4573" ht="15.75" customHeight="1">
      <c r="DG4573" s="52"/>
      <c r="DH4573" s="52"/>
    </row>
    <row r="4574" ht="15.75" customHeight="1">
      <c r="DG4574" s="52"/>
      <c r="DH4574" s="52"/>
    </row>
    <row r="4575" ht="15.75" customHeight="1">
      <c r="DG4575" s="52"/>
      <c r="DH4575" s="52"/>
    </row>
    <row r="4576" ht="15.75" customHeight="1">
      <c r="DG4576" s="52"/>
      <c r="DH4576" s="52"/>
    </row>
    <row r="4577" ht="15.75" customHeight="1">
      <c r="DG4577" s="52"/>
      <c r="DH4577" s="52"/>
    </row>
    <row r="4578" ht="15.75" customHeight="1">
      <c r="DG4578" s="52"/>
      <c r="DH4578" s="52"/>
    </row>
    <row r="4579" ht="15.75" customHeight="1">
      <c r="DG4579" s="52"/>
      <c r="DH4579" s="52"/>
    </row>
    <row r="4580" ht="15.75" customHeight="1">
      <c r="DG4580" s="52"/>
      <c r="DH4580" s="52"/>
    </row>
    <row r="4581" ht="15.75" customHeight="1">
      <c r="DG4581" s="52"/>
      <c r="DH4581" s="52"/>
    </row>
    <row r="4582" ht="15.75" customHeight="1">
      <c r="DG4582" s="52"/>
      <c r="DH4582" s="52"/>
    </row>
    <row r="4583" ht="15.75" customHeight="1">
      <c r="DG4583" s="52"/>
      <c r="DH4583" s="52"/>
    </row>
    <row r="4584" ht="15.75" customHeight="1">
      <c r="DG4584" s="52"/>
      <c r="DH4584" s="52"/>
    </row>
    <row r="4585" ht="15.75" customHeight="1">
      <c r="DG4585" s="52"/>
      <c r="DH4585" s="52"/>
    </row>
    <row r="4586" ht="15.75" customHeight="1">
      <c r="DG4586" s="52"/>
      <c r="DH4586" s="52"/>
    </row>
    <row r="4587" ht="15.75" customHeight="1">
      <c r="DG4587" s="52"/>
      <c r="DH4587" s="52"/>
    </row>
    <row r="4588" ht="15.75" customHeight="1">
      <c r="DG4588" s="52"/>
      <c r="DH4588" s="52"/>
    </row>
    <row r="4589" ht="15.75" customHeight="1">
      <c r="DG4589" s="52"/>
      <c r="DH4589" s="52"/>
    </row>
    <row r="4590" ht="15.75" customHeight="1">
      <c r="DG4590" s="52"/>
      <c r="DH4590" s="52"/>
    </row>
    <row r="4591" ht="15.75" customHeight="1">
      <c r="DG4591" s="52"/>
      <c r="DH4591" s="52"/>
    </row>
    <row r="4592" ht="15.75" customHeight="1">
      <c r="DG4592" s="52"/>
      <c r="DH4592" s="52"/>
    </row>
    <row r="4593" ht="15.75" customHeight="1">
      <c r="DG4593" s="52"/>
      <c r="DH4593" s="52"/>
    </row>
    <row r="4594" ht="15.75" customHeight="1">
      <c r="DG4594" s="52"/>
      <c r="DH4594" s="52"/>
    </row>
    <row r="4595" ht="15.75" customHeight="1">
      <c r="DG4595" s="52"/>
      <c r="DH4595" s="52"/>
    </row>
    <row r="4596" ht="15.75" customHeight="1">
      <c r="DG4596" s="52"/>
      <c r="DH4596" s="52"/>
    </row>
    <row r="4597" ht="15.75" customHeight="1">
      <c r="DG4597" s="52"/>
      <c r="DH4597" s="52"/>
    </row>
    <row r="4598" ht="15.75" customHeight="1">
      <c r="DG4598" s="52"/>
      <c r="DH4598" s="52"/>
    </row>
    <row r="4599" ht="15.75" customHeight="1">
      <c r="DG4599" s="52"/>
      <c r="DH4599" s="52"/>
    </row>
    <row r="4600" ht="15.75" customHeight="1">
      <c r="DG4600" s="52"/>
      <c r="DH4600" s="52"/>
    </row>
    <row r="4601" ht="15.75" customHeight="1">
      <c r="DG4601" s="52"/>
      <c r="DH4601" s="52"/>
    </row>
    <row r="4602" ht="15.75" customHeight="1">
      <c r="DG4602" s="52"/>
      <c r="DH4602" s="52"/>
    </row>
    <row r="4603" ht="15.75" customHeight="1">
      <c r="DG4603" s="52"/>
      <c r="DH4603" s="52"/>
    </row>
    <row r="4604" ht="15.75" customHeight="1">
      <c r="DG4604" s="52"/>
      <c r="DH4604" s="52"/>
    </row>
    <row r="4605" ht="15.75" customHeight="1">
      <c r="DG4605" s="52"/>
      <c r="DH4605" s="52"/>
    </row>
    <row r="4606" ht="15.75" customHeight="1">
      <c r="DG4606" s="52"/>
      <c r="DH4606" s="52"/>
    </row>
    <row r="4607" ht="15.75" customHeight="1">
      <c r="DG4607" s="52"/>
      <c r="DH4607" s="52"/>
    </row>
    <row r="4608" ht="15.75" customHeight="1">
      <c r="DG4608" s="52"/>
      <c r="DH4608" s="52"/>
    </row>
    <row r="4609" ht="15.75" customHeight="1">
      <c r="DG4609" s="52"/>
      <c r="DH4609" s="52"/>
    </row>
    <row r="4610" ht="15.75" customHeight="1">
      <c r="DG4610" s="52"/>
      <c r="DH4610" s="52"/>
    </row>
    <row r="4611" ht="15.75" customHeight="1">
      <c r="DG4611" s="52"/>
      <c r="DH4611" s="52"/>
    </row>
    <row r="4612" ht="15.75" customHeight="1">
      <c r="DG4612" s="52"/>
      <c r="DH4612" s="52"/>
    </row>
    <row r="4613" ht="15.75" customHeight="1">
      <c r="DG4613" s="52"/>
      <c r="DH4613" s="52"/>
    </row>
    <row r="4614" ht="15.75" customHeight="1">
      <c r="DG4614" s="52"/>
      <c r="DH4614" s="52"/>
    </row>
    <row r="4615" ht="15.75" customHeight="1">
      <c r="DG4615" s="52"/>
      <c r="DH4615" s="52"/>
    </row>
    <row r="4616" ht="15.75" customHeight="1">
      <c r="DG4616" s="52"/>
      <c r="DH4616" s="52"/>
    </row>
    <row r="4617" ht="15.75" customHeight="1">
      <c r="DG4617" s="52"/>
      <c r="DH4617" s="52"/>
    </row>
    <row r="4618" ht="15.75" customHeight="1">
      <c r="DG4618" s="52"/>
      <c r="DH4618" s="52"/>
    </row>
    <row r="4619" ht="15.75" customHeight="1">
      <c r="DG4619" s="52"/>
      <c r="DH4619" s="52"/>
    </row>
    <row r="4620" ht="15.75" customHeight="1">
      <c r="DG4620" s="52"/>
      <c r="DH4620" s="52"/>
    </row>
    <row r="4621" ht="15.75" customHeight="1">
      <c r="DG4621" s="52"/>
      <c r="DH4621" s="52"/>
    </row>
    <row r="4622" ht="15.75" customHeight="1">
      <c r="DG4622" s="52"/>
      <c r="DH4622" s="52"/>
    </row>
    <row r="4623" ht="15.75" customHeight="1">
      <c r="DG4623" s="52"/>
      <c r="DH4623" s="52"/>
    </row>
    <row r="4624" ht="15.75" customHeight="1">
      <c r="DG4624" s="52"/>
      <c r="DH4624" s="52"/>
    </row>
    <row r="4625" ht="15.75" customHeight="1">
      <c r="DG4625" s="52"/>
      <c r="DH4625" s="52"/>
    </row>
    <row r="4626" ht="15.75" customHeight="1">
      <c r="DG4626" s="52"/>
      <c r="DH4626" s="52"/>
    </row>
    <row r="4627" ht="15.75" customHeight="1">
      <c r="DG4627" s="52"/>
      <c r="DH4627" s="52"/>
    </row>
    <row r="4628" ht="15.75" customHeight="1">
      <c r="DG4628" s="52"/>
      <c r="DH4628" s="52"/>
    </row>
    <row r="4629" ht="15.75" customHeight="1">
      <c r="DG4629" s="52"/>
      <c r="DH4629" s="52"/>
    </row>
    <row r="4630" ht="15.75" customHeight="1">
      <c r="DG4630" s="52"/>
      <c r="DH4630" s="52"/>
    </row>
    <row r="4631" ht="15.75" customHeight="1">
      <c r="DG4631" s="52"/>
      <c r="DH4631" s="52"/>
    </row>
    <row r="4632" ht="15.75" customHeight="1">
      <c r="DG4632" s="52"/>
      <c r="DH4632" s="52"/>
    </row>
    <row r="4633" ht="15.75" customHeight="1">
      <c r="DG4633" s="52"/>
      <c r="DH4633" s="52"/>
    </row>
    <row r="4634" ht="15.75" customHeight="1">
      <c r="DG4634" s="52"/>
      <c r="DH4634" s="52"/>
    </row>
    <row r="4635" ht="15.75" customHeight="1">
      <c r="DG4635" s="52"/>
      <c r="DH4635" s="52"/>
    </row>
    <row r="4636" ht="15.75" customHeight="1">
      <c r="DG4636" s="52"/>
      <c r="DH4636" s="52"/>
    </row>
    <row r="4637" ht="15.75" customHeight="1">
      <c r="DG4637" s="52"/>
      <c r="DH4637" s="52"/>
    </row>
    <row r="4638" ht="15.75" customHeight="1">
      <c r="DG4638" s="52"/>
      <c r="DH4638" s="52"/>
    </row>
    <row r="4639" ht="15.75" customHeight="1">
      <c r="DG4639" s="52"/>
      <c r="DH4639" s="52"/>
    </row>
    <row r="4640" ht="15.75" customHeight="1">
      <c r="DG4640" s="52"/>
      <c r="DH4640" s="52"/>
    </row>
    <row r="4641" ht="15.75" customHeight="1">
      <c r="DG4641" s="52"/>
      <c r="DH4641" s="52"/>
    </row>
    <row r="4642" ht="15.75" customHeight="1">
      <c r="DG4642" s="52"/>
      <c r="DH4642" s="52"/>
    </row>
    <row r="4643" ht="15.75" customHeight="1">
      <c r="DG4643" s="52"/>
      <c r="DH4643" s="52"/>
    </row>
    <row r="4644" ht="15.75" customHeight="1">
      <c r="DG4644" s="52"/>
      <c r="DH4644" s="52"/>
    </row>
    <row r="4645" ht="15.75" customHeight="1">
      <c r="DG4645" s="52"/>
      <c r="DH4645" s="52"/>
    </row>
    <row r="4646" ht="15.75" customHeight="1">
      <c r="DG4646" s="52"/>
      <c r="DH4646" s="52"/>
    </row>
    <row r="4647" ht="15.75" customHeight="1">
      <c r="DG4647" s="52"/>
      <c r="DH4647" s="52"/>
    </row>
    <row r="4648" ht="15.75" customHeight="1">
      <c r="DG4648" s="52"/>
      <c r="DH4648" s="52"/>
    </row>
    <row r="4649" ht="15.75" customHeight="1">
      <c r="DG4649" s="52"/>
      <c r="DH4649" s="52"/>
    </row>
    <row r="4650" ht="15.75" customHeight="1">
      <c r="DG4650" s="52"/>
      <c r="DH4650" s="52"/>
    </row>
    <row r="4651" ht="15.75" customHeight="1">
      <c r="DG4651" s="52"/>
      <c r="DH4651" s="52"/>
    </row>
    <row r="4652" ht="15.75" customHeight="1">
      <c r="DG4652" s="52"/>
      <c r="DH4652" s="52"/>
    </row>
    <row r="4653" ht="15.75" customHeight="1">
      <c r="DG4653" s="52"/>
      <c r="DH4653" s="52"/>
    </row>
    <row r="4654" ht="15.75" customHeight="1">
      <c r="DG4654" s="52"/>
      <c r="DH4654" s="52"/>
    </row>
    <row r="4655" ht="15.75" customHeight="1">
      <c r="DG4655" s="52"/>
      <c r="DH4655" s="52"/>
    </row>
    <row r="4656" ht="15.75" customHeight="1">
      <c r="DG4656" s="52"/>
      <c r="DH4656" s="52"/>
    </row>
    <row r="4657" ht="15.75" customHeight="1">
      <c r="DG4657" s="52"/>
      <c r="DH4657" s="52"/>
    </row>
    <row r="4658" ht="15.75" customHeight="1">
      <c r="DG4658" s="52"/>
      <c r="DH4658" s="52"/>
    </row>
    <row r="4659" ht="15.75" customHeight="1">
      <c r="DG4659" s="52"/>
      <c r="DH4659" s="52"/>
    </row>
    <row r="4660" ht="15.75" customHeight="1">
      <c r="DG4660" s="52"/>
      <c r="DH4660" s="52"/>
    </row>
    <row r="4661" ht="15.75" customHeight="1">
      <c r="DG4661" s="52"/>
      <c r="DH4661" s="52"/>
    </row>
    <row r="4662" ht="15.75" customHeight="1">
      <c r="DG4662" s="52"/>
      <c r="DH4662" s="52"/>
    </row>
    <row r="4663" ht="15.75" customHeight="1">
      <c r="DG4663" s="52"/>
      <c r="DH4663" s="52"/>
    </row>
    <row r="4664" ht="15.75" customHeight="1">
      <c r="DG4664" s="52"/>
      <c r="DH4664" s="52"/>
    </row>
    <row r="4665" ht="15.75" customHeight="1">
      <c r="DG4665" s="52"/>
      <c r="DH4665" s="52"/>
    </row>
    <row r="4666" ht="15.75" customHeight="1">
      <c r="DG4666" s="52"/>
      <c r="DH4666" s="52"/>
    </row>
    <row r="4667" ht="15.75" customHeight="1">
      <c r="DG4667" s="52"/>
      <c r="DH4667" s="52"/>
    </row>
    <row r="4668" ht="15.75" customHeight="1">
      <c r="DG4668" s="52"/>
      <c r="DH4668" s="52"/>
    </row>
    <row r="4669" ht="15.75" customHeight="1">
      <c r="DG4669" s="52"/>
      <c r="DH4669" s="52"/>
    </row>
    <row r="4670" ht="15.75" customHeight="1">
      <c r="DG4670" s="52"/>
      <c r="DH4670" s="52"/>
    </row>
    <row r="4671" ht="15.75" customHeight="1">
      <c r="DG4671" s="52"/>
      <c r="DH4671" s="52"/>
    </row>
    <row r="4672" ht="15.75" customHeight="1">
      <c r="DG4672" s="52"/>
      <c r="DH4672" s="52"/>
    </row>
    <row r="4673" ht="15.75" customHeight="1">
      <c r="DG4673" s="52"/>
      <c r="DH4673" s="52"/>
    </row>
    <row r="4674" ht="15.75" customHeight="1">
      <c r="DG4674" s="52"/>
      <c r="DH4674" s="52"/>
    </row>
    <row r="4675" ht="15.75" customHeight="1">
      <c r="DG4675" s="52"/>
      <c r="DH4675" s="52"/>
    </row>
    <row r="4676" ht="15.75" customHeight="1">
      <c r="DG4676" s="52"/>
      <c r="DH4676" s="52"/>
    </row>
    <row r="4677" ht="15.75" customHeight="1">
      <c r="DG4677" s="52"/>
      <c r="DH4677" s="52"/>
    </row>
    <row r="4678" ht="15.75" customHeight="1">
      <c r="DG4678" s="52"/>
      <c r="DH4678" s="52"/>
    </row>
    <row r="4679" ht="15.75" customHeight="1">
      <c r="DG4679" s="52"/>
      <c r="DH4679" s="52"/>
    </row>
    <row r="4680" ht="15.75" customHeight="1">
      <c r="DG4680" s="52"/>
      <c r="DH4680" s="52"/>
    </row>
    <row r="4681" ht="15.75" customHeight="1">
      <c r="DG4681" s="52"/>
      <c r="DH4681" s="52"/>
    </row>
    <row r="4682" ht="15.75" customHeight="1">
      <c r="DG4682" s="52"/>
      <c r="DH4682" s="52"/>
    </row>
    <row r="4683" ht="15.75" customHeight="1">
      <c r="DG4683" s="52"/>
      <c r="DH4683" s="52"/>
    </row>
    <row r="4684" ht="15.75" customHeight="1">
      <c r="DG4684" s="52"/>
      <c r="DH4684" s="52"/>
    </row>
    <row r="4685" ht="15.75" customHeight="1">
      <c r="DG4685" s="52"/>
      <c r="DH4685" s="52"/>
    </row>
    <row r="4686" ht="15.75" customHeight="1">
      <c r="DG4686" s="52"/>
      <c r="DH4686" s="52"/>
    </row>
    <row r="4687" ht="15.75" customHeight="1">
      <c r="DG4687" s="52"/>
      <c r="DH4687" s="52"/>
    </row>
    <row r="4688" ht="15.75" customHeight="1">
      <c r="DG4688" s="52"/>
      <c r="DH4688" s="52"/>
    </row>
    <row r="4689" ht="15.75" customHeight="1">
      <c r="DG4689" s="52"/>
      <c r="DH4689" s="52"/>
    </row>
    <row r="4690" ht="15.75" customHeight="1">
      <c r="DG4690" s="52"/>
      <c r="DH4690" s="52"/>
    </row>
    <row r="4691" ht="15.75" customHeight="1">
      <c r="DG4691" s="52"/>
      <c r="DH4691" s="52"/>
    </row>
    <row r="4692" ht="15.75" customHeight="1">
      <c r="DG4692" s="52"/>
      <c r="DH4692" s="52"/>
    </row>
    <row r="4693" ht="15.75" customHeight="1">
      <c r="DG4693" s="52"/>
      <c r="DH4693" s="52"/>
    </row>
    <row r="4694" ht="15.75" customHeight="1">
      <c r="DG4694" s="52"/>
      <c r="DH4694" s="52"/>
    </row>
    <row r="4695" ht="15.75" customHeight="1">
      <c r="DG4695" s="52"/>
      <c r="DH4695" s="52"/>
    </row>
    <row r="4696" ht="15.75" customHeight="1">
      <c r="DG4696" s="52"/>
      <c r="DH4696" s="52"/>
    </row>
    <row r="4697" ht="15.75" customHeight="1">
      <c r="DG4697" s="52"/>
      <c r="DH4697" s="52"/>
    </row>
    <row r="4698" ht="15.75" customHeight="1">
      <c r="DG4698" s="52"/>
      <c r="DH4698" s="52"/>
    </row>
    <row r="4699" ht="15.75" customHeight="1">
      <c r="DG4699" s="52"/>
      <c r="DH4699" s="52"/>
    </row>
    <row r="4700" ht="15.75" customHeight="1">
      <c r="DG4700" s="52"/>
      <c r="DH4700" s="52"/>
    </row>
    <row r="4701" ht="15.75" customHeight="1">
      <c r="DG4701" s="52"/>
      <c r="DH4701" s="52"/>
    </row>
    <row r="4702" ht="15.75" customHeight="1">
      <c r="DG4702" s="52"/>
      <c r="DH4702" s="52"/>
    </row>
    <row r="4703" ht="15.75" customHeight="1">
      <c r="DG4703" s="52"/>
      <c r="DH4703" s="52"/>
    </row>
    <row r="4704" ht="15.75" customHeight="1">
      <c r="DG4704" s="52"/>
      <c r="DH4704" s="52"/>
    </row>
    <row r="4705" ht="15.75" customHeight="1">
      <c r="DG4705" s="52"/>
      <c r="DH4705" s="52"/>
    </row>
    <row r="4706" ht="15.75" customHeight="1">
      <c r="DG4706" s="52"/>
      <c r="DH4706" s="52"/>
    </row>
    <row r="4707" ht="15.75" customHeight="1">
      <c r="DG4707" s="52"/>
      <c r="DH4707" s="52"/>
    </row>
    <row r="4708" ht="15.75" customHeight="1">
      <c r="DG4708" s="52"/>
      <c r="DH4708" s="52"/>
    </row>
    <row r="4709" ht="15.75" customHeight="1">
      <c r="DG4709" s="52"/>
      <c r="DH4709" s="52"/>
    </row>
    <row r="4710" ht="15.75" customHeight="1">
      <c r="DG4710" s="52"/>
      <c r="DH4710" s="52"/>
    </row>
    <row r="4711" ht="15.75" customHeight="1">
      <c r="DG4711" s="52"/>
      <c r="DH4711" s="52"/>
    </row>
    <row r="4712" ht="15.75" customHeight="1">
      <c r="DG4712" s="52"/>
      <c r="DH4712" s="52"/>
    </row>
    <row r="4713" ht="15.75" customHeight="1">
      <c r="DG4713" s="52"/>
      <c r="DH4713" s="52"/>
    </row>
    <row r="4714" ht="15.75" customHeight="1">
      <c r="DG4714" s="52"/>
      <c r="DH4714" s="52"/>
    </row>
    <row r="4715" ht="15.75" customHeight="1">
      <c r="DG4715" s="52"/>
      <c r="DH4715" s="52"/>
    </row>
    <row r="4716" ht="15.75" customHeight="1">
      <c r="DG4716" s="52"/>
      <c r="DH4716" s="52"/>
    </row>
    <row r="4717" ht="15.75" customHeight="1">
      <c r="DG4717" s="52"/>
      <c r="DH4717" s="52"/>
    </row>
    <row r="4718" ht="15.75" customHeight="1">
      <c r="DG4718" s="52"/>
      <c r="DH4718" s="52"/>
    </row>
    <row r="4719" ht="15.75" customHeight="1">
      <c r="DG4719" s="52"/>
      <c r="DH4719" s="52"/>
    </row>
    <row r="4720" ht="15.75" customHeight="1">
      <c r="DG4720" s="52"/>
      <c r="DH4720" s="52"/>
    </row>
    <row r="4721" ht="15.75" customHeight="1">
      <c r="DG4721" s="52"/>
      <c r="DH4721" s="52"/>
    </row>
    <row r="4722" ht="15.75" customHeight="1">
      <c r="DG4722" s="52"/>
      <c r="DH4722" s="52"/>
    </row>
    <row r="4723" ht="15.75" customHeight="1">
      <c r="DG4723" s="52"/>
      <c r="DH4723" s="52"/>
    </row>
    <row r="4724" ht="15.75" customHeight="1">
      <c r="DG4724" s="52"/>
      <c r="DH4724" s="52"/>
    </row>
    <row r="4725" ht="15.75" customHeight="1">
      <c r="DG4725" s="52"/>
      <c r="DH4725" s="52"/>
    </row>
    <row r="4726" ht="15.75" customHeight="1">
      <c r="DG4726" s="52"/>
      <c r="DH4726" s="52"/>
    </row>
    <row r="4727" ht="15.75" customHeight="1">
      <c r="DG4727" s="52"/>
      <c r="DH4727" s="52"/>
    </row>
    <row r="4728" ht="15.75" customHeight="1">
      <c r="DG4728" s="52"/>
      <c r="DH4728" s="52"/>
    </row>
    <row r="4729" ht="15.75" customHeight="1">
      <c r="DG4729" s="52"/>
      <c r="DH4729" s="52"/>
    </row>
    <row r="4730" ht="15.75" customHeight="1">
      <c r="DG4730" s="52"/>
      <c r="DH4730" s="52"/>
    </row>
    <row r="4731" ht="15.75" customHeight="1">
      <c r="DG4731" s="52"/>
      <c r="DH4731" s="52"/>
    </row>
    <row r="4732" ht="15.75" customHeight="1">
      <c r="DG4732" s="52"/>
      <c r="DH4732" s="52"/>
    </row>
    <row r="4733" ht="15.75" customHeight="1">
      <c r="DG4733" s="52"/>
      <c r="DH4733" s="52"/>
    </row>
    <row r="4734" ht="15.75" customHeight="1">
      <c r="DG4734" s="52"/>
      <c r="DH4734" s="52"/>
    </row>
    <row r="4735" ht="15.75" customHeight="1">
      <c r="DG4735" s="52"/>
      <c r="DH4735" s="52"/>
    </row>
    <row r="4736" ht="15.75" customHeight="1">
      <c r="DG4736" s="52"/>
      <c r="DH4736" s="52"/>
    </row>
    <row r="4737" ht="15.75" customHeight="1">
      <c r="DG4737" s="52"/>
      <c r="DH4737" s="52"/>
    </row>
    <row r="4738" ht="15.75" customHeight="1">
      <c r="DG4738" s="52"/>
      <c r="DH4738" s="52"/>
    </row>
    <row r="4739" ht="15.75" customHeight="1">
      <c r="DG4739" s="52"/>
      <c r="DH4739" s="52"/>
    </row>
    <row r="4740" ht="15.75" customHeight="1">
      <c r="DG4740" s="52"/>
      <c r="DH4740" s="52"/>
    </row>
    <row r="4741" ht="15.75" customHeight="1">
      <c r="DG4741" s="52"/>
      <c r="DH4741" s="52"/>
    </row>
    <row r="4742" ht="15.75" customHeight="1">
      <c r="DG4742" s="52"/>
      <c r="DH4742" s="52"/>
    </row>
    <row r="4743" ht="15.75" customHeight="1">
      <c r="DG4743" s="52"/>
      <c r="DH4743" s="52"/>
    </row>
    <row r="4744" ht="15.75" customHeight="1">
      <c r="DG4744" s="52"/>
      <c r="DH4744" s="52"/>
    </row>
    <row r="4745" ht="15.75" customHeight="1">
      <c r="DG4745" s="52"/>
      <c r="DH4745" s="52"/>
    </row>
    <row r="4746" ht="15.75" customHeight="1">
      <c r="DG4746" s="52"/>
      <c r="DH4746" s="52"/>
    </row>
    <row r="4747" ht="15.75" customHeight="1">
      <c r="DG4747" s="52"/>
      <c r="DH4747" s="52"/>
    </row>
    <row r="4748" ht="15.75" customHeight="1">
      <c r="DG4748" s="52"/>
      <c r="DH4748" s="52"/>
    </row>
    <row r="4749" ht="15.75" customHeight="1">
      <c r="DG4749" s="52"/>
      <c r="DH4749" s="52"/>
    </row>
    <row r="4750" ht="15.75" customHeight="1">
      <c r="DG4750" s="52"/>
      <c r="DH4750" s="52"/>
    </row>
    <row r="4751" ht="15.75" customHeight="1">
      <c r="DG4751" s="52"/>
      <c r="DH4751" s="52"/>
    </row>
    <row r="4752" ht="15.75" customHeight="1">
      <c r="DG4752" s="52"/>
      <c r="DH4752" s="52"/>
    </row>
    <row r="4753" ht="15.75" customHeight="1">
      <c r="DG4753" s="52"/>
      <c r="DH4753" s="52"/>
    </row>
    <row r="4754" ht="15.75" customHeight="1">
      <c r="DG4754" s="52"/>
      <c r="DH4754" s="52"/>
    </row>
    <row r="4755" ht="15.75" customHeight="1">
      <c r="DG4755" s="52"/>
      <c r="DH4755" s="52"/>
    </row>
    <row r="4756" ht="15.75" customHeight="1">
      <c r="DG4756" s="52"/>
      <c r="DH4756" s="52"/>
    </row>
    <row r="4757" ht="15.75" customHeight="1">
      <c r="DG4757" s="52"/>
      <c r="DH4757" s="52"/>
    </row>
    <row r="4758" ht="15.75" customHeight="1">
      <c r="DG4758" s="52"/>
      <c r="DH4758" s="52"/>
    </row>
    <row r="4759" ht="15.75" customHeight="1">
      <c r="DG4759" s="52"/>
      <c r="DH4759" s="52"/>
    </row>
    <row r="4760" ht="15.75" customHeight="1">
      <c r="DG4760" s="52"/>
      <c r="DH4760" s="52"/>
    </row>
    <row r="4761" ht="15.75" customHeight="1">
      <c r="DG4761" s="52"/>
      <c r="DH4761" s="52"/>
    </row>
    <row r="4762" ht="15.75" customHeight="1">
      <c r="DG4762" s="52"/>
      <c r="DH4762" s="52"/>
    </row>
    <row r="4763" ht="15.75" customHeight="1">
      <c r="DG4763" s="52"/>
      <c r="DH4763" s="52"/>
    </row>
    <row r="4764" ht="15.75" customHeight="1">
      <c r="DG4764" s="52"/>
      <c r="DH4764" s="52"/>
    </row>
    <row r="4765" ht="15.75" customHeight="1">
      <c r="DG4765" s="52"/>
      <c r="DH4765" s="52"/>
    </row>
    <row r="4766" ht="15.75" customHeight="1">
      <c r="DG4766" s="52"/>
      <c r="DH4766" s="52"/>
    </row>
    <row r="4767" ht="15.75" customHeight="1">
      <c r="DG4767" s="52"/>
      <c r="DH4767" s="52"/>
    </row>
    <row r="4768" ht="15.75" customHeight="1">
      <c r="DG4768" s="52"/>
      <c r="DH4768" s="52"/>
    </row>
    <row r="4769" ht="15.75" customHeight="1">
      <c r="DG4769" s="52"/>
      <c r="DH4769" s="52"/>
    </row>
    <row r="4770" ht="15.75" customHeight="1">
      <c r="DG4770" s="52"/>
      <c r="DH4770" s="52"/>
    </row>
    <row r="4771" ht="15.75" customHeight="1">
      <c r="DG4771" s="52"/>
      <c r="DH4771" s="52"/>
    </row>
    <row r="4772" ht="15.75" customHeight="1">
      <c r="DG4772" s="52"/>
      <c r="DH4772" s="52"/>
    </row>
    <row r="4773" ht="15.75" customHeight="1">
      <c r="DG4773" s="52"/>
      <c r="DH4773" s="52"/>
    </row>
    <row r="4774" ht="15.75" customHeight="1">
      <c r="DG4774" s="52"/>
      <c r="DH4774" s="52"/>
    </row>
    <row r="4775" ht="15.75" customHeight="1">
      <c r="DG4775" s="52"/>
      <c r="DH4775" s="52"/>
    </row>
    <row r="4776" ht="15.75" customHeight="1">
      <c r="DG4776" s="52"/>
      <c r="DH4776" s="52"/>
    </row>
    <row r="4777" ht="15.75" customHeight="1">
      <c r="DG4777" s="52"/>
      <c r="DH4777" s="52"/>
    </row>
    <row r="4778" ht="15.75" customHeight="1">
      <c r="DG4778" s="52"/>
      <c r="DH4778" s="52"/>
    </row>
    <row r="4779" ht="15.75" customHeight="1">
      <c r="DG4779" s="52"/>
      <c r="DH4779" s="52"/>
    </row>
    <row r="4780" ht="15.75" customHeight="1">
      <c r="DG4780" s="52"/>
      <c r="DH4780" s="52"/>
    </row>
    <row r="4781" ht="15.75" customHeight="1">
      <c r="DG4781" s="52"/>
      <c r="DH4781" s="52"/>
    </row>
    <row r="4782" ht="15.75" customHeight="1">
      <c r="DG4782" s="52"/>
      <c r="DH4782" s="52"/>
    </row>
    <row r="4783" ht="15.75" customHeight="1">
      <c r="DG4783" s="52"/>
      <c r="DH4783" s="52"/>
    </row>
    <row r="4784" ht="15.75" customHeight="1">
      <c r="DG4784" s="52"/>
      <c r="DH4784" s="52"/>
    </row>
    <row r="4785" ht="15.75" customHeight="1">
      <c r="DG4785" s="52"/>
      <c r="DH4785" s="52"/>
    </row>
    <row r="4786" ht="15.75" customHeight="1">
      <c r="DG4786" s="52"/>
      <c r="DH4786" s="52"/>
    </row>
    <row r="4787" ht="15.75" customHeight="1">
      <c r="DG4787" s="52"/>
      <c r="DH4787" s="52"/>
    </row>
    <row r="4788" ht="15.75" customHeight="1">
      <c r="DG4788" s="52"/>
      <c r="DH4788" s="52"/>
    </row>
    <row r="4789" ht="15.75" customHeight="1">
      <c r="DG4789" s="52"/>
      <c r="DH4789" s="52"/>
    </row>
    <row r="4790" ht="15.75" customHeight="1">
      <c r="DG4790" s="52"/>
      <c r="DH4790" s="52"/>
    </row>
    <row r="4791" ht="15.75" customHeight="1">
      <c r="DG4791" s="52"/>
      <c r="DH4791" s="52"/>
    </row>
    <row r="4792" ht="15.75" customHeight="1">
      <c r="DG4792" s="52"/>
      <c r="DH4792" s="52"/>
    </row>
    <row r="4793" ht="15.75" customHeight="1">
      <c r="DG4793" s="52"/>
      <c r="DH4793" s="52"/>
    </row>
    <row r="4794" ht="15.75" customHeight="1">
      <c r="DG4794" s="52"/>
      <c r="DH4794" s="52"/>
    </row>
    <row r="4795" ht="15.75" customHeight="1">
      <c r="DG4795" s="52"/>
      <c r="DH4795" s="52"/>
    </row>
    <row r="4796" ht="15.75" customHeight="1">
      <c r="DG4796" s="52"/>
      <c r="DH4796" s="52"/>
    </row>
    <row r="4797" ht="15.75" customHeight="1">
      <c r="DG4797" s="52"/>
      <c r="DH4797" s="52"/>
    </row>
    <row r="4798" ht="15.75" customHeight="1">
      <c r="DG4798" s="52"/>
      <c r="DH4798" s="52"/>
    </row>
    <row r="4799" ht="15.75" customHeight="1">
      <c r="DG4799" s="52"/>
      <c r="DH4799" s="52"/>
    </row>
    <row r="4800" ht="15.75" customHeight="1">
      <c r="DG4800" s="52"/>
      <c r="DH4800" s="52"/>
    </row>
    <row r="4801" ht="15.75" customHeight="1">
      <c r="DG4801" s="52"/>
      <c r="DH4801" s="52"/>
    </row>
    <row r="4802" ht="15.75" customHeight="1">
      <c r="DG4802" s="52"/>
      <c r="DH4802" s="52"/>
    </row>
    <row r="4803" ht="15.75" customHeight="1">
      <c r="DG4803" s="52"/>
      <c r="DH4803" s="52"/>
    </row>
    <row r="4804" ht="15.75" customHeight="1">
      <c r="DG4804" s="52"/>
      <c r="DH4804" s="52"/>
    </row>
    <row r="4805" ht="15.75" customHeight="1">
      <c r="DG4805" s="52"/>
      <c r="DH4805" s="52"/>
    </row>
    <row r="4806" ht="15.75" customHeight="1">
      <c r="DG4806" s="52"/>
      <c r="DH4806" s="52"/>
    </row>
    <row r="4807" ht="15.75" customHeight="1">
      <c r="DG4807" s="52"/>
      <c r="DH4807" s="52"/>
    </row>
    <row r="4808" ht="15.75" customHeight="1">
      <c r="DG4808" s="52"/>
      <c r="DH4808" s="52"/>
    </row>
    <row r="4809" ht="15.75" customHeight="1">
      <c r="DG4809" s="52"/>
      <c r="DH4809" s="52"/>
    </row>
    <row r="4810" ht="15.75" customHeight="1">
      <c r="DG4810" s="52"/>
      <c r="DH4810" s="52"/>
    </row>
    <row r="4811" ht="15.75" customHeight="1">
      <c r="DG4811" s="52"/>
      <c r="DH4811" s="52"/>
    </row>
    <row r="4812" ht="15.75" customHeight="1">
      <c r="DG4812" s="52"/>
      <c r="DH4812" s="52"/>
    </row>
    <row r="4813" ht="15.75" customHeight="1">
      <c r="DG4813" s="52"/>
      <c r="DH4813" s="52"/>
    </row>
    <row r="4814" ht="15.75" customHeight="1">
      <c r="DG4814" s="52"/>
      <c r="DH4814" s="52"/>
    </row>
    <row r="4815" ht="15.75" customHeight="1">
      <c r="DG4815" s="52"/>
      <c r="DH4815" s="52"/>
    </row>
    <row r="4816" ht="15.75" customHeight="1">
      <c r="DG4816" s="52"/>
      <c r="DH4816" s="52"/>
    </row>
    <row r="4817" ht="15.75" customHeight="1">
      <c r="DG4817" s="52"/>
      <c r="DH4817" s="52"/>
    </row>
    <row r="4818" ht="15.75" customHeight="1">
      <c r="DG4818" s="52"/>
      <c r="DH4818" s="52"/>
    </row>
    <row r="4819" ht="15.75" customHeight="1">
      <c r="DG4819" s="52"/>
      <c r="DH4819" s="52"/>
    </row>
    <row r="4820" ht="15.75" customHeight="1">
      <c r="DG4820" s="52"/>
      <c r="DH4820" s="52"/>
    </row>
    <row r="4821" ht="15.75" customHeight="1">
      <c r="DG4821" s="52"/>
      <c r="DH4821" s="52"/>
    </row>
    <row r="4822" ht="15.75" customHeight="1">
      <c r="DG4822" s="52"/>
      <c r="DH4822" s="52"/>
    </row>
    <row r="4823" ht="15.75" customHeight="1">
      <c r="DG4823" s="52"/>
      <c r="DH4823" s="52"/>
    </row>
    <row r="4824" ht="15.75" customHeight="1">
      <c r="DG4824" s="52"/>
      <c r="DH4824" s="52"/>
    </row>
    <row r="4825" ht="15.75" customHeight="1">
      <c r="DG4825" s="52"/>
      <c r="DH4825" s="52"/>
    </row>
    <row r="4826" ht="15.75" customHeight="1">
      <c r="DG4826" s="52"/>
      <c r="DH4826" s="52"/>
    </row>
    <row r="4827" ht="15.75" customHeight="1">
      <c r="DG4827" s="52"/>
      <c r="DH4827" s="52"/>
    </row>
    <row r="4828" ht="15.75" customHeight="1">
      <c r="DG4828" s="52"/>
      <c r="DH4828" s="52"/>
    </row>
    <row r="4829" ht="15.75" customHeight="1">
      <c r="DG4829" s="52"/>
      <c r="DH4829" s="52"/>
    </row>
    <row r="4830" ht="15.75" customHeight="1">
      <c r="DG4830" s="52"/>
      <c r="DH4830" s="52"/>
    </row>
    <row r="4831" ht="15.75" customHeight="1">
      <c r="DG4831" s="52"/>
      <c r="DH4831" s="52"/>
    </row>
    <row r="4832" ht="15.75" customHeight="1">
      <c r="DG4832" s="52"/>
      <c r="DH4832" s="52"/>
    </row>
    <row r="4833" ht="15.75" customHeight="1">
      <c r="DG4833" s="52"/>
      <c r="DH4833" s="52"/>
    </row>
    <row r="4834" ht="15.75" customHeight="1">
      <c r="DG4834" s="52"/>
      <c r="DH4834" s="52"/>
    </row>
    <row r="4835" ht="15.75" customHeight="1">
      <c r="DG4835" s="52"/>
      <c r="DH4835" s="52"/>
    </row>
    <row r="4836" ht="15.75" customHeight="1">
      <c r="DG4836" s="52"/>
      <c r="DH4836" s="52"/>
    </row>
    <row r="4837" ht="15.75" customHeight="1">
      <c r="DG4837" s="52"/>
      <c r="DH4837" s="52"/>
    </row>
    <row r="4838" ht="15.75" customHeight="1">
      <c r="DG4838" s="52"/>
      <c r="DH4838" s="52"/>
    </row>
    <row r="4839" ht="15.75" customHeight="1">
      <c r="DG4839" s="52"/>
      <c r="DH4839" s="52"/>
    </row>
    <row r="4840" ht="15.75" customHeight="1">
      <c r="DG4840" s="52"/>
      <c r="DH4840" s="52"/>
    </row>
    <row r="4841" ht="15.75" customHeight="1">
      <c r="DG4841" s="52"/>
      <c r="DH4841" s="52"/>
    </row>
    <row r="4842" ht="15.75" customHeight="1">
      <c r="DG4842" s="52"/>
      <c r="DH4842" s="52"/>
    </row>
    <row r="4843" ht="15.75" customHeight="1">
      <c r="DG4843" s="52"/>
      <c r="DH4843" s="52"/>
    </row>
    <row r="4844" ht="15.75" customHeight="1">
      <c r="DG4844" s="52"/>
      <c r="DH4844" s="52"/>
    </row>
    <row r="4845" ht="15.75" customHeight="1">
      <c r="DG4845" s="52"/>
      <c r="DH4845" s="52"/>
    </row>
    <row r="4846" ht="15.75" customHeight="1">
      <c r="DG4846" s="52"/>
      <c r="DH4846" s="52"/>
    </row>
    <row r="4847" ht="15.75" customHeight="1">
      <c r="DG4847" s="52"/>
      <c r="DH4847" s="52"/>
    </row>
    <row r="4848" ht="15.75" customHeight="1">
      <c r="DG4848" s="52"/>
      <c r="DH4848" s="52"/>
    </row>
    <row r="4849" ht="15.75" customHeight="1">
      <c r="DG4849" s="52"/>
      <c r="DH4849" s="52"/>
    </row>
    <row r="4850" ht="15.75" customHeight="1">
      <c r="DG4850" s="52"/>
      <c r="DH4850" s="52"/>
    </row>
    <row r="4851" ht="15.75" customHeight="1">
      <c r="DG4851" s="52"/>
      <c r="DH4851" s="52"/>
    </row>
    <row r="4852" ht="15.75" customHeight="1">
      <c r="DG4852" s="52"/>
      <c r="DH4852" s="52"/>
    </row>
    <row r="4853" ht="15.75" customHeight="1">
      <c r="DG4853" s="52"/>
      <c r="DH4853" s="52"/>
    </row>
    <row r="4854" ht="15.75" customHeight="1">
      <c r="DG4854" s="52"/>
      <c r="DH4854" s="52"/>
    </row>
    <row r="4855" ht="15.75" customHeight="1">
      <c r="DG4855" s="52"/>
      <c r="DH4855" s="52"/>
    </row>
    <row r="4856" ht="15.75" customHeight="1">
      <c r="DG4856" s="52"/>
      <c r="DH4856" s="52"/>
    </row>
    <row r="4857" ht="15.75" customHeight="1">
      <c r="DG4857" s="52"/>
      <c r="DH4857" s="52"/>
    </row>
    <row r="4858" ht="15.75" customHeight="1">
      <c r="DG4858" s="52"/>
      <c r="DH4858" s="52"/>
    </row>
    <row r="4859" ht="15.75" customHeight="1">
      <c r="DG4859" s="52"/>
      <c r="DH4859" s="52"/>
    </row>
    <row r="4860" ht="15.75" customHeight="1">
      <c r="DG4860" s="52"/>
      <c r="DH4860" s="52"/>
    </row>
    <row r="4861" ht="15.75" customHeight="1">
      <c r="DG4861" s="52"/>
      <c r="DH4861" s="52"/>
    </row>
    <row r="4862" ht="15.75" customHeight="1">
      <c r="DG4862" s="52"/>
      <c r="DH4862" s="52"/>
    </row>
    <row r="4863" ht="15.75" customHeight="1">
      <c r="DG4863" s="52"/>
      <c r="DH4863" s="52"/>
    </row>
    <row r="4864" ht="15.75" customHeight="1">
      <c r="DG4864" s="52"/>
      <c r="DH4864" s="52"/>
    </row>
    <row r="4865" ht="15.75" customHeight="1">
      <c r="DG4865" s="52"/>
      <c r="DH4865" s="52"/>
    </row>
    <row r="4866" ht="15.75" customHeight="1">
      <c r="DG4866" s="52"/>
      <c r="DH4866" s="52"/>
    </row>
    <row r="4867" ht="15.75" customHeight="1">
      <c r="DG4867" s="52"/>
      <c r="DH4867" s="52"/>
    </row>
    <row r="4868" ht="15.75" customHeight="1">
      <c r="DG4868" s="52"/>
      <c r="DH4868" s="52"/>
    </row>
    <row r="4869" ht="15.75" customHeight="1">
      <c r="DG4869" s="52"/>
      <c r="DH4869" s="52"/>
    </row>
    <row r="4870" ht="15.75" customHeight="1">
      <c r="DG4870" s="52"/>
      <c r="DH4870" s="52"/>
    </row>
    <row r="4871" ht="15.75" customHeight="1">
      <c r="DG4871" s="52"/>
      <c r="DH4871" s="52"/>
    </row>
    <row r="4872" ht="15.75" customHeight="1">
      <c r="DG4872" s="52"/>
      <c r="DH4872" s="52"/>
    </row>
    <row r="4873" ht="15.75" customHeight="1">
      <c r="DG4873" s="52"/>
      <c r="DH4873" s="52"/>
    </row>
    <row r="4874" ht="15.75" customHeight="1">
      <c r="DG4874" s="52"/>
      <c r="DH4874" s="52"/>
    </row>
    <row r="4875" ht="15.75" customHeight="1">
      <c r="DG4875" s="52"/>
      <c r="DH4875" s="52"/>
    </row>
    <row r="4876" ht="15.75" customHeight="1">
      <c r="DG4876" s="52"/>
      <c r="DH4876" s="52"/>
    </row>
    <row r="4877" ht="15.75" customHeight="1">
      <c r="DG4877" s="52"/>
      <c r="DH4877" s="52"/>
    </row>
    <row r="4878" ht="15.75" customHeight="1">
      <c r="DG4878" s="52"/>
      <c r="DH4878" s="52"/>
    </row>
    <row r="4879" ht="15.75" customHeight="1">
      <c r="DG4879" s="52"/>
      <c r="DH4879" s="52"/>
    </row>
    <row r="4880" ht="15.75" customHeight="1">
      <c r="DG4880" s="52"/>
      <c r="DH4880" s="52"/>
    </row>
    <row r="4881" ht="15.75" customHeight="1">
      <c r="DG4881" s="52"/>
      <c r="DH4881" s="52"/>
    </row>
    <row r="4882" ht="15.75" customHeight="1">
      <c r="DG4882" s="52"/>
      <c r="DH4882" s="52"/>
    </row>
    <row r="4883" ht="15.75" customHeight="1">
      <c r="DG4883" s="52"/>
      <c r="DH4883" s="52"/>
    </row>
    <row r="4884" ht="15.75" customHeight="1">
      <c r="DG4884" s="52"/>
      <c r="DH4884" s="52"/>
    </row>
    <row r="4885" ht="15.75" customHeight="1">
      <c r="DG4885" s="52"/>
      <c r="DH4885" s="52"/>
    </row>
    <row r="4886" ht="15.75" customHeight="1">
      <c r="DG4886" s="52"/>
      <c r="DH4886" s="52"/>
    </row>
    <row r="4887" ht="15.75" customHeight="1">
      <c r="DG4887" s="52"/>
      <c r="DH4887" s="52"/>
    </row>
    <row r="4888" ht="15.75" customHeight="1">
      <c r="DG4888" s="52"/>
      <c r="DH4888" s="52"/>
    </row>
    <row r="4889" ht="15.75" customHeight="1">
      <c r="DG4889" s="52"/>
      <c r="DH4889" s="52"/>
    </row>
    <row r="4890" ht="15.75" customHeight="1">
      <c r="DG4890" s="52"/>
      <c r="DH4890" s="52"/>
    </row>
    <row r="4891" ht="15.75" customHeight="1">
      <c r="DG4891" s="52"/>
      <c r="DH4891" s="52"/>
    </row>
    <row r="4892" ht="15.75" customHeight="1">
      <c r="DG4892" s="52"/>
      <c r="DH4892" s="52"/>
    </row>
    <row r="4893" ht="15.75" customHeight="1">
      <c r="DG4893" s="52"/>
      <c r="DH4893" s="52"/>
    </row>
    <row r="4894" ht="15.75" customHeight="1">
      <c r="DG4894" s="52"/>
      <c r="DH4894" s="52"/>
    </row>
    <row r="4895" ht="15.75" customHeight="1">
      <c r="DG4895" s="52"/>
      <c r="DH4895" s="52"/>
    </row>
    <row r="4896" ht="15.75" customHeight="1">
      <c r="DG4896" s="52"/>
      <c r="DH4896" s="52"/>
    </row>
    <row r="4897" ht="15.75" customHeight="1">
      <c r="DG4897" s="52"/>
      <c r="DH4897" s="52"/>
    </row>
    <row r="4898" ht="15.75" customHeight="1">
      <c r="DG4898" s="52"/>
      <c r="DH4898" s="52"/>
    </row>
    <row r="4899" ht="15.75" customHeight="1">
      <c r="DG4899" s="52"/>
      <c r="DH4899" s="52"/>
    </row>
    <row r="4900" ht="15.75" customHeight="1">
      <c r="DG4900" s="52"/>
      <c r="DH4900" s="52"/>
    </row>
    <row r="4901" ht="15.75" customHeight="1">
      <c r="DG4901" s="52"/>
      <c r="DH4901" s="52"/>
    </row>
    <row r="4902" ht="15.75" customHeight="1">
      <c r="DG4902" s="52"/>
      <c r="DH4902" s="52"/>
    </row>
    <row r="4903" ht="15.75" customHeight="1">
      <c r="DG4903" s="52"/>
      <c r="DH4903" s="52"/>
    </row>
    <row r="4904" ht="15.75" customHeight="1">
      <c r="DG4904" s="52"/>
      <c r="DH4904" s="52"/>
    </row>
    <row r="4905" ht="15.75" customHeight="1">
      <c r="DG4905" s="52"/>
      <c r="DH4905" s="52"/>
    </row>
    <row r="4906" ht="15.75" customHeight="1">
      <c r="DG4906" s="52"/>
      <c r="DH4906" s="52"/>
    </row>
    <row r="4907" ht="15.75" customHeight="1">
      <c r="DG4907" s="52"/>
      <c r="DH4907" s="52"/>
    </row>
    <row r="4908" ht="15.75" customHeight="1">
      <c r="DG4908" s="52"/>
      <c r="DH4908" s="52"/>
    </row>
    <row r="4909" ht="15.75" customHeight="1">
      <c r="DG4909" s="52"/>
      <c r="DH4909" s="52"/>
    </row>
    <row r="4910" ht="15.75" customHeight="1">
      <c r="DG4910" s="52"/>
      <c r="DH4910" s="52"/>
    </row>
    <row r="4911" ht="15.75" customHeight="1">
      <c r="DG4911" s="52"/>
      <c r="DH4911" s="52"/>
    </row>
    <row r="4912" ht="15.75" customHeight="1">
      <c r="DG4912" s="52"/>
      <c r="DH4912" s="52"/>
    </row>
    <row r="4913" ht="15.75" customHeight="1">
      <c r="DG4913" s="52"/>
      <c r="DH4913" s="52"/>
    </row>
    <row r="4914" ht="15.75" customHeight="1">
      <c r="DG4914" s="52"/>
      <c r="DH4914" s="52"/>
    </row>
    <row r="4915" ht="15.75" customHeight="1">
      <c r="DG4915" s="52"/>
      <c r="DH4915" s="52"/>
    </row>
    <row r="4916" ht="15.75" customHeight="1">
      <c r="DG4916" s="52"/>
      <c r="DH4916" s="52"/>
    </row>
    <row r="4917" ht="15.75" customHeight="1">
      <c r="DG4917" s="52"/>
      <c r="DH4917" s="52"/>
    </row>
    <row r="4918" ht="15.75" customHeight="1">
      <c r="DG4918" s="52"/>
      <c r="DH4918" s="52"/>
    </row>
    <row r="4919" ht="15.75" customHeight="1">
      <c r="DG4919" s="52"/>
      <c r="DH4919" s="52"/>
    </row>
    <row r="4920" ht="15.75" customHeight="1">
      <c r="DG4920" s="52"/>
      <c r="DH4920" s="52"/>
    </row>
    <row r="4921" ht="15.75" customHeight="1">
      <c r="DG4921" s="52"/>
      <c r="DH4921" s="52"/>
    </row>
    <row r="4922" ht="15.75" customHeight="1">
      <c r="DG4922" s="52"/>
      <c r="DH4922" s="52"/>
    </row>
    <row r="4923" ht="15.75" customHeight="1">
      <c r="DG4923" s="52"/>
      <c r="DH4923" s="52"/>
    </row>
    <row r="4924" ht="15.75" customHeight="1">
      <c r="DG4924" s="52"/>
      <c r="DH4924" s="52"/>
    </row>
    <row r="4925" ht="15.75" customHeight="1">
      <c r="DG4925" s="52"/>
      <c r="DH4925" s="52"/>
    </row>
    <row r="4926" ht="15.75" customHeight="1">
      <c r="DG4926" s="52"/>
      <c r="DH4926" s="52"/>
    </row>
    <row r="4927" ht="15.75" customHeight="1">
      <c r="DG4927" s="52"/>
      <c r="DH4927" s="52"/>
    </row>
    <row r="4928" ht="15.75" customHeight="1">
      <c r="DG4928" s="52"/>
      <c r="DH4928" s="52"/>
    </row>
    <row r="4929" ht="15.75" customHeight="1">
      <c r="DG4929" s="52"/>
      <c r="DH4929" s="52"/>
    </row>
    <row r="4930" ht="15.75" customHeight="1">
      <c r="DG4930" s="52"/>
      <c r="DH4930" s="52"/>
    </row>
    <row r="4931" ht="15.75" customHeight="1">
      <c r="DG4931" s="52"/>
      <c r="DH4931" s="52"/>
    </row>
    <row r="4932" ht="15.75" customHeight="1">
      <c r="DG4932" s="52"/>
      <c r="DH4932" s="52"/>
    </row>
    <row r="4933" ht="15.75" customHeight="1">
      <c r="DG4933" s="52"/>
      <c r="DH4933" s="52"/>
    </row>
    <row r="4934" ht="15.75" customHeight="1">
      <c r="DG4934" s="52"/>
      <c r="DH4934" s="52"/>
    </row>
    <row r="4935" ht="15.75" customHeight="1">
      <c r="DG4935" s="52"/>
      <c r="DH4935" s="52"/>
    </row>
    <row r="4936" ht="15.75" customHeight="1">
      <c r="DG4936" s="52"/>
      <c r="DH4936" s="52"/>
    </row>
    <row r="4937" ht="15.75" customHeight="1">
      <c r="DG4937" s="52"/>
      <c r="DH4937" s="52"/>
    </row>
    <row r="4938" ht="15.75" customHeight="1">
      <c r="DG4938" s="52"/>
      <c r="DH4938" s="52"/>
    </row>
    <row r="4939" ht="15.75" customHeight="1">
      <c r="DG4939" s="52"/>
      <c r="DH4939" s="52"/>
    </row>
    <row r="4940" ht="15.75" customHeight="1">
      <c r="DG4940" s="52"/>
      <c r="DH4940" s="52"/>
    </row>
    <row r="4941" ht="15.75" customHeight="1">
      <c r="DG4941" s="52"/>
      <c r="DH4941" s="52"/>
    </row>
    <row r="4942" ht="15.75" customHeight="1">
      <c r="DG4942" s="52"/>
      <c r="DH4942" s="52"/>
    </row>
    <row r="4943" ht="15.75" customHeight="1">
      <c r="DG4943" s="52"/>
      <c r="DH4943" s="52"/>
    </row>
    <row r="4944" ht="15.75" customHeight="1">
      <c r="DG4944" s="52"/>
      <c r="DH4944" s="52"/>
    </row>
    <row r="4945" ht="15.75" customHeight="1">
      <c r="DG4945" s="52"/>
      <c r="DH4945" s="52"/>
    </row>
    <row r="4946" ht="15.75" customHeight="1">
      <c r="DG4946" s="52"/>
      <c r="DH4946" s="52"/>
    </row>
    <row r="4947" ht="15.75" customHeight="1">
      <c r="DG4947" s="52"/>
      <c r="DH4947" s="52"/>
    </row>
    <row r="4948" ht="15.75" customHeight="1">
      <c r="DG4948" s="52"/>
      <c r="DH4948" s="52"/>
    </row>
    <row r="4949" ht="15.75" customHeight="1">
      <c r="DG4949" s="52"/>
      <c r="DH4949" s="52"/>
    </row>
    <row r="4950" ht="15.75" customHeight="1">
      <c r="DG4950" s="52"/>
      <c r="DH4950" s="52"/>
    </row>
    <row r="4951" ht="15.75" customHeight="1">
      <c r="DG4951" s="52"/>
      <c r="DH4951" s="52"/>
    </row>
    <row r="4952" ht="15.75" customHeight="1">
      <c r="DG4952" s="52"/>
      <c r="DH4952" s="52"/>
    </row>
    <row r="4953" ht="15.75" customHeight="1">
      <c r="DG4953" s="52"/>
      <c r="DH4953" s="52"/>
    </row>
    <row r="4954" ht="15.75" customHeight="1">
      <c r="DG4954" s="52"/>
      <c r="DH4954" s="52"/>
    </row>
    <row r="4955" ht="15.75" customHeight="1">
      <c r="DG4955" s="52"/>
      <c r="DH4955" s="52"/>
    </row>
    <row r="4956" ht="15.75" customHeight="1">
      <c r="DG4956" s="52"/>
      <c r="DH4956" s="52"/>
    </row>
    <row r="4957" ht="15.75" customHeight="1">
      <c r="DG4957" s="52"/>
      <c r="DH4957" s="52"/>
    </row>
    <row r="4958" ht="15.75" customHeight="1">
      <c r="DG4958" s="52"/>
      <c r="DH4958" s="52"/>
    </row>
    <row r="4959" ht="15.75" customHeight="1">
      <c r="DG4959" s="52"/>
      <c r="DH4959" s="52"/>
    </row>
    <row r="4960" ht="15.75" customHeight="1">
      <c r="DG4960" s="52"/>
      <c r="DH4960" s="52"/>
    </row>
    <row r="4961" ht="15.75" customHeight="1">
      <c r="DG4961" s="52"/>
      <c r="DH4961" s="52"/>
    </row>
    <row r="4962" ht="15.75" customHeight="1">
      <c r="DG4962" s="52"/>
      <c r="DH4962" s="52"/>
    </row>
    <row r="4963" ht="15.75" customHeight="1">
      <c r="DG4963" s="52"/>
      <c r="DH4963" s="52"/>
    </row>
    <row r="4964" ht="15.75" customHeight="1">
      <c r="DG4964" s="52"/>
      <c r="DH4964" s="52"/>
    </row>
    <row r="4965" ht="15.75" customHeight="1">
      <c r="DG4965" s="52"/>
      <c r="DH4965" s="52"/>
    </row>
    <row r="4966" ht="15.75" customHeight="1">
      <c r="DG4966" s="52"/>
      <c r="DH4966" s="52"/>
    </row>
    <row r="4967" ht="15.75" customHeight="1">
      <c r="DG4967" s="52"/>
      <c r="DH4967" s="52"/>
    </row>
    <row r="4968" ht="15.75" customHeight="1">
      <c r="DG4968" s="52"/>
      <c r="DH4968" s="52"/>
    </row>
    <row r="4969" ht="15.75" customHeight="1">
      <c r="DG4969" s="52"/>
      <c r="DH4969" s="52"/>
    </row>
    <row r="4970" ht="15.75" customHeight="1">
      <c r="DG4970" s="52"/>
      <c r="DH4970" s="52"/>
    </row>
    <row r="4971" ht="15.75" customHeight="1">
      <c r="DG4971" s="52"/>
      <c r="DH4971" s="52"/>
    </row>
    <row r="4972" ht="15.75" customHeight="1">
      <c r="DG4972" s="52"/>
      <c r="DH4972" s="52"/>
    </row>
    <row r="4973" ht="15.75" customHeight="1">
      <c r="DG4973" s="52"/>
      <c r="DH4973" s="52"/>
    </row>
    <row r="4974" ht="15.75" customHeight="1">
      <c r="DG4974" s="52"/>
      <c r="DH4974" s="52"/>
    </row>
    <row r="4975" ht="15.75" customHeight="1">
      <c r="DG4975" s="52"/>
      <c r="DH4975" s="52"/>
    </row>
    <row r="4976" ht="15.75" customHeight="1">
      <c r="DG4976" s="52"/>
      <c r="DH4976" s="52"/>
    </row>
    <row r="4977" ht="15.75" customHeight="1">
      <c r="DG4977" s="52"/>
      <c r="DH4977" s="52"/>
    </row>
    <row r="4978" ht="15.75" customHeight="1">
      <c r="DG4978" s="52"/>
      <c r="DH4978" s="52"/>
    </row>
    <row r="4979" ht="15.75" customHeight="1">
      <c r="DG4979" s="52"/>
      <c r="DH4979" s="52"/>
    </row>
    <row r="4980" ht="15.75" customHeight="1">
      <c r="DG4980" s="52"/>
      <c r="DH4980" s="52"/>
    </row>
    <row r="4981" ht="15.75" customHeight="1">
      <c r="DG4981" s="52"/>
      <c r="DH4981" s="52"/>
    </row>
    <row r="4982" ht="15.75" customHeight="1">
      <c r="DG4982" s="52"/>
      <c r="DH4982" s="52"/>
    </row>
    <row r="4983" ht="15.75" customHeight="1">
      <c r="DG4983" s="52"/>
      <c r="DH4983" s="52"/>
    </row>
    <row r="4984" ht="15.75" customHeight="1">
      <c r="DG4984" s="52"/>
      <c r="DH4984" s="52"/>
    </row>
    <row r="4985" ht="15.75" customHeight="1">
      <c r="DG4985" s="52"/>
      <c r="DH4985" s="52"/>
    </row>
    <row r="4986" ht="15.75" customHeight="1">
      <c r="DG4986" s="52"/>
      <c r="DH4986" s="52"/>
    </row>
    <row r="4987" ht="15.75" customHeight="1">
      <c r="DG4987" s="52"/>
      <c r="DH4987" s="52"/>
    </row>
    <row r="4988" ht="15.75" customHeight="1">
      <c r="DG4988" s="52"/>
      <c r="DH4988" s="52"/>
    </row>
    <row r="4989" ht="15.75" customHeight="1">
      <c r="DG4989" s="52"/>
      <c r="DH4989" s="52"/>
    </row>
    <row r="4990" ht="15.75" customHeight="1">
      <c r="DG4990" s="52"/>
      <c r="DH4990" s="52"/>
    </row>
    <row r="4991" ht="15.75" customHeight="1">
      <c r="DG4991" s="52"/>
      <c r="DH4991" s="52"/>
    </row>
    <row r="4992" ht="15.75" customHeight="1">
      <c r="DG4992" s="52"/>
      <c r="DH4992" s="52"/>
    </row>
    <row r="4993" ht="15.75" customHeight="1">
      <c r="DG4993" s="52"/>
      <c r="DH4993" s="52"/>
    </row>
    <row r="4994" ht="15.75" customHeight="1">
      <c r="DG4994" s="52"/>
      <c r="DH4994" s="52"/>
    </row>
    <row r="4995" ht="15.75" customHeight="1">
      <c r="DG4995" s="52"/>
      <c r="DH4995" s="52"/>
    </row>
    <row r="4996" ht="15.75" customHeight="1">
      <c r="DG4996" s="52"/>
      <c r="DH4996" s="52"/>
    </row>
    <row r="4997" ht="15.75" customHeight="1">
      <c r="DG4997" s="52"/>
      <c r="DH4997" s="52"/>
    </row>
    <row r="4998" ht="15.75" customHeight="1">
      <c r="DG4998" s="52"/>
      <c r="DH4998" s="52"/>
    </row>
    <row r="4999" ht="15.75" customHeight="1">
      <c r="DG4999" s="52"/>
      <c r="DH4999" s="52"/>
    </row>
    <row r="5000" ht="15.75" customHeight="1">
      <c r="DG5000" s="52"/>
      <c r="DH5000" s="52"/>
    </row>
    <row r="5001" ht="15.75" customHeight="1">
      <c r="DG5001" s="52"/>
      <c r="DH5001" s="52"/>
    </row>
    <row r="5002" ht="15.75" customHeight="1">
      <c r="DG5002" s="52"/>
      <c r="DH5002" s="52"/>
    </row>
    <row r="5003" ht="15.75" customHeight="1">
      <c r="DG5003" s="52"/>
      <c r="DH5003" s="52"/>
    </row>
    <row r="5004" ht="15.75" customHeight="1">
      <c r="DG5004" s="52"/>
      <c r="DH5004" s="52"/>
    </row>
    <row r="5005" ht="15.75" customHeight="1">
      <c r="DG5005" s="52"/>
      <c r="DH5005" s="52"/>
    </row>
    <row r="5006" ht="15.75" customHeight="1">
      <c r="DG5006" s="52"/>
      <c r="DH5006" s="52"/>
    </row>
    <row r="5007" ht="15.75" customHeight="1">
      <c r="DG5007" s="52"/>
      <c r="DH5007" s="52"/>
    </row>
    <row r="5008" ht="15.75" customHeight="1">
      <c r="DG5008" s="52"/>
      <c r="DH5008" s="52"/>
    </row>
    <row r="5009" ht="15.75" customHeight="1">
      <c r="DG5009" s="52"/>
      <c r="DH5009" s="52"/>
    </row>
    <row r="5010" ht="15.75" customHeight="1">
      <c r="DG5010" s="52"/>
      <c r="DH5010" s="52"/>
    </row>
    <row r="5011" ht="15.75" customHeight="1">
      <c r="DG5011" s="52"/>
      <c r="DH5011" s="52"/>
    </row>
    <row r="5012" ht="15.75" customHeight="1">
      <c r="DG5012" s="52"/>
      <c r="DH5012" s="52"/>
    </row>
    <row r="5013" ht="15.75" customHeight="1">
      <c r="DG5013" s="52"/>
      <c r="DH5013" s="52"/>
    </row>
    <row r="5014" ht="15.75" customHeight="1">
      <c r="DG5014" s="52"/>
      <c r="DH5014" s="52"/>
    </row>
    <row r="5015" ht="15.75" customHeight="1">
      <c r="DG5015" s="52"/>
      <c r="DH5015" s="52"/>
    </row>
    <row r="5016" ht="15.75" customHeight="1">
      <c r="DG5016" s="52"/>
      <c r="DH5016" s="52"/>
    </row>
    <row r="5017" ht="15.75" customHeight="1">
      <c r="DG5017" s="52"/>
      <c r="DH5017" s="52"/>
    </row>
    <row r="5018" ht="15.75" customHeight="1">
      <c r="DG5018" s="52"/>
      <c r="DH5018" s="52"/>
    </row>
    <row r="5019" ht="15.75" customHeight="1">
      <c r="DG5019" s="52"/>
      <c r="DH5019" s="52"/>
    </row>
    <row r="5020" ht="15.75" customHeight="1">
      <c r="DG5020" s="52"/>
      <c r="DH5020" s="52"/>
    </row>
    <row r="5021" ht="15.75" customHeight="1">
      <c r="DG5021" s="52"/>
      <c r="DH5021" s="52"/>
    </row>
    <row r="5022" ht="15.75" customHeight="1">
      <c r="DG5022" s="52"/>
      <c r="DH5022" s="52"/>
    </row>
    <row r="5023" ht="15.75" customHeight="1">
      <c r="DG5023" s="52"/>
      <c r="DH5023" s="52"/>
    </row>
    <row r="5024" ht="15.75" customHeight="1">
      <c r="DG5024" s="52"/>
      <c r="DH5024" s="52"/>
    </row>
    <row r="5025" ht="15.75" customHeight="1">
      <c r="DG5025" s="52"/>
      <c r="DH5025" s="52"/>
    </row>
    <row r="5026" ht="15.75" customHeight="1">
      <c r="DG5026" s="52"/>
      <c r="DH5026" s="52"/>
    </row>
    <row r="5027" ht="15.75" customHeight="1">
      <c r="DG5027" s="52"/>
      <c r="DH5027" s="52"/>
    </row>
    <row r="5028" ht="15.75" customHeight="1">
      <c r="DG5028" s="52"/>
      <c r="DH5028" s="52"/>
    </row>
    <row r="5029" ht="15.75" customHeight="1">
      <c r="DG5029" s="52"/>
      <c r="DH5029" s="52"/>
    </row>
    <row r="5030" ht="15.75" customHeight="1">
      <c r="DG5030" s="52"/>
      <c r="DH5030" s="52"/>
    </row>
    <row r="5031" ht="15.75" customHeight="1">
      <c r="DG5031" s="52"/>
      <c r="DH5031" s="52"/>
    </row>
    <row r="5032" ht="15.75" customHeight="1">
      <c r="DG5032" s="52"/>
      <c r="DH5032" s="52"/>
    </row>
    <row r="5033" ht="15.75" customHeight="1">
      <c r="DG5033" s="52"/>
      <c r="DH5033" s="52"/>
    </row>
    <row r="5034" ht="15.75" customHeight="1">
      <c r="DG5034" s="52"/>
      <c r="DH5034" s="52"/>
    </row>
    <row r="5035" ht="15.75" customHeight="1">
      <c r="DG5035" s="52"/>
      <c r="DH5035" s="52"/>
    </row>
    <row r="5036" ht="15.75" customHeight="1">
      <c r="DG5036" s="52"/>
      <c r="DH5036" s="52"/>
    </row>
    <row r="5037" ht="15.75" customHeight="1">
      <c r="DG5037" s="52"/>
      <c r="DH5037" s="52"/>
    </row>
    <row r="5038" ht="15.75" customHeight="1">
      <c r="DG5038" s="52"/>
      <c r="DH5038" s="52"/>
    </row>
    <row r="5039" ht="15.75" customHeight="1">
      <c r="DG5039" s="52"/>
      <c r="DH5039" s="52"/>
    </row>
    <row r="5040" ht="15.75" customHeight="1">
      <c r="DG5040" s="52"/>
      <c r="DH5040" s="52"/>
    </row>
    <row r="5041" ht="15.75" customHeight="1">
      <c r="DG5041" s="52"/>
      <c r="DH5041" s="52"/>
    </row>
    <row r="5042" ht="15.75" customHeight="1">
      <c r="DG5042" s="52"/>
      <c r="DH5042" s="52"/>
    </row>
    <row r="5043" ht="15.75" customHeight="1">
      <c r="DG5043" s="52"/>
      <c r="DH5043" s="52"/>
    </row>
    <row r="5044" ht="15.75" customHeight="1">
      <c r="DG5044" s="52"/>
      <c r="DH5044" s="52"/>
    </row>
    <row r="5045" ht="15.75" customHeight="1">
      <c r="DG5045" s="52"/>
      <c r="DH5045" s="52"/>
    </row>
    <row r="5046" ht="15.75" customHeight="1">
      <c r="DG5046" s="52"/>
      <c r="DH5046" s="52"/>
    </row>
    <row r="5047" ht="15.75" customHeight="1">
      <c r="DG5047" s="52"/>
      <c r="DH5047" s="52"/>
    </row>
    <row r="5048" ht="15.75" customHeight="1">
      <c r="DG5048" s="52"/>
      <c r="DH5048" s="52"/>
    </row>
    <row r="5049" ht="15.75" customHeight="1">
      <c r="DG5049" s="52"/>
      <c r="DH5049" s="52"/>
    </row>
    <row r="5050" ht="15.75" customHeight="1">
      <c r="DG5050" s="52"/>
      <c r="DH5050" s="52"/>
    </row>
    <row r="5051" ht="15.75" customHeight="1">
      <c r="DG5051" s="52"/>
      <c r="DH5051" s="52"/>
    </row>
    <row r="5052" ht="15.75" customHeight="1">
      <c r="DG5052" s="52"/>
      <c r="DH5052" s="52"/>
    </row>
    <row r="5053" ht="15.75" customHeight="1">
      <c r="DG5053" s="52"/>
      <c r="DH5053" s="52"/>
    </row>
    <row r="5054" ht="15.75" customHeight="1">
      <c r="DG5054" s="52"/>
      <c r="DH5054" s="52"/>
    </row>
    <row r="5055" ht="15.75" customHeight="1">
      <c r="DG5055" s="52"/>
      <c r="DH5055" s="52"/>
    </row>
    <row r="5056" ht="15.75" customHeight="1">
      <c r="DG5056" s="52"/>
      <c r="DH5056" s="52"/>
    </row>
    <row r="5057" ht="15.75" customHeight="1">
      <c r="DG5057" s="52"/>
      <c r="DH5057" s="52"/>
    </row>
    <row r="5058" ht="15.75" customHeight="1">
      <c r="DG5058" s="52"/>
      <c r="DH5058" s="52"/>
    </row>
    <row r="5059" ht="15.75" customHeight="1">
      <c r="DG5059" s="52"/>
      <c r="DH5059" s="52"/>
    </row>
    <row r="5060" ht="15.75" customHeight="1">
      <c r="DG5060" s="52"/>
      <c r="DH5060" s="52"/>
    </row>
    <row r="5061" ht="15.75" customHeight="1">
      <c r="DG5061" s="52"/>
      <c r="DH5061" s="52"/>
    </row>
    <row r="5062" ht="15.75" customHeight="1">
      <c r="DG5062" s="52"/>
      <c r="DH5062" s="52"/>
    </row>
    <row r="5063" ht="15.75" customHeight="1">
      <c r="DG5063" s="52"/>
      <c r="DH5063" s="52"/>
    </row>
    <row r="5064" ht="15.75" customHeight="1">
      <c r="DG5064" s="52"/>
      <c r="DH5064" s="52"/>
    </row>
    <row r="5065" ht="15.75" customHeight="1">
      <c r="DG5065" s="52"/>
      <c r="DH5065" s="52"/>
    </row>
    <row r="5066" ht="15.75" customHeight="1">
      <c r="DG5066" s="52"/>
      <c r="DH5066" s="52"/>
    </row>
    <row r="5067" ht="15.75" customHeight="1">
      <c r="DG5067" s="52"/>
      <c r="DH5067" s="52"/>
    </row>
    <row r="5068" ht="15.75" customHeight="1">
      <c r="DG5068" s="52"/>
      <c r="DH5068" s="52"/>
    </row>
    <row r="5069" ht="15.75" customHeight="1">
      <c r="DG5069" s="52"/>
      <c r="DH5069" s="52"/>
    </row>
    <row r="5070" ht="15.75" customHeight="1">
      <c r="DG5070" s="52"/>
      <c r="DH5070" s="52"/>
    </row>
    <row r="5071" ht="15.75" customHeight="1">
      <c r="DG5071" s="52"/>
      <c r="DH5071" s="52"/>
    </row>
    <row r="5072" ht="15.75" customHeight="1">
      <c r="DG5072" s="52"/>
      <c r="DH5072" s="52"/>
    </row>
    <row r="5073" ht="15.75" customHeight="1">
      <c r="DG5073" s="52"/>
      <c r="DH5073" s="52"/>
    </row>
    <row r="5074" ht="15.75" customHeight="1">
      <c r="DG5074" s="52"/>
      <c r="DH5074" s="52"/>
    </row>
    <row r="5075" ht="15.75" customHeight="1">
      <c r="DG5075" s="52"/>
      <c r="DH5075" s="52"/>
    </row>
    <row r="5076" ht="15.75" customHeight="1">
      <c r="DG5076" s="52"/>
      <c r="DH5076" s="52"/>
    </row>
    <row r="5077" ht="15.75" customHeight="1">
      <c r="DG5077" s="52"/>
      <c r="DH5077" s="52"/>
    </row>
    <row r="5078" ht="15.75" customHeight="1">
      <c r="DG5078" s="52"/>
      <c r="DH5078" s="52"/>
    </row>
    <row r="5079" ht="15.75" customHeight="1">
      <c r="DG5079" s="52"/>
      <c r="DH5079" s="52"/>
    </row>
    <row r="5080" ht="15.75" customHeight="1">
      <c r="DG5080" s="52"/>
      <c r="DH5080" s="52"/>
    </row>
    <row r="5081" ht="15.75" customHeight="1">
      <c r="DG5081" s="52"/>
      <c r="DH5081" s="52"/>
    </row>
    <row r="5082" ht="15.75" customHeight="1">
      <c r="DG5082" s="52"/>
      <c r="DH5082" s="52"/>
    </row>
    <row r="5083" ht="15.75" customHeight="1">
      <c r="DG5083" s="52"/>
      <c r="DH5083" s="52"/>
    </row>
    <row r="5084" ht="15.75" customHeight="1">
      <c r="DG5084" s="52"/>
      <c r="DH5084" s="52"/>
    </row>
    <row r="5085" ht="15.75" customHeight="1">
      <c r="DG5085" s="52"/>
      <c r="DH5085" s="52"/>
    </row>
    <row r="5086" ht="15.75" customHeight="1">
      <c r="DG5086" s="52"/>
      <c r="DH5086" s="52"/>
    </row>
    <row r="5087" ht="15.75" customHeight="1">
      <c r="DG5087" s="52"/>
      <c r="DH5087" s="52"/>
    </row>
    <row r="5088" ht="15.75" customHeight="1">
      <c r="DG5088" s="52"/>
      <c r="DH5088" s="52"/>
    </row>
    <row r="5089" ht="15.75" customHeight="1">
      <c r="DG5089" s="52"/>
      <c r="DH5089" s="52"/>
    </row>
    <row r="5090" ht="15.75" customHeight="1">
      <c r="DG5090" s="52"/>
      <c r="DH5090" s="52"/>
    </row>
    <row r="5091" ht="15.75" customHeight="1">
      <c r="DG5091" s="52"/>
      <c r="DH5091" s="52"/>
    </row>
    <row r="5092" ht="15.75" customHeight="1">
      <c r="DG5092" s="52"/>
      <c r="DH5092" s="52"/>
    </row>
    <row r="5093" ht="15.75" customHeight="1">
      <c r="DG5093" s="52"/>
      <c r="DH5093" s="52"/>
    </row>
    <row r="5094" ht="15.75" customHeight="1">
      <c r="DG5094" s="52"/>
      <c r="DH5094" s="52"/>
    </row>
    <row r="5095" ht="15.75" customHeight="1">
      <c r="DG5095" s="52"/>
      <c r="DH5095" s="52"/>
    </row>
    <row r="5096" ht="15.75" customHeight="1">
      <c r="DG5096" s="52"/>
      <c r="DH5096" s="52"/>
    </row>
    <row r="5097" ht="15.75" customHeight="1">
      <c r="DG5097" s="52"/>
      <c r="DH5097" s="52"/>
    </row>
    <row r="5098" ht="15.75" customHeight="1">
      <c r="DG5098" s="52"/>
      <c r="DH5098" s="52"/>
    </row>
    <row r="5099" ht="15.75" customHeight="1">
      <c r="DG5099" s="52"/>
      <c r="DH5099" s="52"/>
    </row>
    <row r="5100" ht="15.75" customHeight="1">
      <c r="DG5100" s="52"/>
      <c r="DH5100" s="52"/>
    </row>
    <row r="5101" ht="15.75" customHeight="1">
      <c r="DG5101" s="52"/>
      <c r="DH5101" s="52"/>
    </row>
    <row r="5102" ht="15.75" customHeight="1">
      <c r="DG5102" s="52"/>
      <c r="DH5102" s="52"/>
    </row>
    <row r="5103" ht="15.75" customHeight="1">
      <c r="DG5103" s="52"/>
      <c r="DH5103" s="52"/>
    </row>
    <row r="5104" ht="15.75" customHeight="1">
      <c r="DG5104" s="52"/>
      <c r="DH5104" s="52"/>
    </row>
    <row r="5105" ht="15.75" customHeight="1">
      <c r="DG5105" s="52"/>
      <c r="DH5105" s="52"/>
    </row>
    <row r="5106" ht="15.75" customHeight="1">
      <c r="DG5106" s="52"/>
      <c r="DH5106" s="52"/>
    </row>
    <row r="5107" ht="15.75" customHeight="1">
      <c r="DG5107" s="52"/>
      <c r="DH5107" s="52"/>
    </row>
    <row r="5108" ht="15.75" customHeight="1">
      <c r="DG5108" s="52"/>
      <c r="DH5108" s="52"/>
    </row>
    <row r="5109" ht="15.75" customHeight="1">
      <c r="DG5109" s="52"/>
      <c r="DH5109" s="52"/>
    </row>
    <row r="5110" ht="15.75" customHeight="1">
      <c r="DG5110" s="52"/>
      <c r="DH5110" s="52"/>
    </row>
    <row r="5111" ht="15.75" customHeight="1">
      <c r="DG5111" s="52"/>
      <c r="DH5111" s="52"/>
    </row>
    <row r="5112" ht="15.75" customHeight="1">
      <c r="DG5112" s="52"/>
      <c r="DH5112" s="52"/>
    </row>
    <row r="5113" ht="15.75" customHeight="1">
      <c r="DG5113" s="52"/>
      <c r="DH5113" s="52"/>
    </row>
    <row r="5114" ht="15.75" customHeight="1">
      <c r="DG5114" s="52"/>
      <c r="DH5114" s="52"/>
    </row>
    <row r="5115" ht="15.75" customHeight="1">
      <c r="DG5115" s="52"/>
      <c r="DH5115" s="52"/>
    </row>
    <row r="5116" ht="15.75" customHeight="1">
      <c r="DG5116" s="52"/>
      <c r="DH5116" s="52"/>
    </row>
    <row r="5117" ht="15.75" customHeight="1">
      <c r="DG5117" s="52"/>
      <c r="DH5117" s="52"/>
    </row>
    <row r="5118" ht="15.75" customHeight="1">
      <c r="DG5118" s="52"/>
      <c r="DH5118" s="52"/>
    </row>
    <row r="5119" ht="15.75" customHeight="1">
      <c r="DG5119" s="52"/>
      <c r="DH5119" s="52"/>
    </row>
    <row r="5120" ht="15.75" customHeight="1">
      <c r="DG5120" s="52"/>
      <c r="DH5120" s="52"/>
    </row>
    <row r="5121" ht="15.75" customHeight="1">
      <c r="DG5121" s="52"/>
      <c r="DH5121" s="52"/>
    </row>
    <row r="5122" ht="15.75" customHeight="1">
      <c r="DG5122" s="52"/>
      <c r="DH5122" s="52"/>
    </row>
    <row r="5123" ht="15.75" customHeight="1">
      <c r="DG5123" s="52"/>
      <c r="DH5123" s="52"/>
    </row>
    <row r="5124" ht="15.75" customHeight="1">
      <c r="DG5124" s="52"/>
      <c r="DH5124" s="52"/>
    </row>
    <row r="5125" ht="15.75" customHeight="1">
      <c r="DG5125" s="52"/>
      <c r="DH5125" s="52"/>
    </row>
    <row r="5126" ht="15.75" customHeight="1">
      <c r="DG5126" s="52"/>
      <c r="DH5126" s="52"/>
    </row>
    <row r="5127" ht="15.75" customHeight="1">
      <c r="DG5127" s="52"/>
      <c r="DH5127" s="52"/>
    </row>
    <row r="5128" ht="15.75" customHeight="1">
      <c r="DG5128" s="52"/>
      <c r="DH5128" s="52"/>
    </row>
    <row r="5129" ht="15.75" customHeight="1">
      <c r="DG5129" s="52"/>
      <c r="DH5129" s="52"/>
    </row>
    <row r="5130" ht="15.75" customHeight="1">
      <c r="DG5130" s="52"/>
      <c r="DH5130" s="52"/>
    </row>
    <row r="5131" ht="15.75" customHeight="1">
      <c r="DG5131" s="52"/>
      <c r="DH5131" s="52"/>
    </row>
    <row r="5132" ht="15.75" customHeight="1">
      <c r="DG5132" s="52"/>
      <c r="DH5132" s="52"/>
    </row>
    <row r="5133" ht="15.75" customHeight="1">
      <c r="DG5133" s="52"/>
      <c r="DH5133" s="52"/>
    </row>
    <row r="5134" ht="15.75" customHeight="1">
      <c r="DG5134" s="52"/>
      <c r="DH5134" s="52"/>
    </row>
    <row r="5135" ht="15.75" customHeight="1">
      <c r="DG5135" s="52"/>
      <c r="DH5135" s="52"/>
    </row>
    <row r="5136" ht="15.75" customHeight="1">
      <c r="DG5136" s="52"/>
      <c r="DH5136" s="52"/>
    </row>
    <row r="5137" ht="15.75" customHeight="1">
      <c r="DG5137" s="52"/>
      <c r="DH5137" s="52"/>
    </row>
    <row r="5138" ht="15.75" customHeight="1">
      <c r="DG5138" s="52"/>
      <c r="DH5138" s="52"/>
    </row>
    <row r="5139" ht="15.75" customHeight="1">
      <c r="DG5139" s="52"/>
      <c r="DH5139" s="52"/>
    </row>
    <row r="5140" ht="15.75" customHeight="1">
      <c r="DG5140" s="52"/>
      <c r="DH5140" s="52"/>
    </row>
    <row r="5141" ht="15.75" customHeight="1">
      <c r="DG5141" s="52"/>
      <c r="DH5141" s="52"/>
    </row>
    <row r="5142" ht="15.75" customHeight="1">
      <c r="DG5142" s="52"/>
      <c r="DH5142" s="52"/>
    </row>
    <row r="5143" ht="15.75" customHeight="1">
      <c r="DG5143" s="52"/>
      <c r="DH5143" s="52"/>
    </row>
    <row r="5144" ht="15.75" customHeight="1">
      <c r="DG5144" s="52"/>
      <c r="DH5144" s="52"/>
    </row>
    <row r="5145" ht="15.75" customHeight="1">
      <c r="DG5145" s="52"/>
      <c r="DH5145" s="52"/>
    </row>
    <row r="5146" ht="15.75" customHeight="1">
      <c r="DG5146" s="52"/>
      <c r="DH5146" s="52"/>
    </row>
    <row r="5147" ht="15.75" customHeight="1">
      <c r="DG5147" s="52"/>
      <c r="DH5147" s="52"/>
    </row>
    <row r="5148" ht="15.75" customHeight="1">
      <c r="DG5148" s="52"/>
      <c r="DH5148" s="52"/>
    </row>
    <row r="5149" ht="15.75" customHeight="1">
      <c r="DG5149" s="52"/>
      <c r="DH5149" s="52"/>
    </row>
    <row r="5150" ht="15.75" customHeight="1">
      <c r="DG5150" s="52"/>
      <c r="DH5150" s="52"/>
    </row>
    <row r="5151" ht="15.75" customHeight="1">
      <c r="DG5151" s="52"/>
      <c r="DH5151" s="52"/>
    </row>
    <row r="5152" ht="15.75" customHeight="1">
      <c r="DG5152" s="52"/>
      <c r="DH5152" s="52"/>
    </row>
    <row r="5153" ht="15.75" customHeight="1">
      <c r="DG5153" s="52"/>
      <c r="DH5153" s="52"/>
    </row>
    <row r="5154" ht="15.75" customHeight="1">
      <c r="DG5154" s="52"/>
      <c r="DH5154" s="52"/>
    </row>
    <row r="5155" ht="15.75" customHeight="1">
      <c r="DG5155" s="52"/>
      <c r="DH5155" s="52"/>
    </row>
    <row r="5156" ht="15.75" customHeight="1">
      <c r="DG5156" s="52"/>
      <c r="DH5156" s="52"/>
    </row>
    <row r="5157" ht="15.75" customHeight="1">
      <c r="DG5157" s="52"/>
      <c r="DH5157" s="52"/>
    </row>
    <row r="5158" ht="15.75" customHeight="1">
      <c r="DG5158" s="52"/>
      <c r="DH5158" s="52"/>
    </row>
    <row r="5159" ht="15.75" customHeight="1">
      <c r="DG5159" s="52"/>
      <c r="DH5159" s="52"/>
    </row>
    <row r="5160" ht="15.75" customHeight="1">
      <c r="DG5160" s="52"/>
      <c r="DH5160" s="52"/>
    </row>
    <row r="5161" ht="15.75" customHeight="1">
      <c r="DG5161" s="52"/>
      <c r="DH5161" s="52"/>
    </row>
    <row r="5162" ht="15.75" customHeight="1">
      <c r="DG5162" s="52"/>
      <c r="DH5162" s="52"/>
    </row>
    <row r="5163" ht="15.75" customHeight="1">
      <c r="DG5163" s="52"/>
      <c r="DH5163" s="52"/>
    </row>
    <row r="5164" ht="15.75" customHeight="1">
      <c r="DG5164" s="52"/>
      <c r="DH5164" s="52"/>
    </row>
    <row r="5165" ht="15.75" customHeight="1">
      <c r="DG5165" s="52"/>
      <c r="DH5165" s="52"/>
    </row>
    <row r="5166" ht="15.75" customHeight="1">
      <c r="DG5166" s="52"/>
      <c r="DH5166" s="52"/>
    </row>
    <row r="5167" ht="15.75" customHeight="1">
      <c r="DG5167" s="52"/>
      <c r="DH5167" s="52"/>
    </row>
    <row r="5168" ht="15.75" customHeight="1">
      <c r="DG5168" s="52"/>
      <c r="DH5168" s="52"/>
    </row>
    <row r="5169" ht="15.75" customHeight="1">
      <c r="DG5169" s="52"/>
      <c r="DH5169" s="52"/>
    </row>
    <row r="5170" ht="15.75" customHeight="1">
      <c r="DG5170" s="52"/>
      <c r="DH5170" s="52"/>
    </row>
    <row r="5171" ht="15.75" customHeight="1">
      <c r="DG5171" s="52"/>
      <c r="DH5171" s="52"/>
    </row>
    <row r="5172" ht="15.75" customHeight="1">
      <c r="DG5172" s="52"/>
      <c r="DH5172" s="52"/>
    </row>
    <row r="5173" ht="15.75" customHeight="1">
      <c r="DG5173" s="52"/>
      <c r="DH5173" s="52"/>
    </row>
    <row r="5174" ht="15.75" customHeight="1">
      <c r="DG5174" s="52"/>
      <c r="DH5174" s="52"/>
    </row>
    <row r="5175" ht="15.75" customHeight="1">
      <c r="DG5175" s="52"/>
      <c r="DH5175" s="52"/>
    </row>
    <row r="5176" ht="15.75" customHeight="1">
      <c r="DG5176" s="52"/>
      <c r="DH5176" s="52"/>
    </row>
    <row r="5177" ht="15.75" customHeight="1">
      <c r="DG5177" s="52"/>
      <c r="DH5177" s="52"/>
    </row>
    <row r="5178" ht="15.75" customHeight="1">
      <c r="DG5178" s="52"/>
      <c r="DH5178" s="52"/>
    </row>
    <row r="5179" ht="15.75" customHeight="1">
      <c r="DG5179" s="52"/>
      <c r="DH5179" s="52"/>
    </row>
    <row r="5180" ht="15.75" customHeight="1">
      <c r="DG5180" s="52"/>
      <c r="DH5180" s="52"/>
    </row>
    <row r="5181" ht="15.75" customHeight="1">
      <c r="DG5181" s="52"/>
      <c r="DH5181" s="52"/>
    </row>
    <row r="5182" ht="15.75" customHeight="1">
      <c r="DG5182" s="52"/>
      <c r="DH5182" s="52"/>
    </row>
    <row r="5183" ht="15.75" customHeight="1">
      <c r="DG5183" s="52"/>
      <c r="DH5183" s="52"/>
    </row>
    <row r="5184" ht="15.75" customHeight="1">
      <c r="DG5184" s="52"/>
      <c r="DH5184" s="52"/>
    </row>
    <row r="5185" ht="15.75" customHeight="1">
      <c r="DG5185" s="52"/>
      <c r="DH5185" s="52"/>
    </row>
    <row r="5186" ht="15.75" customHeight="1">
      <c r="DG5186" s="52"/>
      <c r="DH5186" s="52"/>
    </row>
    <row r="5187" ht="15.75" customHeight="1">
      <c r="DG5187" s="52"/>
      <c r="DH5187" s="52"/>
    </row>
    <row r="5188" ht="15.75" customHeight="1">
      <c r="DG5188" s="52"/>
      <c r="DH5188" s="52"/>
    </row>
    <row r="5189" ht="15.75" customHeight="1">
      <c r="DG5189" s="52"/>
      <c r="DH5189" s="52"/>
    </row>
    <row r="5190" ht="15.75" customHeight="1">
      <c r="DG5190" s="52"/>
      <c r="DH5190" s="52"/>
    </row>
    <row r="5191" ht="15.75" customHeight="1">
      <c r="DG5191" s="52"/>
      <c r="DH5191" s="52"/>
    </row>
    <row r="5192" ht="15.75" customHeight="1">
      <c r="DG5192" s="52"/>
      <c r="DH5192" s="52"/>
    </row>
    <row r="5193" ht="15.75" customHeight="1">
      <c r="DG5193" s="52"/>
      <c r="DH5193" s="52"/>
    </row>
    <row r="5194" ht="15.75" customHeight="1">
      <c r="DG5194" s="52"/>
      <c r="DH5194" s="52"/>
    </row>
    <row r="5195" ht="15.75" customHeight="1">
      <c r="DG5195" s="52"/>
      <c r="DH5195" s="52"/>
    </row>
    <row r="5196" ht="15.75" customHeight="1">
      <c r="DG5196" s="52"/>
      <c r="DH5196" s="52"/>
    </row>
    <row r="5197" ht="15.75" customHeight="1">
      <c r="DG5197" s="52"/>
      <c r="DH5197" s="52"/>
    </row>
    <row r="5198" ht="15.75" customHeight="1">
      <c r="DG5198" s="52"/>
      <c r="DH5198" s="52"/>
    </row>
    <row r="5199" ht="15.75" customHeight="1">
      <c r="DG5199" s="52"/>
      <c r="DH5199" s="52"/>
    </row>
    <row r="5200" ht="15.75" customHeight="1">
      <c r="DG5200" s="52"/>
      <c r="DH5200" s="52"/>
    </row>
    <row r="5201" ht="15.75" customHeight="1">
      <c r="DG5201" s="52"/>
      <c r="DH5201" s="52"/>
    </row>
    <row r="5202" ht="15.75" customHeight="1">
      <c r="DG5202" s="52"/>
      <c r="DH5202" s="52"/>
    </row>
    <row r="5203" ht="15.75" customHeight="1">
      <c r="DG5203" s="52"/>
      <c r="DH5203" s="52"/>
    </row>
    <row r="5204" ht="15.75" customHeight="1">
      <c r="DG5204" s="52"/>
      <c r="DH5204" s="52"/>
    </row>
    <row r="5205" ht="15.75" customHeight="1">
      <c r="DG5205" s="52"/>
      <c r="DH5205" s="52"/>
    </row>
    <row r="5206" ht="15.75" customHeight="1">
      <c r="DG5206" s="52"/>
      <c r="DH5206" s="52"/>
    </row>
    <row r="5207" ht="15.75" customHeight="1">
      <c r="DG5207" s="52"/>
      <c r="DH5207" s="52"/>
    </row>
    <row r="5208" ht="15.75" customHeight="1">
      <c r="DG5208" s="52"/>
      <c r="DH5208" s="52"/>
    </row>
    <row r="5209" ht="15.75" customHeight="1">
      <c r="DG5209" s="52"/>
      <c r="DH5209" s="52"/>
    </row>
    <row r="5210" ht="15.75" customHeight="1">
      <c r="DG5210" s="52"/>
      <c r="DH5210" s="52"/>
    </row>
    <row r="5211" ht="15.75" customHeight="1">
      <c r="DG5211" s="52"/>
      <c r="DH5211" s="52"/>
    </row>
    <row r="5212" ht="15.75" customHeight="1">
      <c r="DG5212" s="52"/>
      <c r="DH5212" s="52"/>
    </row>
    <row r="5213" ht="15.75" customHeight="1">
      <c r="DG5213" s="52"/>
      <c r="DH5213" s="52"/>
    </row>
    <row r="5214" ht="15.75" customHeight="1">
      <c r="DG5214" s="52"/>
      <c r="DH5214" s="52"/>
    </row>
    <row r="5215" ht="15.75" customHeight="1">
      <c r="DG5215" s="52"/>
      <c r="DH5215" s="52"/>
    </row>
    <row r="5216" ht="15.75" customHeight="1">
      <c r="DG5216" s="52"/>
      <c r="DH5216" s="52"/>
    </row>
    <row r="5217" ht="15.75" customHeight="1">
      <c r="DG5217" s="52"/>
      <c r="DH5217" s="52"/>
    </row>
    <row r="5218" ht="15.75" customHeight="1">
      <c r="DG5218" s="52"/>
      <c r="DH5218" s="52"/>
    </row>
    <row r="5219" ht="15.75" customHeight="1">
      <c r="DG5219" s="52"/>
      <c r="DH5219" s="52"/>
    </row>
    <row r="5220" ht="15.75" customHeight="1">
      <c r="DG5220" s="52"/>
      <c r="DH5220" s="52"/>
    </row>
    <row r="5221" ht="15.75" customHeight="1">
      <c r="DG5221" s="52"/>
      <c r="DH5221" s="52"/>
    </row>
    <row r="5222" ht="15.75" customHeight="1">
      <c r="DG5222" s="52"/>
      <c r="DH5222" s="52"/>
    </row>
    <row r="5223" ht="15.75" customHeight="1">
      <c r="DG5223" s="52"/>
      <c r="DH5223" s="52"/>
    </row>
    <row r="5224" ht="15.75" customHeight="1">
      <c r="DG5224" s="52"/>
      <c r="DH5224" s="52"/>
    </row>
    <row r="5225" ht="15.75" customHeight="1">
      <c r="DG5225" s="52"/>
      <c r="DH5225" s="52"/>
    </row>
    <row r="5226" ht="15.75" customHeight="1">
      <c r="DG5226" s="52"/>
      <c r="DH5226" s="52"/>
    </row>
    <row r="5227" ht="15.75" customHeight="1">
      <c r="DG5227" s="52"/>
      <c r="DH5227" s="52"/>
    </row>
    <row r="5228" ht="15.75" customHeight="1">
      <c r="DG5228" s="52"/>
      <c r="DH5228" s="52"/>
    </row>
    <row r="5229" ht="15.75" customHeight="1">
      <c r="DG5229" s="52"/>
      <c r="DH5229" s="52"/>
    </row>
    <row r="5230" ht="15.75" customHeight="1">
      <c r="DG5230" s="52"/>
      <c r="DH5230" s="52"/>
    </row>
    <row r="5231" ht="15.75" customHeight="1">
      <c r="DG5231" s="52"/>
      <c r="DH5231" s="52"/>
    </row>
    <row r="5232" ht="15.75" customHeight="1">
      <c r="DG5232" s="52"/>
      <c r="DH5232" s="52"/>
    </row>
    <row r="5233" ht="15.75" customHeight="1">
      <c r="DG5233" s="52"/>
      <c r="DH5233" s="52"/>
    </row>
    <row r="5234" ht="15.75" customHeight="1">
      <c r="DG5234" s="52"/>
      <c r="DH5234" s="52"/>
    </row>
    <row r="5235" ht="15.75" customHeight="1">
      <c r="DG5235" s="52"/>
      <c r="DH5235" s="52"/>
    </row>
    <row r="5236" ht="15.75" customHeight="1">
      <c r="DG5236" s="52"/>
      <c r="DH5236" s="52"/>
    </row>
    <row r="5237" ht="15.75" customHeight="1">
      <c r="DG5237" s="52"/>
      <c r="DH5237" s="52"/>
    </row>
    <row r="5238" ht="15.75" customHeight="1">
      <c r="DG5238" s="52"/>
      <c r="DH5238" s="52"/>
    </row>
    <row r="5239" ht="15.75" customHeight="1">
      <c r="DG5239" s="52"/>
      <c r="DH5239" s="52"/>
    </row>
    <row r="5240" ht="15.75" customHeight="1">
      <c r="DG5240" s="52"/>
      <c r="DH5240" s="52"/>
    </row>
    <row r="5241" ht="15.75" customHeight="1">
      <c r="DG5241" s="52"/>
      <c r="DH5241" s="52"/>
    </row>
    <row r="5242" ht="15.75" customHeight="1">
      <c r="DG5242" s="52"/>
      <c r="DH5242" s="52"/>
    </row>
    <row r="5243" ht="15.75" customHeight="1">
      <c r="DG5243" s="52"/>
      <c r="DH5243" s="52"/>
    </row>
    <row r="5244" ht="15.75" customHeight="1">
      <c r="DG5244" s="52"/>
      <c r="DH5244" s="52"/>
    </row>
    <row r="5245" ht="15.75" customHeight="1">
      <c r="DG5245" s="52"/>
      <c r="DH5245" s="52"/>
    </row>
    <row r="5246" ht="15.75" customHeight="1">
      <c r="DG5246" s="52"/>
      <c r="DH5246" s="52"/>
    </row>
    <row r="5247" ht="15.75" customHeight="1">
      <c r="DG5247" s="52"/>
      <c r="DH5247" s="52"/>
    </row>
    <row r="5248" ht="15.75" customHeight="1">
      <c r="DG5248" s="52"/>
      <c r="DH5248" s="52"/>
    </row>
    <row r="5249" ht="15.75" customHeight="1">
      <c r="DG5249" s="52"/>
      <c r="DH5249" s="52"/>
    </row>
    <row r="5250" ht="15.75" customHeight="1">
      <c r="DG5250" s="52"/>
      <c r="DH5250" s="52"/>
    </row>
    <row r="5251" ht="15.75" customHeight="1">
      <c r="DG5251" s="52"/>
      <c r="DH5251" s="52"/>
    </row>
    <row r="5252" ht="15.75" customHeight="1">
      <c r="DG5252" s="52"/>
      <c r="DH5252" s="52"/>
    </row>
    <row r="5253" ht="15.75" customHeight="1">
      <c r="DG5253" s="52"/>
      <c r="DH5253" s="52"/>
    </row>
    <row r="5254" ht="15.75" customHeight="1">
      <c r="DG5254" s="52"/>
      <c r="DH5254" s="52"/>
    </row>
    <row r="5255" ht="15.75" customHeight="1">
      <c r="DG5255" s="52"/>
      <c r="DH5255" s="52"/>
    </row>
    <row r="5256" ht="15.75" customHeight="1">
      <c r="DG5256" s="52"/>
      <c r="DH5256" s="52"/>
    </row>
    <row r="5257" ht="15.75" customHeight="1">
      <c r="DG5257" s="52"/>
      <c r="DH5257" s="52"/>
    </row>
    <row r="5258" ht="15.75" customHeight="1">
      <c r="DG5258" s="52"/>
      <c r="DH5258" s="52"/>
    </row>
    <row r="5259" ht="15.75" customHeight="1">
      <c r="DG5259" s="52"/>
      <c r="DH5259" s="52"/>
    </row>
    <row r="5260" ht="15.75" customHeight="1">
      <c r="DG5260" s="52"/>
      <c r="DH5260" s="52"/>
    </row>
    <row r="5261" ht="15.75" customHeight="1">
      <c r="DG5261" s="52"/>
      <c r="DH5261" s="52"/>
    </row>
    <row r="5262" ht="15.75" customHeight="1">
      <c r="DG5262" s="52"/>
      <c r="DH5262" s="52"/>
    </row>
    <row r="5263" ht="15.75" customHeight="1">
      <c r="DG5263" s="52"/>
      <c r="DH5263" s="52"/>
    </row>
    <row r="5264" ht="15.75" customHeight="1">
      <c r="DG5264" s="52"/>
      <c r="DH5264" s="52"/>
    </row>
    <row r="5265" ht="15.75" customHeight="1">
      <c r="DG5265" s="52"/>
      <c r="DH5265" s="52"/>
    </row>
    <row r="5266" ht="15.75" customHeight="1">
      <c r="DG5266" s="52"/>
      <c r="DH5266" s="52"/>
    </row>
    <row r="5267" ht="15.75" customHeight="1">
      <c r="DG5267" s="52"/>
      <c r="DH5267" s="52"/>
    </row>
    <row r="5268" ht="15.75" customHeight="1">
      <c r="DG5268" s="52"/>
      <c r="DH5268" s="52"/>
    </row>
    <row r="5269" ht="15.75" customHeight="1">
      <c r="DG5269" s="52"/>
      <c r="DH5269" s="52"/>
    </row>
    <row r="5270" ht="15.75" customHeight="1">
      <c r="DG5270" s="52"/>
      <c r="DH5270" s="52"/>
    </row>
    <row r="5271" ht="15.75" customHeight="1">
      <c r="DG5271" s="52"/>
      <c r="DH5271" s="52"/>
    </row>
    <row r="5272" ht="15.75" customHeight="1">
      <c r="DG5272" s="52"/>
      <c r="DH5272" s="52"/>
    </row>
    <row r="5273" ht="15.75" customHeight="1">
      <c r="DG5273" s="52"/>
      <c r="DH5273" s="52"/>
    </row>
    <row r="5274" ht="15.75" customHeight="1">
      <c r="DG5274" s="52"/>
      <c r="DH5274" s="52"/>
    </row>
    <row r="5275" ht="15.75" customHeight="1">
      <c r="DG5275" s="52"/>
      <c r="DH5275" s="52"/>
    </row>
    <row r="5276" ht="15.75" customHeight="1">
      <c r="DG5276" s="52"/>
      <c r="DH5276" s="52"/>
    </row>
    <row r="5277" ht="15.75" customHeight="1">
      <c r="DG5277" s="52"/>
      <c r="DH5277" s="52"/>
    </row>
    <row r="5278" ht="15.75" customHeight="1">
      <c r="DG5278" s="52"/>
      <c r="DH5278" s="52"/>
    </row>
    <row r="5279" ht="15.75" customHeight="1">
      <c r="DG5279" s="52"/>
      <c r="DH5279" s="52"/>
    </row>
    <row r="5280" ht="15.75" customHeight="1">
      <c r="DG5280" s="52"/>
      <c r="DH5280" s="52"/>
    </row>
    <row r="5281" ht="15.75" customHeight="1">
      <c r="DG5281" s="52"/>
      <c r="DH5281" s="52"/>
    </row>
    <row r="5282" ht="15.75" customHeight="1">
      <c r="DG5282" s="52"/>
      <c r="DH5282" s="52"/>
    </row>
    <row r="5283" ht="15.75" customHeight="1">
      <c r="DG5283" s="52"/>
      <c r="DH5283" s="52"/>
    </row>
    <row r="5284" ht="15.75" customHeight="1">
      <c r="DG5284" s="52"/>
      <c r="DH5284" s="52"/>
    </row>
    <row r="5285" ht="15.75" customHeight="1">
      <c r="DG5285" s="52"/>
      <c r="DH5285" s="52"/>
    </row>
    <row r="5286" ht="15.75" customHeight="1">
      <c r="DG5286" s="52"/>
      <c r="DH5286" s="52"/>
    </row>
    <row r="5287" ht="15.75" customHeight="1">
      <c r="DG5287" s="52"/>
      <c r="DH5287" s="52"/>
    </row>
    <row r="5288" ht="15.75" customHeight="1">
      <c r="DG5288" s="52"/>
      <c r="DH5288" s="52"/>
    </row>
    <row r="5289" ht="15.75" customHeight="1">
      <c r="DG5289" s="52"/>
      <c r="DH5289" s="52"/>
    </row>
    <row r="5290" ht="15.75" customHeight="1">
      <c r="DG5290" s="52"/>
      <c r="DH5290" s="52"/>
    </row>
    <row r="5291" ht="15.75" customHeight="1">
      <c r="DG5291" s="52"/>
      <c r="DH5291" s="52"/>
    </row>
    <row r="5292" ht="15.75" customHeight="1">
      <c r="DG5292" s="52"/>
      <c r="DH5292" s="52"/>
    </row>
    <row r="5293" ht="15.75" customHeight="1">
      <c r="DG5293" s="52"/>
      <c r="DH5293" s="52"/>
    </row>
    <row r="5294" ht="15.75" customHeight="1">
      <c r="DG5294" s="52"/>
      <c r="DH5294" s="52"/>
    </row>
    <row r="5295" ht="15.75" customHeight="1">
      <c r="DG5295" s="52"/>
      <c r="DH5295" s="52"/>
    </row>
    <row r="5296" ht="15.75" customHeight="1">
      <c r="DG5296" s="52"/>
      <c r="DH5296" s="52"/>
    </row>
    <row r="5297" ht="15.75" customHeight="1">
      <c r="DG5297" s="52"/>
      <c r="DH5297" s="52"/>
    </row>
    <row r="5298" ht="15.75" customHeight="1">
      <c r="DG5298" s="52"/>
      <c r="DH5298" s="52"/>
    </row>
    <row r="5299" ht="15.75" customHeight="1">
      <c r="DG5299" s="52"/>
      <c r="DH5299" s="52"/>
    </row>
    <row r="5300" ht="15.75" customHeight="1">
      <c r="DG5300" s="52"/>
      <c r="DH5300" s="52"/>
    </row>
    <row r="5301" ht="15.75" customHeight="1">
      <c r="DG5301" s="52"/>
      <c r="DH5301" s="52"/>
    </row>
    <row r="5302" ht="15.75" customHeight="1">
      <c r="DG5302" s="52"/>
      <c r="DH5302" s="52"/>
    </row>
    <row r="5303" ht="15.75" customHeight="1">
      <c r="DG5303" s="52"/>
      <c r="DH5303" s="52"/>
    </row>
    <row r="5304" ht="15.75" customHeight="1">
      <c r="DG5304" s="52"/>
      <c r="DH5304" s="52"/>
    </row>
    <row r="5305" ht="15.75" customHeight="1">
      <c r="DG5305" s="52"/>
      <c r="DH5305" s="52"/>
    </row>
    <row r="5306" ht="15.75" customHeight="1">
      <c r="DG5306" s="52"/>
      <c r="DH5306" s="52"/>
    </row>
    <row r="5307" ht="15.75" customHeight="1">
      <c r="DG5307" s="52"/>
      <c r="DH5307" s="52"/>
    </row>
    <row r="5308" ht="15.75" customHeight="1">
      <c r="DG5308" s="52"/>
      <c r="DH5308" s="52"/>
    </row>
    <row r="5309" ht="15.75" customHeight="1">
      <c r="DG5309" s="52"/>
      <c r="DH5309" s="52"/>
    </row>
    <row r="5310" ht="15.75" customHeight="1">
      <c r="DG5310" s="52"/>
      <c r="DH5310" s="52"/>
    </row>
    <row r="5311" ht="15.75" customHeight="1">
      <c r="DG5311" s="52"/>
      <c r="DH5311" s="52"/>
    </row>
    <row r="5312" ht="15.75" customHeight="1">
      <c r="DG5312" s="52"/>
      <c r="DH5312" s="52"/>
    </row>
    <row r="5313" ht="15.75" customHeight="1">
      <c r="DG5313" s="52"/>
      <c r="DH5313" s="52"/>
    </row>
    <row r="5314" ht="15.75" customHeight="1">
      <c r="DG5314" s="52"/>
      <c r="DH5314" s="52"/>
    </row>
    <row r="5315" ht="15.75" customHeight="1">
      <c r="DG5315" s="52"/>
      <c r="DH5315" s="52"/>
    </row>
    <row r="5316" ht="15.75" customHeight="1">
      <c r="DG5316" s="52"/>
      <c r="DH5316" s="52"/>
    </row>
    <row r="5317" ht="15.75" customHeight="1">
      <c r="DG5317" s="52"/>
      <c r="DH5317" s="52"/>
    </row>
    <row r="5318" ht="15.75" customHeight="1">
      <c r="DG5318" s="52"/>
      <c r="DH5318" s="52"/>
    </row>
    <row r="5319" ht="15.75" customHeight="1">
      <c r="DG5319" s="52"/>
      <c r="DH5319" s="52"/>
    </row>
    <row r="5320" ht="15.75" customHeight="1">
      <c r="DG5320" s="52"/>
      <c r="DH5320" s="52"/>
    </row>
    <row r="5321" ht="15.75" customHeight="1">
      <c r="DG5321" s="52"/>
      <c r="DH5321" s="52"/>
    </row>
    <row r="5322" ht="15.75" customHeight="1">
      <c r="DG5322" s="52"/>
      <c r="DH5322" s="52"/>
    </row>
    <row r="5323" ht="15.75" customHeight="1">
      <c r="DG5323" s="52"/>
      <c r="DH5323" s="52"/>
    </row>
    <row r="5324" ht="15.75" customHeight="1">
      <c r="DG5324" s="52"/>
      <c r="DH5324" s="52"/>
    </row>
    <row r="5325" ht="15.75" customHeight="1">
      <c r="DG5325" s="52"/>
      <c r="DH5325" s="52"/>
    </row>
    <row r="5326" ht="15.75" customHeight="1">
      <c r="DG5326" s="52"/>
      <c r="DH5326" s="52"/>
    </row>
    <row r="5327" ht="15.75" customHeight="1">
      <c r="DG5327" s="52"/>
      <c r="DH5327" s="52"/>
    </row>
    <row r="5328" ht="15.75" customHeight="1">
      <c r="DG5328" s="52"/>
      <c r="DH5328" s="52"/>
    </row>
    <row r="5329" ht="15.75" customHeight="1">
      <c r="DG5329" s="52"/>
      <c r="DH5329" s="52"/>
    </row>
    <row r="5330" ht="15.75" customHeight="1">
      <c r="DG5330" s="52"/>
      <c r="DH5330" s="52"/>
    </row>
    <row r="5331" ht="15.75" customHeight="1">
      <c r="DG5331" s="52"/>
      <c r="DH5331" s="52"/>
    </row>
    <row r="5332" ht="15.75" customHeight="1">
      <c r="DG5332" s="52"/>
      <c r="DH5332" s="52"/>
    </row>
    <row r="5333" ht="15.75" customHeight="1">
      <c r="DG5333" s="52"/>
      <c r="DH5333" s="52"/>
    </row>
    <row r="5334" ht="15.75" customHeight="1">
      <c r="DG5334" s="52"/>
      <c r="DH5334" s="52"/>
    </row>
    <row r="5335" ht="15.75" customHeight="1">
      <c r="DG5335" s="52"/>
      <c r="DH5335" s="52"/>
    </row>
    <row r="5336" ht="15.75" customHeight="1">
      <c r="DG5336" s="52"/>
      <c r="DH5336" s="52"/>
    </row>
    <row r="5337" ht="15.75" customHeight="1">
      <c r="DG5337" s="52"/>
      <c r="DH5337" s="52"/>
    </row>
    <row r="5338" ht="15.75" customHeight="1">
      <c r="DG5338" s="52"/>
      <c r="DH5338" s="52"/>
    </row>
    <row r="5339" ht="15.75" customHeight="1">
      <c r="DG5339" s="52"/>
      <c r="DH5339" s="52"/>
    </row>
    <row r="5340" ht="15.75" customHeight="1">
      <c r="DG5340" s="52"/>
      <c r="DH5340" s="52"/>
    </row>
    <row r="5341" ht="15.75" customHeight="1">
      <c r="DG5341" s="52"/>
      <c r="DH5341" s="52"/>
    </row>
    <row r="5342" ht="15.75" customHeight="1">
      <c r="DG5342" s="52"/>
      <c r="DH5342" s="52"/>
    </row>
    <row r="5343" ht="15.75" customHeight="1">
      <c r="DG5343" s="52"/>
      <c r="DH5343" s="52"/>
    </row>
    <row r="5344" ht="15.75" customHeight="1">
      <c r="DG5344" s="52"/>
      <c r="DH5344" s="52"/>
    </row>
    <row r="5345" ht="15.75" customHeight="1">
      <c r="DG5345" s="52"/>
      <c r="DH5345" s="52"/>
    </row>
    <row r="5346" ht="15.75" customHeight="1">
      <c r="DG5346" s="52"/>
      <c r="DH5346" s="52"/>
    </row>
    <row r="5347" ht="15.75" customHeight="1">
      <c r="DG5347" s="52"/>
      <c r="DH5347" s="52"/>
    </row>
    <row r="5348" ht="15.75" customHeight="1">
      <c r="DG5348" s="52"/>
      <c r="DH5348" s="52"/>
    </row>
    <row r="5349" ht="15.75" customHeight="1">
      <c r="DG5349" s="52"/>
      <c r="DH5349" s="52"/>
    </row>
    <row r="5350" ht="15.75" customHeight="1">
      <c r="DG5350" s="52"/>
      <c r="DH5350" s="52"/>
    </row>
    <row r="5351" ht="15.75" customHeight="1">
      <c r="DG5351" s="52"/>
      <c r="DH5351" s="52"/>
    </row>
    <row r="5352" ht="15.75" customHeight="1">
      <c r="DG5352" s="52"/>
      <c r="DH5352" s="52"/>
    </row>
    <row r="5353" ht="15.75" customHeight="1">
      <c r="DG5353" s="52"/>
      <c r="DH5353" s="52"/>
    </row>
    <row r="5354" ht="15.75" customHeight="1">
      <c r="DG5354" s="52"/>
      <c r="DH5354" s="52"/>
    </row>
    <row r="5355" ht="15.75" customHeight="1">
      <c r="DG5355" s="52"/>
      <c r="DH5355" s="52"/>
    </row>
    <row r="5356" ht="15.75" customHeight="1">
      <c r="DG5356" s="52"/>
      <c r="DH5356" s="52"/>
    </row>
    <row r="5357" ht="15.75" customHeight="1">
      <c r="DG5357" s="52"/>
      <c r="DH5357" s="52"/>
    </row>
    <row r="5358" ht="15.75" customHeight="1">
      <c r="DG5358" s="52"/>
      <c r="DH5358" s="52"/>
    </row>
    <row r="5359" ht="15.75" customHeight="1">
      <c r="DG5359" s="52"/>
      <c r="DH5359" s="52"/>
    </row>
    <row r="5360" ht="15.75" customHeight="1">
      <c r="DG5360" s="52"/>
      <c r="DH5360" s="52"/>
    </row>
    <row r="5361" ht="15.75" customHeight="1">
      <c r="DG5361" s="52"/>
      <c r="DH5361" s="52"/>
    </row>
    <row r="5362" ht="15.75" customHeight="1">
      <c r="DG5362" s="52"/>
      <c r="DH5362" s="52"/>
    </row>
    <row r="5363" ht="15.75" customHeight="1">
      <c r="DG5363" s="52"/>
      <c r="DH5363" s="52"/>
    </row>
    <row r="5364" ht="15.75" customHeight="1">
      <c r="DG5364" s="52"/>
      <c r="DH5364" s="52"/>
    </row>
    <row r="5365" ht="15.75" customHeight="1">
      <c r="DG5365" s="52"/>
      <c r="DH5365" s="52"/>
    </row>
    <row r="5366" ht="15.75" customHeight="1">
      <c r="DG5366" s="52"/>
      <c r="DH5366" s="52"/>
    </row>
    <row r="5367" ht="15.75" customHeight="1">
      <c r="DG5367" s="52"/>
      <c r="DH5367" s="52"/>
    </row>
    <row r="5368" ht="15.75" customHeight="1">
      <c r="DG5368" s="52"/>
      <c r="DH5368" s="52"/>
    </row>
    <row r="5369" ht="15.75" customHeight="1">
      <c r="DG5369" s="52"/>
      <c r="DH5369" s="52"/>
    </row>
    <row r="5370" ht="15.75" customHeight="1">
      <c r="DG5370" s="52"/>
      <c r="DH5370" s="52"/>
    </row>
    <row r="5371" ht="15.75" customHeight="1">
      <c r="DG5371" s="52"/>
      <c r="DH5371" s="52"/>
    </row>
    <row r="5372" ht="15.75" customHeight="1">
      <c r="DG5372" s="52"/>
      <c r="DH5372" s="52"/>
    </row>
    <row r="5373" ht="15.75" customHeight="1">
      <c r="DG5373" s="52"/>
      <c r="DH5373" s="52"/>
    </row>
    <row r="5374" ht="15.75" customHeight="1">
      <c r="DG5374" s="52"/>
      <c r="DH5374" s="52"/>
    </row>
    <row r="5375" ht="15.75" customHeight="1">
      <c r="DG5375" s="52"/>
      <c r="DH5375" s="52"/>
    </row>
    <row r="5376" ht="15.75" customHeight="1">
      <c r="DG5376" s="52"/>
      <c r="DH5376" s="52"/>
    </row>
    <row r="5377" ht="15.75" customHeight="1">
      <c r="DG5377" s="52"/>
      <c r="DH5377" s="52"/>
    </row>
    <row r="5378" ht="15.75" customHeight="1">
      <c r="DG5378" s="52"/>
      <c r="DH5378" s="52"/>
    </row>
    <row r="5379" ht="15.75" customHeight="1">
      <c r="DG5379" s="52"/>
      <c r="DH5379" s="52"/>
    </row>
    <row r="5380" ht="15.75" customHeight="1">
      <c r="DG5380" s="52"/>
      <c r="DH5380" s="52"/>
    </row>
    <row r="5381" ht="15.75" customHeight="1">
      <c r="DG5381" s="52"/>
      <c r="DH5381" s="52"/>
    </row>
    <row r="5382" ht="15.75" customHeight="1">
      <c r="DG5382" s="52"/>
      <c r="DH5382" s="52"/>
    </row>
    <row r="5383" ht="15.75" customHeight="1">
      <c r="DG5383" s="52"/>
      <c r="DH5383" s="52"/>
    </row>
    <row r="5384" ht="15.75" customHeight="1">
      <c r="DG5384" s="52"/>
      <c r="DH5384" s="52"/>
    </row>
    <row r="5385" ht="15.75" customHeight="1">
      <c r="DG5385" s="52"/>
      <c r="DH5385" s="52"/>
    </row>
    <row r="5386" ht="15.75" customHeight="1">
      <c r="DG5386" s="52"/>
      <c r="DH5386" s="52"/>
    </row>
    <row r="5387" ht="15.75" customHeight="1">
      <c r="DG5387" s="52"/>
      <c r="DH5387" s="52"/>
    </row>
    <row r="5388" ht="15.75" customHeight="1">
      <c r="DG5388" s="52"/>
      <c r="DH5388" s="52"/>
    </row>
    <row r="5389" ht="15.75" customHeight="1">
      <c r="DG5389" s="52"/>
      <c r="DH5389" s="52"/>
    </row>
    <row r="5390" ht="15.75" customHeight="1">
      <c r="DG5390" s="52"/>
      <c r="DH5390" s="52"/>
    </row>
    <row r="5391" ht="15.75" customHeight="1">
      <c r="DG5391" s="52"/>
      <c r="DH5391" s="52"/>
    </row>
    <row r="5392" ht="15.75" customHeight="1">
      <c r="DG5392" s="52"/>
      <c r="DH5392" s="52"/>
    </row>
    <row r="5393" ht="15.75" customHeight="1">
      <c r="DG5393" s="52"/>
      <c r="DH5393" s="52"/>
    </row>
    <row r="5394" ht="15.75" customHeight="1">
      <c r="DG5394" s="52"/>
      <c r="DH5394" s="52"/>
    </row>
    <row r="5395" ht="15.75" customHeight="1">
      <c r="DG5395" s="52"/>
      <c r="DH5395" s="52"/>
    </row>
    <row r="5396" ht="15.75" customHeight="1">
      <c r="DG5396" s="52"/>
      <c r="DH5396" s="52"/>
    </row>
    <row r="5397" ht="15.75" customHeight="1">
      <c r="DG5397" s="52"/>
      <c r="DH5397" s="52"/>
    </row>
    <row r="5398" ht="15.75" customHeight="1">
      <c r="DG5398" s="52"/>
      <c r="DH5398" s="52"/>
    </row>
    <row r="5399" ht="15.75" customHeight="1">
      <c r="DG5399" s="52"/>
      <c r="DH5399" s="52"/>
    </row>
    <row r="5400" ht="15.75" customHeight="1">
      <c r="DG5400" s="52"/>
      <c r="DH5400" s="52"/>
    </row>
    <row r="5401" ht="15.75" customHeight="1">
      <c r="DG5401" s="52"/>
      <c r="DH5401" s="52"/>
    </row>
    <row r="5402" ht="15.75" customHeight="1">
      <c r="DG5402" s="52"/>
      <c r="DH5402" s="52"/>
    </row>
    <row r="5403" ht="15.75" customHeight="1">
      <c r="DG5403" s="52"/>
      <c r="DH5403" s="52"/>
    </row>
    <row r="5404" ht="15.75" customHeight="1">
      <c r="DG5404" s="52"/>
      <c r="DH5404" s="52"/>
    </row>
    <row r="5405" ht="15.75" customHeight="1">
      <c r="DG5405" s="52"/>
      <c r="DH5405" s="52"/>
    </row>
    <row r="5406" ht="15.75" customHeight="1">
      <c r="DG5406" s="52"/>
      <c r="DH5406" s="52"/>
    </row>
    <row r="5407" ht="15.75" customHeight="1">
      <c r="DG5407" s="52"/>
      <c r="DH5407" s="52"/>
    </row>
    <row r="5408" ht="15.75" customHeight="1">
      <c r="DG5408" s="52"/>
      <c r="DH5408" s="52"/>
    </row>
    <row r="5409" ht="15.75" customHeight="1">
      <c r="DG5409" s="52"/>
      <c r="DH5409" s="52"/>
    </row>
    <row r="5410" ht="15.75" customHeight="1">
      <c r="DG5410" s="52"/>
      <c r="DH5410" s="52"/>
    </row>
    <row r="5411" ht="15.75" customHeight="1">
      <c r="DG5411" s="52"/>
      <c r="DH5411" s="52"/>
    </row>
    <row r="5412" ht="15.75" customHeight="1">
      <c r="DG5412" s="52"/>
      <c r="DH5412" s="52"/>
    </row>
    <row r="5413" ht="15.75" customHeight="1">
      <c r="DG5413" s="52"/>
      <c r="DH5413" s="52"/>
    </row>
    <row r="5414" ht="15.75" customHeight="1">
      <c r="DG5414" s="52"/>
      <c r="DH5414" s="52"/>
    </row>
    <row r="5415" ht="15.75" customHeight="1">
      <c r="DG5415" s="52"/>
      <c r="DH5415" s="52"/>
    </row>
    <row r="5416" ht="15.75" customHeight="1">
      <c r="DG5416" s="52"/>
      <c r="DH5416" s="52"/>
    </row>
    <row r="5417" ht="15.75" customHeight="1">
      <c r="DG5417" s="52"/>
      <c r="DH5417" s="52"/>
    </row>
    <row r="5418" ht="15.75" customHeight="1">
      <c r="DG5418" s="52"/>
      <c r="DH5418" s="52"/>
    </row>
    <row r="5419" ht="15.75" customHeight="1">
      <c r="DG5419" s="52"/>
      <c r="DH5419" s="52"/>
    </row>
    <row r="5420" ht="15.75" customHeight="1">
      <c r="DG5420" s="52"/>
      <c r="DH5420" s="52"/>
    </row>
    <row r="5421" ht="15.75" customHeight="1">
      <c r="DG5421" s="52"/>
      <c r="DH5421" s="52"/>
    </row>
    <row r="5422" ht="15.75" customHeight="1">
      <c r="DG5422" s="52"/>
      <c r="DH5422" s="52"/>
    </row>
    <row r="5423" ht="15.75" customHeight="1">
      <c r="DG5423" s="52"/>
      <c r="DH5423" s="52"/>
    </row>
    <row r="5424" ht="15.75" customHeight="1">
      <c r="DG5424" s="52"/>
      <c r="DH5424" s="52"/>
    </row>
    <row r="5425" ht="15.75" customHeight="1">
      <c r="DG5425" s="52"/>
      <c r="DH5425" s="52"/>
    </row>
    <row r="5426" ht="15.75" customHeight="1">
      <c r="DG5426" s="52"/>
      <c r="DH5426" s="52"/>
    </row>
    <row r="5427" ht="15.75" customHeight="1">
      <c r="DG5427" s="52"/>
      <c r="DH5427" s="52"/>
    </row>
    <row r="5428" ht="15.75" customHeight="1">
      <c r="DG5428" s="52"/>
      <c r="DH5428" s="52"/>
    </row>
    <row r="5429" ht="15.75" customHeight="1">
      <c r="DG5429" s="52"/>
      <c r="DH5429" s="52"/>
    </row>
    <row r="5430" ht="15.75" customHeight="1">
      <c r="DG5430" s="52"/>
      <c r="DH5430" s="52"/>
    </row>
    <row r="5431" ht="15.75" customHeight="1">
      <c r="DG5431" s="52"/>
      <c r="DH5431" s="52"/>
    </row>
    <row r="5432" ht="15.75" customHeight="1">
      <c r="DG5432" s="52"/>
      <c r="DH5432" s="52"/>
    </row>
    <row r="5433" ht="15.75" customHeight="1">
      <c r="DG5433" s="52"/>
      <c r="DH5433" s="52"/>
    </row>
    <row r="5434" ht="15.75" customHeight="1">
      <c r="DG5434" s="52"/>
      <c r="DH5434" s="52"/>
    </row>
    <row r="5435" ht="15.75" customHeight="1">
      <c r="DG5435" s="52"/>
      <c r="DH5435" s="52"/>
    </row>
    <row r="5436" ht="15.75" customHeight="1">
      <c r="DG5436" s="52"/>
      <c r="DH5436" s="52"/>
    </row>
    <row r="5437" ht="15.75" customHeight="1">
      <c r="DG5437" s="52"/>
      <c r="DH5437" s="52"/>
    </row>
    <row r="5438" ht="15.75" customHeight="1">
      <c r="DG5438" s="52"/>
      <c r="DH5438" s="52"/>
    </row>
    <row r="5439" ht="15.75" customHeight="1">
      <c r="DG5439" s="52"/>
      <c r="DH5439" s="52"/>
    </row>
    <row r="5440" ht="15.75" customHeight="1">
      <c r="DG5440" s="52"/>
      <c r="DH5440" s="52"/>
    </row>
    <row r="5441" ht="15.75" customHeight="1">
      <c r="DG5441" s="52"/>
      <c r="DH5441" s="52"/>
    </row>
    <row r="5442" ht="15.75" customHeight="1">
      <c r="DG5442" s="52"/>
      <c r="DH5442" s="52"/>
    </row>
    <row r="5443" ht="15.75" customHeight="1">
      <c r="DG5443" s="52"/>
      <c r="DH5443" s="52"/>
    </row>
    <row r="5444" ht="15.75" customHeight="1">
      <c r="DG5444" s="52"/>
      <c r="DH5444" s="52"/>
    </row>
    <row r="5445" ht="15.75" customHeight="1">
      <c r="DG5445" s="52"/>
      <c r="DH5445" s="52"/>
    </row>
    <row r="5446" ht="15.75" customHeight="1">
      <c r="DG5446" s="52"/>
      <c r="DH5446" s="52"/>
    </row>
    <row r="5447" ht="15.75" customHeight="1">
      <c r="DG5447" s="52"/>
      <c r="DH5447" s="52"/>
    </row>
    <row r="5448" ht="15.75" customHeight="1">
      <c r="DG5448" s="52"/>
      <c r="DH5448" s="52"/>
    </row>
    <row r="5449" ht="15.75" customHeight="1">
      <c r="DG5449" s="52"/>
      <c r="DH5449" s="52"/>
    </row>
    <row r="5450" ht="15.75" customHeight="1">
      <c r="DG5450" s="52"/>
      <c r="DH5450" s="52"/>
    </row>
    <row r="5451" ht="15.75" customHeight="1">
      <c r="DG5451" s="52"/>
      <c r="DH5451" s="52"/>
    </row>
    <row r="5452" ht="15.75" customHeight="1">
      <c r="DG5452" s="52"/>
      <c r="DH5452" s="52"/>
    </row>
    <row r="5453" ht="15.75" customHeight="1">
      <c r="DG5453" s="52"/>
      <c r="DH5453" s="52"/>
    </row>
    <row r="5454" ht="15.75" customHeight="1">
      <c r="DG5454" s="52"/>
      <c r="DH5454" s="52"/>
    </row>
    <row r="5455" ht="15.75" customHeight="1">
      <c r="DG5455" s="52"/>
      <c r="DH5455" s="52"/>
    </row>
    <row r="5456" ht="15.75" customHeight="1">
      <c r="DG5456" s="52"/>
      <c r="DH5456" s="52"/>
    </row>
    <row r="5457" ht="15.75" customHeight="1">
      <c r="DG5457" s="52"/>
      <c r="DH5457" s="52"/>
    </row>
    <row r="5458" ht="15.75" customHeight="1">
      <c r="DG5458" s="52"/>
      <c r="DH5458" s="52"/>
    </row>
    <row r="5459" ht="15.75" customHeight="1">
      <c r="DG5459" s="52"/>
      <c r="DH5459" s="52"/>
    </row>
    <row r="5460" ht="15.75" customHeight="1">
      <c r="DG5460" s="52"/>
      <c r="DH5460" s="52"/>
    </row>
    <row r="5461" ht="15.75" customHeight="1">
      <c r="DG5461" s="52"/>
      <c r="DH5461" s="52"/>
    </row>
    <row r="5462" ht="15.75" customHeight="1">
      <c r="DG5462" s="52"/>
      <c r="DH5462" s="52"/>
    </row>
    <row r="5463" ht="15.75" customHeight="1">
      <c r="DG5463" s="52"/>
      <c r="DH5463" s="52"/>
    </row>
    <row r="5464" ht="15.75" customHeight="1">
      <c r="DG5464" s="52"/>
      <c r="DH5464" s="52"/>
    </row>
    <row r="5465" ht="15.75" customHeight="1">
      <c r="DG5465" s="52"/>
      <c r="DH5465" s="52"/>
    </row>
    <row r="5466" ht="15.75" customHeight="1">
      <c r="DG5466" s="52"/>
      <c r="DH5466" s="52"/>
    </row>
    <row r="5467" ht="15.75" customHeight="1">
      <c r="DG5467" s="52"/>
      <c r="DH5467" s="52"/>
    </row>
    <row r="5468" ht="15.75" customHeight="1">
      <c r="DG5468" s="52"/>
      <c r="DH5468" s="52"/>
    </row>
    <row r="5469" ht="15.75" customHeight="1">
      <c r="DG5469" s="52"/>
      <c r="DH5469" s="52"/>
    </row>
    <row r="5470" ht="15.75" customHeight="1">
      <c r="DG5470" s="52"/>
      <c r="DH5470" s="52"/>
    </row>
    <row r="5471" ht="15.75" customHeight="1">
      <c r="DG5471" s="52"/>
      <c r="DH5471" s="52"/>
    </row>
    <row r="5472" ht="15.75" customHeight="1">
      <c r="DG5472" s="52"/>
      <c r="DH5472" s="52"/>
    </row>
    <row r="5473" ht="15.75" customHeight="1">
      <c r="DG5473" s="52"/>
      <c r="DH5473" s="52"/>
    </row>
    <row r="5474" ht="15.75" customHeight="1">
      <c r="DG5474" s="52"/>
      <c r="DH5474" s="52"/>
    </row>
    <row r="5475" ht="15.75" customHeight="1">
      <c r="DG5475" s="52"/>
      <c r="DH5475" s="52"/>
    </row>
    <row r="5476" ht="15.75" customHeight="1">
      <c r="DG5476" s="52"/>
      <c r="DH5476" s="52"/>
    </row>
    <row r="5477" ht="15.75" customHeight="1">
      <c r="DG5477" s="52"/>
      <c r="DH5477" s="52"/>
    </row>
    <row r="5478" ht="15.75" customHeight="1">
      <c r="DG5478" s="52"/>
      <c r="DH5478" s="52"/>
    </row>
    <row r="5479" ht="15.75" customHeight="1">
      <c r="DG5479" s="52"/>
      <c r="DH5479" s="52"/>
    </row>
    <row r="5480" ht="15.75" customHeight="1">
      <c r="DG5480" s="52"/>
      <c r="DH5480" s="52"/>
    </row>
    <row r="5481" ht="15.75" customHeight="1">
      <c r="DG5481" s="52"/>
      <c r="DH5481" s="52"/>
    </row>
    <row r="5482" ht="15.75" customHeight="1">
      <c r="DG5482" s="52"/>
      <c r="DH5482" s="52"/>
    </row>
    <row r="5483" ht="15.75" customHeight="1">
      <c r="DG5483" s="52"/>
      <c r="DH5483" s="52"/>
    </row>
    <row r="5484" ht="15.75" customHeight="1">
      <c r="DG5484" s="52"/>
      <c r="DH5484" s="52"/>
    </row>
    <row r="5485" ht="15.75" customHeight="1">
      <c r="DG5485" s="52"/>
      <c r="DH5485" s="52"/>
    </row>
    <row r="5486" ht="15.75" customHeight="1">
      <c r="DG5486" s="52"/>
      <c r="DH5486" s="52"/>
    </row>
    <row r="5487" ht="15.75" customHeight="1">
      <c r="DG5487" s="52"/>
      <c r="DH5487" s="52"/>
    </row>
    <row r="5488" ht="15.75" customHeight="1">
      <c r="DG5488" s="52"/>
      <c r="DH5488" s="52"/>
    </row>
    <row r="5489" ht="15.75" customHeight="1">
      <c r="DG5489" s="52"/>
      <c r="DH5489" s="52"/>
    </row>
    <row r="5490" ht="15.75" customHeight="1">
      <c r="DG5490" s="52"/>
      <c r="DH5490" s="52"/>
    </row>
    <row r="5491" ht="15.75" customHeight="1">
      <c r="DG5491" s="52"/>
      <c r="DH5491" s="52"/>
    </row>
    <row r="5492" ht="15.75" customHeight="1">
      <c r="DG5492" s="52"/>
      <c r="DH5492" s="52"/>
    </row>
    <row r="5493" ht="15.75" customHeight="1">
      <c r="DG5493" s="52"/>
      <c r="DH5493" s="52"/>
    </row>
    <row r="5494" ht="15.75" customHeight="1">
      <c r="DG5494" s="52"/>
      <c r="DH5494" s="52"/>
    </row>
    <row r="5495" ht="15.75" customHeight="1">
      <c r="DG5495" s="52"/>
      <c r="DH5495" s="52"/>
    </row>
    <row r="5496" ht="15.75" customHeight="1">
      <c r="DG5496" s="52"/>
      <c r="DH5496" s="52"/>
    </row>
    <row r="5497" ht="15.75" customHeight="1">
      <c r="DG5497" s="52"/>
      <c r="DH5497" s="52"/>
    </row>
    <row r="5498" ht="15.75" customHeight="1">
      <c r="DG5498" s="52"/>
      <c r="DH5498" s="52"/>
    </row>
    <row r="5499" ht="15.75" customHeight="1">
      <c r="DG5499" s="52"/>
      <c r="DH5499" s="52"/>
    </row>
    <row r="5500" ht="15.75" customHeight="1">
      <c r="DG5500" s="52"/>
      <c r="DH5500" s="52"/>
    </row>
    <row r="5501" ht="15.75" customHeight="1">
      <c r="DG5501" s="52"/>
      <c r="DH5501" s="52"/>
    </row>
    <row r="5502" ht="15.75" customHeight="1">
      <c r="DG5502" s="52"/>
      <c r="DH5502" s="52"/>
    </row>
    <row r="5503" ht="15.75" customHeight="1">
      <c r="DG5503" s="52"/>
      <c r="DH5503" s="52"/>
    </row>
    <row r="5504" ht="15.75" customHeight="1">
      <c r="DG5504" s="52"/>
      <c r="DH5504" s="52"/>
    </row>
    <row r="5505" ht="15.75" customHeight="1">
      <c r="DG5505" s="52"/>
      <c r="DH5505" s="52"/>
    </row>
    <row r="5506" ht="15.75" customHeight="1">
      <c r="DG5506" s="52"/>
      <c r="DH5506" s="52"/>
    </row>
    <row r="5507" ht="15.75" customHeight="1">
      <c r="DG5507" s="52"/>
      <c r="DH5507" s="52"/>
    </row>
    <row r="5508" ht="15.75" customHeight="1">
      <c r="DG5508" s="52"/>
      <c r="DH5508" s="52"/>
    </row>
    <row r="5509" ht="15.75" customHeight="1">
      <c r="DG5509" s="52"/>
      <c r="DH5509" s="52"/>
    </row>
    <row r="5510" ht="15.75" customHeight="1">
      <c r="DG5510" s="52"/>
      <c r="DH5510" s="52"/>
    </row>
    <row r="5511" ht="15.75" customHeight="1">
      <c r="DG5511" s="52"/>
      <c r="DH5511" s="52"/>
    </row>
    <row r="5512" ht="15.75" customHeight="1">
      <c r="DG5512" s="52"/>
      <c r="DH5512" s="52"/>
    </row>
    <row r="5513" ht="15.75" customHeight="1">
      <c r="DG5513" s="52"/>
      <c r="DH5513" s="52"/>
    </row>
    <row r="5514" ht="15.75" customHeight="1">
      <c r="DG5514" s="52"/>
      <c r="DH5514" s="52"/>
    </row>
    <row r="5515" ht="15.75" customHeight="1">
      <c r="DG5515" s="52"/>
      <c r="DH5515" s="52"/>
    </row>
    <row r="5516" ht="15.75" customHeight="1">
      <c r="DG5516" s="52"/>
      <c r="DH5516" s="52"/>
    </row>
    <row r="5517" ht="15.75" customHeight="1">
      <c r="DG5517" s="52"/>
      <c r="DH5517" s="52"/>
    </row>
    <row r="5518" ht="15.75" customHeight="1">
      <c r="DG5518" s="52"/>
      <c r="DH5518" s="52"/>
    </row>
    <row r="5519" ht="15.75" customHeight="1">
      <c r="DG5519" s="52"/>
      <c r="DH5519" s="52"/>
    </row>
    <row r="5520" ht="15.75" customHeight="1">
      <c r="DG5520" s="52"/>
      <c r="DH5520" s="52"/>
    </row>
    <row r="5521" ht="15.75" customHeight="1">
      <c r="DG5521" s="52"/>
      <c r="DH5521" s="52"/>
    </row>
    <row r="5522" ht="15.75" customHeight="1">
      <c r="DG5522" s="52"/>
      <c r="DH5522" s="52"/>
    </row>
    <row r="5523" ht="15.75" customHeight="1">
      <c r="DG5523" s="52"/>
      <c r="DH5523" s="52"/>
    </row>
    <row r="5524" ht="15.75" customHeight="1">
      <c r="DG5524" s="52"/>
      <c r="DH5524" s="52"/>
    </row>
    <row r="5525" ht="15.75" customHeight="1">
      <c r="DG5525" s="52"/>
      <c r="DH5525" s="52"/>
    </row>
    <row r="5526" ht="15.75" customHeight="1">
      <c r="DG5526" s="52"/>
      <c r="DH5526" s="52"/>
    </row>
    <row r="5527" ht="15.75" customHeight="1">
      <c r="DG5527" s="52"/>
      <c r="DH5527" s="52"/>
    </row>
    <row r="5528" ht="15.75" customHeight="1">
      <c r="DG5528" s="52"/>
      <c r="DH5528" s="52"/>
    </row>
    <row r="5529" ht="15.75" customHeight="1">
      <c r="DG5529" s="52"/>
      <c r="DH5529" s="52"/>
    </row>
    <row r="5530" ht="15.75" customHeight="1">
      <c r="DG5530" s="52"/>
      <c r="DH5530" s="52"/>
    </row>
    <row r="5531" ht="15.75" customHeight="1">
      <c r="DG5531" s="52"/>
      <c r="DH5531" s="52"/>
    </row>
    <row r="5532" ht="15.75" customHeight="1">
      <c r="DG5532" s="52"/>
      <c r="DH5532" s="52"/>
    </row>
    <row r="5533" ht="15.75" customHeight="1">
      <c r="DG5533" s="52"/>
      <c r="DH5533" s="52"/>
    </row>
    <row r="5534" ht="15.75" customHeight="1">
      <c r="DG5534" s="52"/>
      <c r="DH5534" s="52"/>
    </row>
    <row r="5535" ht="15.75" customHeight="1">
      <c r="DG5535" s="52"/>
      <c r="DH5535" s="52"/>
    </row>
    <row r="5536" ht="15.75" customHeight="1">
      <c r="DG5536" s="52"/>
      <c r="DH5536" s="52"/>
    </row>
    <row r="5537" ht="15.75" customHeight="1">
      <c r="DG5537" s="52"/>
      <c r="DH5537" s="52"/>
    </row>
    <row r="5538" ht="15.75" customHeight="1">
      <c r="DG5538" s="52"/>
      <c r="DH5538" s="52"/>
    </row>
    <row r="5539" ht="15.75" customHeight="1">
      <c r="DG5539" s="52"/>
      <c r="DH5539" s="52"/>
    </row>
    <row r="5540" ht="15.75" customHeight="1">
      <c r="DG5540" s="52"/>
      <c r="DH5540" s="52"/>
    </row>
    <row r="5541" ht="15.75" customHeight="1">
      <c r="DG5541" s="52"/>
      <c r="DH5541" s="52"/>
    </row>
    <row r="5542" ht="15.75" customHeight="1">
      <c r="DG5542" s="52"/>
      <c r="DH5542" s="52"/>
    </row>
    <row r="5543" ht="15.75" customHeight="1">
      <c r="DG5543" s="52"/>
      <c r="DH5543" s="52"/>
    </row>
    <row r="5544" ht="15.75" customHeight="1">
      <c r="DG5544" s="52"/>
      <c r="DH5544" s="52"/>
    </row>
    <row r="5545" ht="15.75" customHeight="1">
      <c r="DG5545" s="52"/>
      <c r="DH5545" s="52"/>
    </row>
    <row r="5546" ht="15.75" customHeight="1">
      <c r="DG5546" s="52"/>
      <c r="DH5546" s="52"/>
    </row>
    <row r="5547" ht="15.75" customHeight="1">
      <c r="DG5547" s="52"/>
      <c r="DH5547" s="52"/>
    </row>
    <row r="5548" ht="15.75" customHeight="1">
      <c r="DG5548" s="52"/>
      <c r="DH5548" s="52"/>
    </row>
    <row r="5549" ht="15.75" customHeight="1">
      <c r="DG5549" s="52"/>
      <c r="DH5549" s="52"/>
    </row>
    <row r="5550" ht="15.75" customHeight="1">
      <c r="DG5550" s="52"/>
      <c r="DH5550" s="52"/>
    </row>
    <row r="5551" ht="15.75" customHeight="1">
      <c r="DG5551" s="52"/>
      <c r="DH5551" s="52"/>
    </row>
    <row r="5552" ht="15.75" customHeight="1">
      <c r="DG5552" s="52"/>
      <c r="DH5552" s="52"/>
    </row>
    <row r="5553" ht="15.75" customHeight="1">
      <c r="DG5553" s="52"/>
      <c r="DH5553" s="52"/>
    </row>
    <row r="5554" ht="15.75" customHeight="1">
      <c r="DG5554" s="52"/>
      <c r="DH5554" s="52"/>
    </row>
    <row r="5555" ht="15.75" customHeight="1">
      <c r="DG5555" s="52"/>
      <c r="DH5555" s="52"/>
    </row>
    <row r="5556" ht="15.75" customHeight="1">
      <c r="DG5556" s="52"/>
      <c r="DH5556" s="52"/>
    </row>
    <row r="5557" ht="15.75" customHeight="1">
      <c r="DG5557" s="52"/>
      <c r="DH5557" s="52"/>
    </row>
    <row r="5558" ht="15.75" customHeight="1">
      <c r="DG5558" s="52"/>
      <c r="DH5558" s="52"/>
    </row>
    <row r="5559" ht="15.75" customHeight="1">
      <c r="DG5559" s="52"/>
      <c r="DH5559" s="52"/>
    </row>
    <row r="5560" ht="15.75" customHeight="1">
      <c r="DG5560" s="52"/>
      <c r="DH5560" s="52"/>
    </row>
    <row r="5561" ht="15.75" customHeight="1">
      <c r="DG5561" s="52"/>
      <c r="DH5561" s="52"/>
    </row>
    <row r="5562" ht="15.75" customHeight="1">
      <c r="DG5562" s="52"/>
      <c r="DH5562" s="52"/>
    </row>
    <row r="5563" ht="15.75" customHeight="1">
      <c r="DG5563" s="52"/>
      <c r="DH5563" s="52"/>
    </row>
    <row r="5564" ht="15.75" customHeight="1">
      <c r="DG5564" s="52"/>
      <c r="DH5564" s="52"/>
    </row>
    <row r="5565" ht="15.75" customHeight="1">
      <c r="DG5565" s="52"/>
      <c r="DH5565" s="52"/>
    </row>
    <row r="5566" ht="15.75" customHeight="1">
      <c r="DG5566" s="52"/>
      <c r="DH5566" s="52"/>
    </row>
    <row r="5567" ht="15.75" customHeight="1">
      <c r="DG5567" s="52"/>
      <c r="DH5567" s="52"/>
    </row>
    <row r="5568" ht="15.75" customHeight="1">
      <c r="DG5568" s="52"/>
      <c r="DH5568" s="52"/>
    </row>
    <row r="5569" ht="15.75" customHeight="1">
      <c r="DG5569" s="52"/>
      <c r="DH5569" s="52"/>
    </row>
    <row r="5570" ht="15.75" customHeight="1">
      <c r="DG5570" s="52"/>
      <c r="DH5570" s="52"/>
    </row>
    <row r="5571" ht="15.75" customHeight="1">
      <c r="DG5571" s="52"/>
      <c r="DH5571" s="52"/>
    </row>
    <row r="5572" ht="15.75" customHeight="1">
      <c r="DG5572" s="52"/>
      <c r="DH5572" s="52"/>
    </row>
    <row r="5573" ht="15.75" customHeight="1">
      <c r="DG5573" s="52"/>
      <c r="DH5573" s="52"/>
    </row>
    <row r="5574" ht="15.75" customHeight="1">
      <c r="DG5574" s="52"/>
      <c r="DH5574" s="52"/>
    </row>
    <row r="5575" ht="15.75" customHeight="1">
      <c r="DG5575" s="52"/>
      <c r="DH5575" s="52"/>
    </row>
    <row r="5576" ht="15.75" customHeight="1">
      <c r="DG5576" s="52"/>
      <c r="DH5576" s="52"/>
    </row>
    <row r="5577" ht="15.75" customHeight="1">
      <c r="DG5577" s="52"/>
      <c r="DH5577" s="52"/>
    </row>
    <row r="5578" ht="15.75" customHeight="1">
      <c r="DG5578" s="52"/>
      <c r="DH5578" s="52"/>
    </row>
    <row r="5579" ht="15.75" customHeight="1">
      <c r="DG5579" s="52"/>
      <c r="DH5579" s="52"/>
    </row>
    <row r="5580" ht="15.75" customHeight="1">
      <c r="DG5580" s="52"/>
      <c r="DH5580" s="52"/>
    </row>
    <row r="5581" ht="15.75" customHeight="1">
      <c r="DG5581" s="52"/>
      <c r="DH5581" s="52"/>
    </row>
    <row r="5582" ht="15.75" customHeight="1">
      <c r="DG5582" s="52"/>
      <c r="DH5582" s="52"/>
    </row>
    <row r="5583" ht="15.75" customHeight="1">
      <c r="DG5583" s="52"/>
      <c r="DH5583" s="52"/>
    </row>
    <row r="5584" ht="15.75" customHeight="1">
      <c r="DG5584" s="52"/>
      <c r="DH5584" s="52"/>
    </row>
    <row r="5585" ht="15.75" customHeight="1">
      <c r="DG5585" s="52"/>
      <c r="DH5585" s="52"/>
    </row>
    <row r="5586" ht="15.75" customHeight="1">
      <c r="DG5586" s="52"/>
      <c r="DH5586" s="52"/>
    </row>
    <row r="5587" ht="15.75" customHeight="1">
      <c r="DG5587" s="52"/>
      <c r="DH5587" s="52"/>
    </row>
    <row r="5588" ht="15.75" customHeight="1">
      <c r="DG5588" s="52"/>
      <c r="DH5588" s="52"/>
    </row>
    <row r="5589" ht="15.75" customHeight="1">
      <c r="DG5589" s="52"/>
      <c r="DH5589" s="52"/>
    </row>
    <row r="5590" ht="15.75" customHeight="1">
      <c r="DG5590" s="52"/>
      <c r="DH5590" s="52"/>
    </row>
    <row r="5591" ht="15.75" customHeight="1">
      <c r="DG5591" s="52"/>
      <c r="DH5591" s="52"/>
    </row>
    <row r="5592" ht="15.75" customHeight="1">
      <c r="DG5592" s="52"/>
      <c r="DH5592" s="52"/>
    </row>
    <row r="5593" ht="15.75" customHeight="1">
      <c r="DG5593" s="52"/>
      <c r="DH5593" s="52"/>
    </row>
    <row r="5594" ht="15.75" customHeight="1">
      <c r="DG5594" s="52"/>
      <c r="DH5594" s="52"/>
    </row>
    <row r="5595" ht="15.75" customHeight="1">
      <c r="DG5595" s="52"/>
      <c r="DH5595" s="52"/>
    </row>
    <row r="5596" ht="15.75" customHeight="1">
      <c r="DG5596" s="52"/>
      <c r="DH5596" s="52"/>
    </row>
    <row r="5597" ht="15.75" customHeight="1">
      <c r="DG5597" s="52"/>
      <c r="DH5597" s="52"/>
    </row>
    <row r="5598" ht="15.75" customHeight="1">
      <c r="DG5598" s="52"/>
      <c r="DH5598" s="52"/>
    </row>
    <row r="5599" ht="15.75" customHeight="1">
      <c r="DG5599" s="52"/>
      <c r="DH5599" s="52"/>
    </row>
    <row r="5600" ht="15.75" customHeight="1">
      <c r="DG5600" s="52"/>
      <c r="DH5600" s="52"/>
    </row>
    <row r="5601" ht="15.75" customHeight="1">
      <c r="DG5601" s="52"/>
      <c r="DH5601" s="52"/>
    </row>
    <row r="5602" ht="15.75" customHeight="1">
      <c r="DG5602" s="52"/>
      <c r="DH5602" s="52"/>
    </row>
    <row r="5603" ht="15.75" customHeight="1">
      <c r="DG5603" s="52"/>
      <c r="DH5603" s="52"/>
    </row>
    <row r="5604" ht="15.75" customHeight="1">
      <c r="DG5604" s="52"/>
      <c r="DH5604" s="52"/>
    </row>
    <row r="5605" ht="15.75" customHeight="1">
      <c r="DG5605" s="52"/>
      <c r="DH5605" s="52"/>
    </row>
    <row r="5606" ht="15.75" customHeight="1">
      <c r="DG5606" s="52"/>
      <c r="DH5606" s="52"/>
    </row>
    <row r="5607" ht="15.75" customHeight="1">
      <c r="DG5607" s="52"/>
      <c r="DH5607" s="52"/>
    </row>
    <row r="5608" ht="15.75" customHeight="1">
      <c r="DG5608" s="52"/>
      <c r="DH5608" s="52"/>
    </row>
    <row r="5609" ht="15.75" customHeight="1">
      <c r="DG5609" s="52"/>
      <c r="DH5609" s="52"/>
    </row>
    <row r="5610" ht="15.75" customHeight="1">
      <c r="DG5610" s="52"/>
      <c r="DH5610" s="52"/>
    </row>
    <row r="5611" ht="15.75" customHeight="1">
      <c r="DG5611" s="52"/>
      <c r="DH5611" s="52"/>
    </row>
    <row r="5612" ht="15.75" customHeight="1">
      <c r="DG5612" s="52"/>
      <c r="DH5612" s="52"/>
    </row>
    <row r="5613" ht="15.75" customHeight="1">
      <c r="DG5613" s="52"/>
      <c r="DH5613" s="52"/>
    </row>
    <row r="5614" ht="15.75" customHeight="1">
      <c r="DG5614" s="52"/>
      <c r="DH5614" s="52"/>
    </row>
    <row r="5615" ht="15.75" customHeight="1">
      <c r="DG5615" s="52"/>
      <c r="DH5615" s="52"/>
    </row>
    <row r="5616" ht="15.75" customHeight="1">
      <c r="DG5616" s="52"/>
      <c r="DH5616" s="52"/>
    </row>
    <row r="5617" ht="15.75" customHeight="1">
      <c r="DG5617" s="52"/>
      <c r="DH5617" s="52"/>
    </row>
    <row r="5618" ht="15.75" customHeight="1">
      <c r="DG5618" s="52"/>
      <c r="DH5618" s="52"/>
    </row>
    <row r="5619" ht="15.75" customHeight="1">
      <c r="DG5619" s="52"/>
      <c r="DH5619" s="52"/>
    </row>
    <row r="5620" ht="15.75" customHeight="1">
      <c r="DG5620" s="52"/>
      <c r="DH5620" s="52"/>
    </row>
    <row r="5621" ht="15.75" customHeight="1">
      <c r="DG5621" s="52"/>
      <c r="DH5621" s="52"/>
    </row>
    <row r="5622" ht="15.75" customHeight="1">
      <c r="DG5622" s="52"/>
      <c r="DH5622" s="52"/>
    </row>
    <row r="5623" ht="15.75" customHeight="1">
      <c r="DG5623" s="52"/>
      <c r="DH5623" s="52"/>
    </row>
    <row r="5624" ht="15.75" customHeight="1">
      <c r="DG5624" s="52"/>
      <c r="DH5624" s="52"/>
    </row>
    <row r="5625" ht="15.75" customHeight="1">
      <c r="DG5625" s="52"/>
      <c r="DH5625" s="52"/>
    </row>
    <row r="5626" ht="15.75" customHeight="1">
      <c r="DG5626" s="52"/>
      <c r="DH5626" s="52"/>
    </row>
    <row r="5627" ht="15.75" customHeight="1">
      <c r="DG5627" s="52"/>
      <c r="DH5627" s="52"/>
    </row>
    <row r="5628" ht="15.75" customHeight="1">
      <c r="DG5628" s="52"/>
      <c r="DH5628" s="52"/>
    </row>
    <row r="5629" ht="15.75" customHeight="1">
      <c r="DG5629" s="52"/>
      <c r="DH5629" s="52"/>
    </row>
    <row r="5630" ht="15.75" customHeight="1">
      <c r="DG5630" s="52"/>
      <c r="DH5630" s="52"/>
    </row>
    <row r="5631" ht="15.75" customHeight="1">
      <c r="DG5631" s="52"/>
      <c r="DH5631" s="52"/>
    </row>
    <row r="5632" ht="15.75" customHeight="1">
      <c r="DG5632" s="52"/>
      <c r="DH5632" s="52"/>
    </row>
    <row r="5633" ht="15.75" customHeight="1">
      <c r="DG5633" s="52"/>
      <c r="DH5633" s="52"/>
    </row>
    <row r="5634" ht="15.75" customHeight="1">
      <c r="DG5634" s="52"/>
      <c r="DH5634" s="52"/>
    </row>
    <row r="5635" ht="15.75" customHeight="1">
      <c r="DG5635" s="52"/>
      <c r="DH5635" s="52"/>
    </row>
    <row r="5636" ht="15.75" customHeight="1">
      <c r="DG5636" s="52"/>
      <c r="DH5636" s="52"/>
    </row>
    <row r="5637" ht="15.75" customHeight="1">
      <c r="DG5637" s="52"/>
      <c r="DH5637" s="52"/>
    </row>
    <row r="5638" ht="15.75" customHeight="1">
      <c r="DG5638" s="52"/>
      <c r="DH5638" s="52"/>
    </row>
    <row r="5639" ht="15.75" customHeight="1">
      <c r="DG5639" s="52"/>
      <c r="DH5639" s="52"/>
    </row>
    <row r="5640" ht="15.75" customHeight="1">
      <c r="DG5640" s="52"/>
      <c r="DH5640" s="52"/>
    </row>
    <row r="5641" ht="15.75" customHeight="1">
      <c r="DG5641" s="52"/>
      <c r="DH5641" s="52"/>
    </row>
    <row r="5642" ht="15.75" customHeight="1">
      <c r="DG5642" s="52"/>
      <c r="DH5642" s="52"/>
    </row>
    <row r="5643" ht="15.75" customHeight="1">
      <c r="DG5643" s="52"/>
      <c r="DH5643" s="52"/>
    </row>
    <row r="5644" ht="15.75" customHeight="1">
      <c r="DG5644" s="52"/>
      <c r="DH5644" s="52"/>
    </row>
    <row r="5645" ht="15.75" customHeight="1">
      <c r="DG5645" s="52"/>
      <c r="DH5645" s="52"/>
    </row>
    <row r="5646" ht="15.75" customHeight="1">
      <c r="DG5646" s="52"/>
      <c r="DH5646" s="52"/>
    </row>
    <row r="5647" ht="15.75" customHeight="1">
      <c r="DG5647" s="52"/>
      <c r="DH5647" s="52"/>
    </row>
    <row r="5648" ht="15.75" customHeight="1">
      <c r="DG5648" s="52"/>
      <c r="DH5648" s="52"/>
    </row>
    <row r="5649" ht="15.75" customHeight="1">
      <c r="DG5649" s="52"/>
      <c r="DH5649" s="52"/>
    </row>
    <row r="5650" ht="15.75" customHeight="1">
      <c r="DG5650" s="52"/>
      <c r="DH5650" s="52"/>
    </row>
    <row r="5651" ht="15.75" customHeight="1">
      <c r="DG5651" s="52"/>
      <c r="DH5651" s="52"/>
    </row>
    <row r="5652" ht="15.75" customHeight="1">
      <c r="DG5652" s="52"/>
      <c r="DH5652" s="52"/>
    </row>
    <row r="5653" ht="15.75" customHeight="1">
      <c r="DG5653" s="52"/>
      <c r="DH5653" s="52"/>
    </row>
    <row r="5654" ht="15.75" customHeight="1">
      <c r="DG5654" s="52"/>
      <c r="DH5654" s="52"/>
    </row>
    <row r="5655" ht="15.75" customHeight="1">
      <c r="DG5655" s="52"/>
      <c r="DH5655" s="52"/>
    </row>
    <row r="5656" ht="15.75" customHeight="1">
      <c r="DG5656" s="52"/>
      <c r="DH5656" s="52"/>
    </row>
    <row r="5657" ht="15.75" customHeight="1">
      <c r="DG5657" s="52"/>
      <c r="DH5657" s="52"/>
    </row>
    <row r="5658" ht="15.75" customHeight="1">
      <c r="DG5658" s="52"/>
      <c r="DH5658" s="52"/>
    </row>
    <row r="5659" ht="15.75" customHeight="1">
      <c r="DG5659" s="52"/>
      <c r="DH5659" s="52"/>
    </row>
    <row r="5660" ht="15.75" customHeight="1">
      <c r="DG5660" s="52"/>
      <c r="DH5660" s="52"/>
    </row>
    <row r="5661" ht="15.75" customHeight="1">
      <c r="DG5661" s="52"/>
      <c r="DH5661" s="52"/>
    </row>
    <row r="5662" ht="15.75" customHeight="1">
      <c r="DG5662" s="52"/>
      <c r="DH5662" s="52"/>
    </row>
    <row r="5663" ht="15.75" customHeight="1">
      <c r="DG5663" s="52"/>
      <c r="DH5663" s="52"/>
    </row>
    <row r="5664" ht="15.75" customHeight="1">
      <c r="DG5664" s="52"/>
      <c r="DH5664" s="52"/>
    </row>
    <row r="5665" ht="15.75" customHeight="1">
      <c r="DG5665" s="52"/>
      <c r="DH5665" s="52"/>
    </row>
    <row r="5666" ht="15.75" customHeight="1">
      <c r="DG5666" s="52"/>
      <c r="DH5666" s="52"/>
    </row>
    <row r="5667" ht="15.75" customHeight="1">
      <c r="DG5667" s="52"/>
      <c r="DH5667" s="52"/>
    </row>
    <row r="5668" ht="15.75" customHeight="1">
      <c r="DG5668" s="52"/>
      <c r="DH5668" s="52"/>
    </row>
    <row r="5669" ht="15.75" customHeight="1">
      <c r="DG5669" s="52"/>
      <c r="DH5669" s="52"/>
    </row>
    <row r="5670" ht="15.75" customHeight="1">
      <c r="DG5670" s="52"/>
      <c r="DH5670" s="52"/>
    </row>
    <row r="5671" ht="15.75" customHeight="1">
      <c r="DG5671" s="52"/>
      <c r="DH5671" s="52"/>
    </row>
    <row r="5672" ht="15.75" customHeight="1">
      <c r="DG5672" s="52"/>
      <c r="DH5672" s="52"/>
    </row>
    <row r="5673" ht="15.75" customHeight="1">
      <c r="DG5673" s="52"/>
      <c r="DH5673" s="52"/>
    </row>
    <row r="5674" ht="15.75" customHeight="1">
      <c r="DG5674" s="52"/>
      <c r="DH5674" s="52"/>
    </row>
    <row r="5675" ht="15.75" customHeight="1">
      <c r="DG5675" s="52"/>
      <c r="DH5675" s="52"/>
    </row>
    <row r="5676" ht="15.75" customHeight="1">
      <c r="DG5676" s="52"/>
      <c r="DH5676" s="52"/>
    </row>
    <row r="5677" ht="15.75" customHeight="1">
      <c r="DG5677" s="52"/>
      <c r="DH5677" s="52"/>
    </row>
    <row r="5678" ht="15.75" customHeight="1">
      <c r="DG5678" s="52"/>
      <c r="DH5678" s="52"/>
    </row>
    <row r="5679" ht="15.75" customHeight="1">
      <c r="DG5679" s="52"/>
      <c r="DH5679" s="52"/>
    </row>
    <row r="5680" ht="15.75" customHeight="1">
      <c r="DG5680" s="52"/>
      <c r="DH5680" s="52"/>
    </row>
    <row r="5681" ht="15.75" customHeight="1">
      <c r="DG5681" s="52"/>
      <c r="DH5681" s="52"/>
    </row>
    <row r="5682" ht="15.75" customHeight="1">
      <c r="DG5682" s="52"/>
      <c r="DH5682" s="52"/>
    </row>
    <row r="5683" ht="15.75" customHeight="1">
      <c r="DG5683" s="52"/>
      <c r="DH5683" s="52"/>
    </row>
    <row r="5684" ht="15.75" customHeight="1">
      <c r="DG5684" s="52"/>
      <c r="DH5684" s="52"/>
    </row>
    <row r="5685" ht="15.75" customHeight="1">
      <c r="DG5685" s="52"/>
      <c r="DH5685" s="52"/>
    </row>
    <row r="5686" ht="15.75" customHeight="1">
      <c r="DG5686" s="52"/>
      <c r="DH5686" s="52"/>
    </row>
    <row r="5687" ht="15.75" customHeight="1">
      <c r="DG5687" s="52"/>
      <c r="DH5687" s="52"/>
    </row>
    <row r="5688" ht="15.75" customHeight="1">
      <c r="DG5688" s="52"/>
      <c r="DH5688" s="52"/>
    </row>
    <row r="5689" ht="15.75" customHeight="1">
      <c r="DG5689" s="52"/>
      <c r="DH5689" s="52"/>
    </row>
    <row r="5690" ht="15.75" customHeight="1">
      <c r="DG5690" s="52"/>
      <c r="DH5690" s="52"/>
    </row>
    <row r="5691" ht="15.75" customHeight="1">
      <c r="DG5691" s="52"/>
      <c r="DH5691" s="52"/>
    </row>
    <row r="5692" ht="15.75" customHeight="1">
      <c r="DG5692" s="52"/>
      <c r="DH5692" s="52"/>
    </row>
    <row r="5693" ht="15.75" customHeight="1">
      <c r="DG5693" s="52"/>
      <c r="DH5693" s="52"/>
    </row>
    <row r="5694" ht="15.75" customHeight="1">
      <c r="DG5694" s="52"/>
      <c r="DH5694" s="52"/>
    </row>
    <row r="5695" ht="15.75" customHeight="1">
      <c r="DG5695" s="52"/>
      <c r="DH5695" s="52"/>
    </row>
    <row r="5696" ht="15.75" customHeight="1">
      <c r="DG5696" s="52"/>
      <c r="DH5696" s="52"/>
    </row>
    <row r="5697" ht="15.75" customHeight="1">
      <c r="DG5697" s="52"/>
      <c r="DH5697" s="52"/>
    </row>
    <row r="5698" ht="15.75" customHeight="1">
      <c r="DG5698" s="52"/>
      <c r="DH5698" s="52"/>
    </row>
    <row r="5699" ht="15.75" customHeight="1">
      <c r="DG5699" s="52"/>
      <c r="DH5699" s="52"/>
    </row>
    <row r="5700" ht="15.75" customHeight="1">
      <c r="DG5700" s="52"/>
      <c r="DH5700" s="52"/>
    </row>
    <row r="5701" ht="15.75" customHeight="1">
      <c r="DG5701" s="52"/>
      <c r="DH5701" s="52"/>
    </row>
    <row r="5702" ht="15.75" customHeight="1">
      <c r="DG5702" s="52"/>
      <c r="DH5702" s="52"/>
    </row>
    <row r="5703" ht="15.75" customHeight="1">
      <c r="DG5703" s="52"/>
      <c r="DH5703" s="52"/>
    </row>
    <row r="5704" ht="15.75" customHeight="1">
      <c r="DG5704" s="52"/>
      <c r="DH5704" s="52"/>
    </row>
    <row r="5705" ht="15.75" customHeight="1">
      <c r="DG5705" s="52"/>
      <c r="DH5705" s="52"/>
    </row>
    <row r="5706" ht="15.75" customHeight="1">
      <c r="DG5706" s="52"/>
      <c r="DH5706" s="52"/>
    </row>
    <row r="5707" ht="15.75" customHeight="1">
      <c r="DG5707" s="52"/>
      <c r="DH5707" s="52"/>
    </row>
    <row r="5708" ht="15.75" customHeight="1">
      <c r="DG5708" s="52"/>
      <c r="DH5708" s="52"/>
    </row>
    <row r="5709" ht="15.75" customHeight="1">
      <c r="DG5709" s="52"/>
      <c r="DH5709" s="52"/>
    </row>
    <row r="5710" ht="15.75" customHeight="1">
      <c r="DG5710" s="52"/>
      <c r="DH5710" s="52"/>
    </row>
    <row r="5711" ht="15.75" customHeight="1">
      <c r="DG5711" s="52"/>
      <c r="DH5711" s="52"/>
    </row>
    <row r="5712" ht="15.75" customHeight="1">
      <c r="DG5712" s="52"/>
      <c r="DH5712" s="52"/>
    </row>
    <row r="5713" ht="15.75" customHeight="1">
      <c r="DG5713" s="52"/>
      <c r="DH5713" s="52"/>
    </row>
    <row r="5714" ht="15.75" customHeight="1">
      <c r="DG5714" s="52"/>
      <c r="DH5714" s="52"/>
    </row>
    <row r="5715" ht="15.75" customHeight="1">
      <c r="DG5715" s="52"/>
      <c r="DH5715" s="52"/>
    </row>
    <row r="5716" ht="15.75" customHeight="1">
      <c r="DG5716" s="52"/>
      <c r="DH5716" s="52"/>
    </row>
    <row r="5717" ht="15.75" customHeight="1">
      <c r="DG5717" s="52"/>
      <c r="DH5717" s="52"/>
    </row>
    <row r="5718" ht="15.75" customHeight="1">
      <c r="DG5718" s="52"/>
      <c r="DH5718" s="52"/>
    </row>
    <row r="5719" ht="15.75" customHeight="1">
      <c r="DG5719" s="52"/>
      <c r="DH5719" s="52"/>
    </row>
    <row r="5720" ht="15.75" customHeight="1">
      <c r="DG5720" s="52"/>
      <c r="DH5720" s="52"/>
    </row>
    <row r="5721" ht="15.75" customHeight="1">
      <c r="DG5721" s="52"/>
      <c r="DH5721" s="52"/>
    </row>
    <row r="5722" ht="15.75" customHeight="1">
      <c r="DG5722" s="52"/>
      <c r="DH5722" s="52"/>
    </row>
    <row r="5723" ht="15.75" customHeight="1">
      <c r="DG5723" s="52"/>
      <c r="DH5723" s="52"/>
    </row>
    <row r="5724" ht="15.75" customHeight="1">
      <c r="DG5724" s="52"/>
      <c r="DH5724" s="52"/>
    </row>
    <row r="5725" ht="15.75" customHeight="1">
      <c r="DG5725" s="52"/>
      <c r="DH5725" s="52"/>
    </row>
    <row r="5726" ht="15.75" customHeight="1">
      <c r="DG5726" s="52"/>
      <c r="DH5726" s="52"/>
    </row>
    <row r="5727" ht="15.75" customHeight="1">
      <c r="DG5727" s="52"/>
      <c r="DH5727" s="52"/>
    </row>
    <row r="5728" ht="15.75" customHeight="1">
      <c r="DG5728" s="52"/>
      <c r="DH5728" s="52"/>
    </row>
    <row r="5729" ht="15.75" customHeight="1">
      <c r="DG5729" s="52"/>
      <c r="DH5729" s="52"/>
    </row>
    <row r="5730" ht="15.75" customHeight="1">
      <c r="DG5730" s="52"/>
      <c r="DH5730" s="52"/>
    </row>
    <row r="5731" ht="15.75" customHeight="1">
      <c r="DG5731" s="52"/>
      <c r="DH5731" s="52"/>
    </row>
    <row r="5732" ht="15.75" customHeight="1">
      <c r="DG5732" s="52"/>
      <c r="DH5732" s="52"/>
    </row>
    <row r="5733" ht="15.75" customHeight="1">
      <c r="DG5733" s="52"/>
      <c r="DH5733" s="52"/>
    </row>
    <row r="5734" ht="15.75" customHeight="1">
      <c r="DG5734" s="52"/>
      <c r="DH5734" s="52"/>
    </row>
    <row r="5735" ht="15.75" customHeight="1">
      <c r="DG5735" s="52"/>
      <c r="DH5735" s="52"/>
    </row>
    <row r="5736" ht="15.75" customHeight="1">
      <c r="DG5736" s="52"/>
      <c r="DH5736" s="52"/>
    </row>
    <row r="5737" ht="15.75" customHeight="1">
      <c r="DG5737" s="52"/>
      <c r="DH5737" s="52"/>
    </row>
    <row r="5738" ht="15.75" customHeight="1">
      <c r="DG5738" s="52"/>
      <c r="DH5738" s="52"/>
    </row>
    <row r="5739" ht="15.75" customHeight="1">
      <c r="DG5739" s="52"/>
      <c r="DH5739" s="52"/>
    </row>
    <row r="5740" ht="15.75" customHeight="1">
      <c r="DG5740" s="52"/>
      <c r="DH5740" s="52"/>
    </row>
    <row r="5741" ht="15.75" customHeight="1">
      <c r="DG5741" s="52"/>
      <c r="DH5741" s="52"/>
    </row>
    <row r="5742" ht="15.75" customHeight="1">
      <c r="DG5742" s="52"/>
      <c r="DH5742" s="52"/>
    </row>
    <row r="5743" ht="15.75" customHeight="1">
      <c r="DG5743" s="52"/>
      <c r="DH5743" s="52"/>
    </row>
    <row r="5744" ht="15.75" customHeight="1">
      <c r="DG5744" s="52"/>
      <c r="DH5744" s="52"/>
    </row>
    <row r="5745" ht="15.75" customHeight="1">
      <c r="DG5745" s="52"/>
      <c r="DH5745" s="52"/>
    </row>
    <row r="5746" ht="15.75" customHeight="1">
      <c r="DG5746" s="52"/>
      <c r="DH5746" s="52"/>
    </row>
    <row r="5747" ht="15.75" customHeight="1">
      <c r="DG5747" s="52"/>
      <c r="DH5747" s="52"/>
    </row>
    <row r="5748" ht="15.75" customHeight="1">
      <c r="DG5748" s="52"/>
      <c r="DH5748" s="52"/>
    </row>
    <row r="5749" ht="15.75" customHeight="1">
      <c r="DG5749" s="52"/>
      <c r="DH5749" s="52"/>
    </row>
    <row r="5750" ht="15.75" customHeight="1">
      <c r="DG5750" s="52"/>
      <c r="DH5750" s="52"/>
    </row>
    <row r="5751" ht="15.75" customHeight="1">
      <c r="DG5751" s="52"/>
      <c r="DH5751" s="52"/>
    </row>
    <row r="5752" ht="15.75" customHeight="1">
      <c r="DG5752" s="52"/>
      <c r="DH5752" s="52"/>
    </row>
    <row r="5753" ht="15.75" customHeight="1">
      <c r="DG5753" s="52"/>
      <c r="DH5753" s="52"/>
    </row>
    <row r="5754" ht="15.75" customHeight="1">
      <c r="DG5754" s="52"/>
      <c r="DH5754" s="52"/>
    </row>
    <row r="5755" ht="15.75" customHeight="1">
      <c r="DG5755" s="52"/>
      <c r="DH5755" s="52"/>
    </row>
    <row r="5756" ht="15.75" customHeight="1">
      <c r="DG5756" s="52"/>
      <c r="DH5756" s="52"/>
    </row>
    <row r="5757" ht="15.75" customHeight="1">
      <c r="DG5757" s="52"/>
      <c r="DH5757" s="52"/>
    </row>
    <row r="5758" ht="15.75" customHeight="1">
      <c r="DG5758" s="52"/>
      <c r="DH5758" s="52"/>
    </row>
    <row r="5759" ht="15.75" customHeight="1">
      <c r="DG5759" s="52"/>
      <c r="DH5759" s="52"/>
    </row>
    <row r="5760" ht="15.75" customHeight="1">
      <c r="DG5760" s="52"/>
      <c r="DH5760" s="52"/>
    </row>
    <row r="5761" ht="15.75" customHeight="1">
      <c r="DG5761" s="52"/>
      <c r="DH5761" s="52"/>
    </row>
    <row r="5762" ht="15.75" customHeight="1">
      <c r="DG5762" s="52"/>
      <c r="DH5762" s="52"/>
    </row>
    <row r="5763" ht="15.75" customHeight="1">
      <c r="DG5763" s="52"/>
      <c r="DH5763" s="52"/>
    </row>
    <row r="5764" ht="15.75" customHeight="1">
      <c r="DG5764" s="52"/>
      <c r="DH5764" s="52"/>
    </row>
    <row r="5765" ht="15.75" customHeight="1">
      <c r="DG5765" s="52"/>
      <c r="DH5765" s="52"/>
    </row>
    <row r="5766" ht="15.75" customHeight="1">
      <c r="DG5766" s="52"/>
      <c r="DH5766" s="52"/>
    </row>
    <row r="5767" ht="15.75" customHeight="1">
      <c r="DG5767" s="52"/>
      <c r="DH5767" s="52"/>
    </row>
    <row r="5768" ht="15.75" customHeight="1">
      <c r="DG5768" s="52"/>
      <c r="DH5768" s="52"/>
    </row>
    <row r="5769" ht="15.75" customHeight="1">
      <c r="DG5769" s="52"/>
      <c r="DH5769" s="52"/>
    </row>
    <row r="5770" ht="15.75" customHeight="1">
      <c r="DG5770" s="52"/>
      <c r="DH5770" s="52"/>
    </row>
    <row r="5771" ht="15.75" customHeight="1">
      <c r="DG5771" s="52"/>
      <c r="DH5771" s="52"/>
    </row>
    <row r="5772" ht="15.75" customHeight="1">
      <c r="DG5772" s="52"/>
      <c r="DH5772" s="52"/>
    </row>
    <row r="5773" ht="15.75" customHeight="1">
      <c r="DG5773" s="52"/>
      <c r="DH5773" s="52"/>
    </row>
    <row r="5774" ht="15.75" customHeight="1">
      <c r="DG5774" s="52"/>
      <c r="DH5774" s="52"/>
    </row>
    <row r="5775" ht="15.75" customHeight="1">
      <c r="DG5775" s="52"/>
      <c r="DH5775" s="52"/>
    </row>
    <row r="5776" ht="15.75" customHeight="1">
      <c r="DG5776" s="52"/>
      <c r="DH5776" s="52"/>
    </row>
    <row r="5777" ht="15.75" customHeight="1">
      <c r="DG5777" s="52"/>
      <c r="DH5777" s="52"/>
    </row>
    <row r="5778" ht="15.75" customHeight="1">
      <c r="DG5778" s="52"/>
      <c r="DH5778" s="52"/>
    </row>
    <row r="5779" ht="15.75" customHeight="1">
      <c r="DG5779" s="52"/>
      <c r="DH5779" s="52"/>
    </row>
    <row r="5780" ht="15.75" customHeight="1">
      <c r="DG5780" s="52"/>
      <c r="DH5780" s="52"/>
    </row>
    <row r="5781" ht="15.75" customHeight="1">
      <c r="DG5781" s="52"/>
      <c r="DH5781" s="52"/>
    </row>
    <row r="5782" ht="15.75" customHeight="1">
      <c r="DG5782" s="52"/>
      <c r="DH5782" s="52"/>
    </row>
    <row r="5783" ht="15.75" customHeight="1">
      <c r="DG5783" s="52"/>
      <c r="DH5783" s="52"/>
    </row>
    <row r="5784" ht="15.75" customHeight="1">
      <c r="DG5784" s="52"/>
      <c r="DH5784" s="52"/>
    </row>
    <row r="5785" ht="15.75" customHeight="1">
      <c r="DG5785" s="52"/>
      <c r="DH5785" s="52"/>
    </row>
    <row r="5786" ht="15.75" customHeight="1">
      <c r="DG5786" s="52"/>
      <c r="DH5786" s="52"/>
    </row>
    <row r="5787" ht="15.75" customHeight="1">
      <c r="DG5787" s="52"/>
      <c r="DH5787" s="52"/>
    </row>
    <row r="5788" ht="15.75" customHeight="1">
      <c r="DG5788" s="52"/>
      <c r="DH5788" s="52"/>
    </row>
    <row r="5789" ht="15.75" customHeight="1">
      <c r="DG5789" s="52"/>
      <c r="DH5789" s="52"/>
    </row>
    <row r="5790" ht="15.75" customHeight="1">
      <c r="DG5790" s="52"/>
      <c r="DH5790" s="52"/>
    </row>
    <row r="5791" ht="15.75" customHeight="1">
      <c r="DG5791" s="52"/>
      <c r="DH5791" s="52"/>
    </row>
    <row r="5792" ht="15.75" customHeight="1">
      <c r="DG5792" s="52"/>
      <c r="DH5792" s="52"/>
    </row>
    <row r="5793" ht="15.75" customHeight="1">
      <c r="DG5793" s="52"/>
      <c r="DH5793" s="52"/>
    </row>
    <row r="5794" ht="15.75" customHeight="1">
      <c r="DG5794" s="52"/>
      <c r="DH5794" s="52"/>
    </row>
    <row r="5795" ht="15.75" customHeight="1">
      <c r="DG5795" s="52"/>
      <c r="DH5795" s="52"/>
    </row>
    <row r="5796" ht="15.75" customHeight="1">
      <c r="DG5796" s="52"/>
      <c r="DH5796" s="52"/>
    </row>
    <row r="5797" ht="15.75" customHeight="1">
      <c r="DG5797" s="52"/>
      <c r="DH5797" s="52"/>
    </row>
    <row r="5798" ht="15.75" customHeight="1">
      <c r="DG5798" s="52"/>
      <c r="DH5798" s="52"/>
    </row>
    <row r="5799" ht="15.75" customHeight="1">
      <c r="DG5799" s="52"/>
      <c r="DH5799" s="52"/>
    </row>
    <row r="5800" ht="15.75" customHeight="1">
      <c r="DG5800" s="52"/>
      <c r="DH5800" s="52"/>
    </row>
    <row r="5801" ht="15.75" customHeight="1">
      <c r="DG5801" s="52"/>
      <c r="DH5801" s="52"/>
    </row>
    <row r="5802" ht="15.75" customHeight="1">
      <c r="DG5802" s="52"/>
      <c r="DH5802" s="52"/>
    </row>
    <row r="5803" ht="15.75" customHeight="1">
      <c r="DG5803" s="52"/>
      <c r="DH5803" s="52"/>
    </row>
    <row r="5804" ht="15.75" customHeight="1">
      <c r="DG5804" s="52"/>
      <c r="DH5804" s="52"/>
    </row>
    <row r="5805" ht="15.75" customHeight="1">
      <c r="DG5805" s="52"/>
      <c r="DH5805" s="52"/>
    </row>
    <row r="5806" ht="15.75" customHeight="1">
      <c r="DG5806" s="52"/>
      <c r="DH5806" s="52"/>
    </row>
    <row r="5807" ht="15.75" customHeight="1">
      <c r="DG5807" s="52"/>
      <c r="DH5807" s="52"/>
    </row>
    <row r="5808" ht="15.75" customHeight="1">
      <c r="DG5808" s="52"/>
      <c r="DH5808" s="52"/>
    </row>
    <row r="5809" ht="15.75" customHeight="1">
      <c r="DG5809" s="52"/>
      <c r="DH5809" s="52"/>
    </row>
    <row r="5810" ht="15.75" customHeight="1">
      <c r="DG5810" s="52"/>
      <c r="DH5810" s="52"/>
    </row>
    <row r="5811" ht="15.75" customHeight="1">
      <c r="DG5811" s="52"/>
      <c r="DH5811" s="52"/>
    </row>
    <row r="5812" ht="15.75" customHeight="1">
      <c r="DG5812" s="52"/>
      <c r="DH5812" s="52"/>
    </row>
    <row r="5813" ht="15.75" customHeight="1">
      <c r="DG5813" s="52"/>
      <c r="DH5813" s="52"/>
    </row>
    <row r="5814" ht="15.75" customHeight="1">
      <c r="DG5814" s="52"/>
      <c r="DH5814" s="52"/>
    </row>
    <row r="5815" ht="15.75" customHeight="1">
      <c r="DG5815" s="52"/>
      <c r="DH5815" s="52"/>
    </row>
    <row r="5816" ht="15.75" customHeight="1">
      <c r="DG5816" s="52"/>
      <c r="DH5816" s="52"/>
    </row>
    <row r="5817" ht="15.75" customHeight="1">
      <c r="DG5817" s="52"/>
      <c r="DH5817" s="52"/>
    </row>
    <row r="5818" ht="15.75" customHeight="1">
      <c r="DG5818" s="52"/>
      <c r="DH5818" s="52"/>
    </row>
    <row r="5819" ht="15.75" customHeight="1">
      <c r="DG5819" s="52"/>
      <c r="DH5819" s="52"/>
    </row>
    <row r="5820" ht="15.75" customHeight="1">
      <c r="DG5820" s="52"/>
      <c r="DH5820" s="52"/>
    </row>
    <row r="5821" ht="15.75" customHeight="1">
      <c r="DG5821" s="52"/>
      <c r="DH5821" s="52"/>
    </row>
    <row r="5822" ht="15.75" customHeight="1">
      <c r="DG5822" s="52"/>
      <c r="DH5822" s="52"/>
    </row>
    <row r="5823" ht="15.75" customHeight="1">
      <c r="DG5823" s="52"/>
      <c r="DH5823" s="52"/>
    </row>
    <row r="5824" ht="15.75" customHeight="1">
      <c r="DG5824" s="52"/>
      <c r="DH5824" s="52"/>
    </row>
    <row r="5825" ht="15.75" customHeight="1">
      <c r="DG5825" s="52"/>
      <c r="DH5825" s="52"/>
    </row>
    <row r="5826" ht="15.75" customHeight="1">
      <c r="DG5826" s="52"/>
      <c r="DH5826" s="52"/>
    </row>
    <row r="5827" ht="15.75" customHeight="1">
      <c r="DG5827" s="52"/>
      <c r="DH5827" s="52"/>
    </row>
    <row r="5828" ht="15.75" customHeight="1">
      <c r="DG5828" s="52"/>
      <c r="DH5828" s="52"/>
    </row>
    <row r="5829" ht="15.75" customHeight="1">
      <c r="DG5829" s="52"/>
      <c r="DH5829" s="52"/>
    </row>
    <row r="5830" ht="15.75" customHeight="1">
      <c r="DG5830" s="52"/>
      <c r="DH5830" s="52"/>
    </row>
    <row r="5831" ht="15.75" customHeight="1">
      <c r="DG5831" s="52"/>
      <c r="DH5831" s="52"/>
    </row>
    <row r="5832" ht="15.75" customHeight="1">
      <c r="DG5832" s="52"/>
      <c r="DH5832" s="52"/>
    </row>
    <row r="5833" ht="15.75" customHeight="1">
      <c r="DG5833" s="52"/>
      <c r="DH5833" s="52"/>
    </row>
    <row r="5834" ht="15.75" customHeight="1">
      <c r="DG5834" s="52"/>
      <c r="DH5834" s="52"/>
    </row>
    <row r="5835" ht="15.75" customHeight="1">
      <c r="DG5835" s="52"/>
      <c r="DH5835" s="52"/>
    </row>
    <row r="5836" ht="15.75" customHeight="1">
      <c r="DG5836" s="52"/>
      <c r="DH5836" s="52"/>
    </row>
    <row r="5837" ht="15.75" customHeight="1">
      <c r="DG5837" s="52"/>
      <c r="DH5837" s="52"/>
    </row>
    <row r="5838" ht="15.75" customHeight="1">
      <c r="DG5838" s="52"/>
      <c r="DH5838" s="52"/>
    </row>
    <row r="5839" ht="15.75" customHeight="1">
      <c r="DG5839" s="52"/>
      <c r="DH5839" s="52"/>
    </row>
    <row r="5840" ht="15.75" customHeight="1">
      <c r="DG5840" s="52"/>
      <c r="DH5840" s="52"/>
    </row>
    <row r="5841" ht="15.75" customHeight="1">
      <c r="DG5841" s="52"/>
      <c r="DH5841" s="52"/>
    </row>
    <row r="5842" ht="15.75" customHeight="1">
      <c r="DG5842" s="52"/>
      <c r="DH5842" s="52"/>
    </row>
    <row r="5843" ht="15.75" customHeight="1">
      <c r="DG5843" s="52"/>
      <c r="DH5843" s="52"/>
    </row>
    <row r="5844" ht="15.75" customHeight="1">
      <c r="DG5844" s="52"/>
      <c r="DH5844" s="52"/>
    </row>
    <row r="5845" ht="15.75" customHeight="1">
      <c r="DG5845" s="52"/>
      <c r="DH5845" s="52"/>
    </row>
    <row r="5846" ht="15.75" customHeight="1">
      <c r="DG5846" s="52"/>
      <c r="DH5846" s="52"/>
    </row>
    <row r="5847" ht="15.75" customHeight="1">
      <c r="DG5847" s="52"/>
      <c r="DH5847" s="52"/>
    </row>
    <row r="5848" ht="15.75" customHeight="1">
      <c r="DG5848" s="52"/>
      <c r="DH5848" s="52"/>
    </row>
    <row r="5849" ht="15.75" customHeight="1">
      <c r="DG5849" s="52"/>
      <c r="DH5849" s="52"/>
    </row>
    <row r="5850" ht="15.75" customHeight="1">
      <c r="DG5850" s="52"/>
      <c r="DH5850" s="52"/>
    </row>
    <row r="5851" ht="15.75" customHeight="1">
      <c r="DG5851" s="52"/>
      <c r="DH5851" s="52"/>
    </row>
    <row r="5852" ht="15.75" customHeight="1">
      <c r="DG5852" s="52"/>
      <c r="DH5852" s="52"/>
    </row>
    <row r="5853" ht="15.75" customHeight="1">
      <c r="DG5853" s="52"/>
      <c r="DH5853" s="52"/>
    </row>
    <row r="5854" ht="15.75" customHeight="1">
      <c r="DG5854" s="52"/>
      <c r="DH5854" s="52"/>
    </row>
    <row r="5855" ht="15.75" customHeight="1">
      <c r="DG5855" s="52"/>
      <c r="DH5855" s="52"/>
    </row>
    <row r="5856" ht="15.75" customHeight="1">
      <c r="DG5856" s="52"/>
      <c r="DH5856" s="52"/>
    </row>
    <row r="5857" ht="15.75" customHeight="1">
      <c r="DG5857" s="52"/>
      <c r="DH5857" s="52"/>
    </row>
    <row r="5858" ht="15.75" customHeight="1">
      <c r="DG5858" s="52"/>
      <c r="DH5858" s="52"/>
    </row>
    <row r="5859" ht="15.75" customHeight="1">
      <c r="DG5859" s="52"/>
      <c r="DH5859" s="52"/>
    </row>
    <row r="5860" ht="15.75" customHeight="1">
      <c r="DG5860" s="52"/>
      <c r="DH5860" s="52"/>
    </row>
    <row r="5861" ht="15.75" customHeight="1">
      <c r="DG5861" s="52"/>
      <c r="DH5861" s="52"/>
    </row>
    <row r="5862" ht="15.75" customHeight="1">
      <c r="DG5862" s="52"/>
      <c r="DH5862" s="52"/>
    </row>
    <row r="5863" ht="15.75" customHeight="1">
      <c r="DG5863" s="52"/>
      <c r="DH5863" s="52"/>
    </row>
    <row r="5864" ht="15.75" customHeight="1">
      <c r="DG5864" s="52"/>
      <c r="DH5864" s="52"/>
    </row>
    <row r="5865" ht="15.75" customHeight="1">
      <c r="DG5865" s="52"/>
      <c r="DH5865" s="52"/>
    </row>
    <row r="5866" ht="15.75" customHeight="1">
      <c r="DG5866" s="52"/>
      <c r="DH5866" s="52"/>
    </row>
    <row r="5867" ht="15.75" customHeight="1">
      <c r="DG5867" s="52"/>
      <c r="DH5867" s="52"/>
    </row>
    <row r="5868" ht="15.75" customHeight="1">
      <c r="DG5868" s="52"/>
      <c r="DH5868" s="52"/>
    </row>
    <row r="5869" ht="15.75" customHeight="1">
      <c r="DG5869" s="52"/>
      <c r="DH5869" s="52"/>
    </row>
    <row r="5870" ht="15.75" customHeight="1">
      <c r="DG5870" s="52"/>
      <c r="DH5870" s="52"/>
    </row>
    <row r="5871" ht="15.75" customHeight="1">
      <c r="DG5871" s="52"/>
      <c r="DH5871" s="52"/>
    </row>
    <row r="5872" ht="15.75" customHeight="1">
      <c r="DG5872" s="52"/>
      <c r="DH5872" s="52"/>
    </row>
    <row r="5873" ht="15.75" customHeight="1">
      <c r="DG5873" s="52"/>
      <c r="DH5873" s="52"/>
    </row>
    <row r="5874" ht="15.75" customHeight="1">
      <c r="DG5874" s="52"/>
      <c r="DH5874" s="52"/>
    </row>
    <row r="5875" ht="15.75" customHeight="1">
      <c r="DG5875" s="52"/>
      <c r="DH5875" s="52"/>
    </row>
    <row r="5876" ht="15.75" customHeight="1">
      <c r="DG5876" s="52"/>
      <c r="DH5876" s="52"/>
    </row>
    <row r="5877" ht="15.75" customHeight="1">
      <c r="DG5877" s="52"/>
      <c r="DH5877" s="52"/>
    </row>
    <row r="5878" ht="15.75" customHeight="1">
      <c r="DG5878" s="52"/>
      <c r="DH5878" s="52"/>
    </row>
    <row r="5879" ht="15.75" customHeight="1">
      <c r="DG5879" s="52"/>
      <c r="DH5879" s="52"/>
    </row>
    <row r="5880" ht="15.75" customHeight="1">
      <c r="DG5880" s="52"/>
      <c r="DH5880" s="52"/>
    </row>
    <row r="5881" ht="15.75" customHeight="1">
      <c r="DG5881" s="52"/>
      <c r="DH5881" s="52"/>
    </row>
    <row r="5882" ht="15.75" customHeight="1">
      <c r="DG5882" s="52"/>
      <c r="DH5882" s="52"/>
    </row>
    <row r="5883" ht="15.75" customHeight="1">
      <c r="DG5883" s="52"/>
      <c r="DH5883" s="52"/>
    </row>
    <row r="5884" ht="15.75" customHeight="1">
      <c r="DG5884" s="52"/>
      <c r="DH5884" s="52"/>
    </row>
    <row r="5885" ht="15.75" customHeight="1">
      <c r="DG5885" s="52"/>
      <c r="DH5885" s="52"/>
    </row>
    <row r="5886" ht="15.75" customHeight="1">
      <c r="DG5886" s="52"/>
      <c r="DH5886" s="52"/>
    </row>
    <row r="5887" ht="15.75" customHeight="1">
      <c r="DG5887" s="52"/>
      <c r="DH5887" s="52"/>
    </row>
    <row r="5888" ht="15.75" customHeight="1">
      <c r="DG5888" s="52"/>
      <c r="DH5888" s="52"/>
    </row>
    <row r="5889" ht="15.75" customHeight="1">
      <c r="DG5889" s="52"/>
      <c r="DH5889" s="52"/>
    </row>
    <row r="5890" ht="15.75" customHeight="1">
      <c r="DG5890" s="52"/>
      <c r="DH5890" s="52"/>
    </row>
    <row r="5891" ht="15.75" customHeight="1">
      <c r="DG5891" s="52"/>
      <c r="DH5891" s="52"/>
    </row>
    <row r="5892" ht="15.75" customHeight="1">
      <c r="DG5892" s="52"/>
      <c r="DH5892" s="52"/>
    </row>
    <row r="5893" ht="15.75" customHeight="1">
      <c r="DG5893" s="52"/>
      <c r="DH5893" s="52"/>
    </row>
    <row r="5894" ht="15.75" customHeight="1">
      <c r="DG5894" s="52"/>
      <c r="DH5894" s="52"/>
    </row>
    <row r="5895" ht="15.75" customHeight="1">
      <c r="DG5895" s="52"/>
      <c r="DH5895" s="52"/>
    </row>
    <row r="5896" ht="15.75" customHeight="1">
      <c r="DG5896" s="52"/>
      <c r="DH5896" s="52"/>
    </row>
    <row r="5897" ht="15.75" customHeight="1">
      <c r="DG5897" s="52"/>
      <c r="DH5897" s="52"/>
    </row>
    <row r="5898" ht="15.75" customHeight="1">
      <c r="DG5898" s="52"/>
      <c r="DH5898" s="52"/>
    </row>
    <row r="5899" ht="15.75" customHeight="1">
      <c r="DG5899" s="52"/>
      <c r="DH5899" s="52"/>
    </row>
    <row r="5900" ht="15.75" customHeight="1">
      <c r="DG5900" s="52"/>
      <c r="DH5900" s="52"/>
    </row>
    <row r="5901" ht="15.75" customHeight="1">
      <c r="DG5901" s="52"/>
      <c r="DH5901" s="52"/>
    </row>
    <row r="5902" ht="15.75" customHeight="1">
      <c r="DG5902" s="52"/>
      <c r="DH5902" s="52"/>
    </row>
    <row r="5903" ht="15.75" customHeight="1">
      <c r="DG5903" s="52"/>
      <c r="DH5903" s="52"/>
    </row>
    <row r="5904" ht="15.75" customHeight="1">
      <c r="DG5904" s="52"/>
      <c r="DH5904" s="52"/>
    </row>
    <row r="5905" ht="15.75" customHeight="1">
      <c r="DG5905" s="52"/>
      <c r="DH5905" s="52"/>
    </row>
    <row r="5906" ht="15.75" customHeight="1">
      <c r="DG5906" s="52"/>
      <c r="DH5906" s="52"/>
    </row>
    <row r="5907" ht="15.75" customHeight="1">
      <c r="DG5907" s="52"/>
      <c r="DH5907" s="52"/>
    </row>
    <row r="5908" ht="15.75" customHeight="1">
      <c r="DG5908" s="52"/>
      <c r="DH5908" s="52"/>
    </row>
    <row r="5909" ht="15.75" customHeight="1">
      <c r="DG5909" s="52"/>
      <c r="DH5909" s="52"/>
    </row>
    <row r="5910" ht="15.75" customHeight="1">
      <c r="DG5910" s="52"/>
      <c r="DH5910" s="52"/>
    </row>
    <row r="5911" ht="15.75" customHeight="1">
      <c r="DG5911" s="52"/>
      <c r="DH5911" s="52"/>
    </row>
    <row r="5912" ht="15.75" customHeight="1">
      <c r="DG5912" s="52"/>
      <c r="DH5912" s="52"/>
    </row>
    <row r="5913" ht="15.75" customHeight="1">
      <c r="DG5913" s="52"/>
      <c r="DH5913" s="52"/>
    </row>
    <row r="5914" ht="15.75" customHeight="1">
      <c r="DG5914" s="52"/>
      <c r="DH5914" s="52"/>
    </row>
    <row r="5915" ht="15.75" customHeight="1">
      <c r="DG5915" s="52"/>
      <c r="DH5915" s="52"/>
    </row>
    <row r="5916" ht="15.75" customHeight="1">
      <c r="DG5916" s="52"/>
      <c r="DH5916" s="52"/>
    </row>
    <row r="5917" ht="15.75" customHeight="1">
      <c r="DG5917" s="52"/>
      <c r="DH5917" s="52"/>
    </row>
    <row r="5918" ht="15.75" customHeight="1">
      <c r="DG5918" s="52"/>
      <c r="DH5918" s="52"/>
    </row>
    <row r="5919" ht="15.75" customHeight="1">
      <c r="DG5919" s="52"/>
      <c r="DH5919" s="52"/>
    </row>
    <row r="5920" ht="15.75" customHeight="1">
      <c r="DG5920" s="52"/>
      <c r="DH5920" s="52"/>
    </row>
    <row r="5921" ht="15.75" customHeight="1">
      <c r="DG5921" s="52"/>
      <c r="DH5921" s="52"/>
    </row>
    <row r="5922" ht="15.75" customHeight="1">
      <c r="DG5922" s="52"/>
      <c r="DH5922" s="52"/>
    </row>
    <row r="5923" ht="15.75" customHeight="1">
      <c r="DG5923" s="52"/>
      <c r="DH5923" s="52"/>
    </row>
    <row r="5924" ht="15.75" customHeight="1">
      <c r="DG5924" s="52"/>
      <c r="DH5924" s="52"/>
    </row>
    <row r="5925" ht="15.75" customHeight="1">
      <c r="DG5925" s="52"/>
      <c r="DH5925" s="52"/>
    </row>
    <row r="5926" ht="15.75" customHeight="1">
      <c r="DG5926" s="52"/>
      <c r="DH5926" s="52"/>
    </row>
    <row r="5927" ht="15.75" customHeight="1">
      <c r="DG5927" s="52"/>
      <c r="DH5927" s="52"/>
    </row>
    <row r="5928" ht="15.75" customHeight="1">
      <c r="DG5928" s="52"/>
      <c r="DH5928" s="52"/>
    </row>
    <row r="5929" ht="15.75" customHeight="1">
      <c r="DG5929" s="52"/>
      <c r="DH5929" s="52"/>
    </row>
    <row r="5930" ht="15.75" customHeight="1">
      <c r="DG5930" s="52"/>
      <c r="DH5930" s="52"/>
    </row>
    <row r="5931" ht="15.75" customHeight="1">
      <c r="DG5931" s="52"/>
      <c r="DH5931" s="52"/>
    </row>
    <row r="5932" ht="15.75" customHeight="1">
      <c r="DG5932" s="52"/>
      <c r="DH5932" s="52"/>
    </row>
    <row r="5933" ht="15.75" customHeight="1">
      <c r="DG5933" s="52"/>
      <c r="DH5933" s="52"/>
    </row>
    <row r="5934" ht="15.75" customHeight="1">
      <c r="DG5934" s="52"/>
      <c r="DH5934" s="52"/>
    </row>
    <row r="5935" ht="15.75" customHeight="1">
      <c r="DG5935" s="52"/>
      <c r="DH5935" s="52"/>
    </row>
    <row r="5936" ht="15.75" customHeight="1">
      <c r="DG5936" s="52"/>
      <c r="DH5936" s="52"/>
    </row>
    <row r="5937" ht="15.75" customHeight="1">
      <c r="DG5937" s="52"/>
      <c r="DH5937" s="52"/>
    </row>
    <row r="5938" ht="15.75" customHeight="1">
      <c r="DG5938" s="52"/>
      <c r="DH5938" s="52"/>
    </row>
    <row r="5939" ht="15.75" customHeight="1">
      <c r="DG5939" s="52"/>
      <c r="DH5939" s="52"/>
    </row>
    <row r="5940" ht="15.75" customHeight="1">
      <c r="DG5940" s="52"/>
      <c r="DH5940" s="52"/>
    </row>
    <row r="5941" ht="15.75" customHeight="1">
      <c r="DG5941" s="52"/>
      <c r="DH5941" s="52"/>
    </row>
    <row r="5942" ht="15.75" customHeight="1">
      <c r="DG5942" s="52"/>
      <c r="DH5942" s="52"/>
    </row>
    <row r="5943" ht="15.75" customHeight="1">
      <c r="DG5943" s="52"/>
      <c r="DH5943" s="52"/>
    </row>
    <row r="5944" ht="15.75" customHeight="1">
      <c r="DG5944" s="52"/>
      <c r="DH5944" s="52"/>
    </row>
    <row r="5945" ht="15.75" customHeight="1">
      <c r="DG5945" s="52"/>
      <c r="DH5945" s="52"/>
    </row>
    <row r="5946" ht="15.75" customHeight="1">
      <c r="DG5946" s="52"/>
      <c r="DH5946" s="52"/>
    </row>
    <row r="5947" ht="15.75" customHeight="1">
      <c r="DG5947" s="52"/>
      <c r="DH5947" s="52"/>
    </row>
    <row r="5948" ht="15.75" customHeight="1">
      <c r="DG5948" s="52"/>
      <c r="DH5948" s="52"/>
    </row>
    <row r="5949" ht="15.75" customHeight="1">
      <c r="DG5949" s="52"/>
      <c r="DH5949" s="52"/>
    </row>
    <row r="5950" ht="15.75" customHeight="1">
      <c r="DG5950" s="52"/>
      <c r="DH5950" s="52"/>
    </row>
    <row r="5951" ht="15.75" customHeight="1">
      <c r="DG5951" s="52"/>
      <c r="DH5951" s="52"/>
    </row>
    <row r="5952" ht="15.75" customHeight="1">
      <c r="DG5952" s="52"/>
      <c r="DH5952" s="52"/>
    </row>
    <row r="5953" ht="15.75" customHeight="1">
      <c r="DG5953" s="52"/>
      <c r="DH5953" s="52"/>
    </row>
    <row r="5954" ht="15.75" customHeight="1">
      <c r="DG5954" s="52"/>
      <c r="DH5954" s="52"/>
    </row>
    <row r="5955" ht="15.75" customHeight="1">
      <c r="DG5955" s="52"/>
      <c r="DH5955" s="52"/>
    </row>
    <row r="5956" ht="15.75" customHeight="1">
      <c r="DG5956" s="52"/>
      <c r="DH5956" s="52"/>
    </row>
    <row r="5957" ht="15.75" customHeight="1">
      <c r="DG5957" s="52"/>
      <c r="DH5957" s="52"/>
    </row>
    <row r="5958" ht="15.75" customHeight="1">
      <c r="DG5958" s="52"/>
      <c r="DH5958" s="52"/>
    </row>
    <row r="5959" ht="15.75" customHeight="1">
      <c r="DG5959" s="52"/>
      <c r="DH5959" s="52"/>
    </row>
    <row r="5960" ht="15.75" customHeight="1">
      <c r="DG5960" s="52"/>
      <c r="DH5960" s="52"/>
    </row>
    <row r="5961" ht="15.75" customHeight="1">
      <c r="DG5961" s="52"/>
      <c r="DH5961" s="52"/>
    </row>
    <row r="5962" ht="15.75" customHeight="1">
      <c r="DG5962" s="52"/>
      <c r="DH5962" s="52"/>
    </row>
    <row r="5963" ht="15.75" customHeight="1">
      <c r="DG5963" s="52"/>
      <c r="DH5963" s="52"/>
    </row>
    <row r="5964" ht="15.75" customHeight="1">
      <c r="DG5964" s="52"/>
      <c r="DH5964" s="52"/>
    </row>
    <row r="5965" ht="15.75" customHeight="1">
      <c r="DG5965" s="52"/>
      <c r="DH5965" s="52"/>
    </row>
    <row r="5966" ht="15.75" customHeight="1">
      <c r="DG5966" s="52"/>
      <c r="DH5966" s="52"/>
    </row>
    <row r="5967" ht="15.75" customHeight="1">
      <c r="DG5967" s="52"/>
      <c r="DH5967" s="52"/>
    </row>
    <row r="5968" ht="15.75" customHeight="1">
      <c r="DG5968" s="52"/>
      <c r="DH5968" s="52"/>
    </row>
    <row r="5969" ht="15.75" customHeight="1">
      <c r="DG5969" s="52"/>
      <c r="DH5969" s="52"/>
    </row>
    <row r="5970" ht="15.75" customHeight="1">
      <c r="DG5970" s="52"/>
      <c r="DH5970" s="52"/>
    </row>
    <row r="5971" ht="15.75" customHeight="1">
      <c r="DG5971" s="52"/>
      <c r="DH5971" s="52"/>
    </row>
    <row r="5972" ht="15.75" customHeight="1">
      <c r="DG5972" s="52"/>
      <c r="DH5972" s="52"/>
    </row>
    <row r="5973" ht="15.75" customHeight="1">
      <c r="DG5973" s="52"/>
      <c r="DH5973" s="52"/>
    </row>
    <row r="5974" ht="15.75" customHeight="1">
      <c r="DG5974" s="52"/>
      <c r="DH5974" s="52"/>
    </row>
    <row r="5975" ht="15.75" customHeight="1">
      <c r="DG5975" s="52"/>
      <c r="DH5975" s="52"/>
    </row>
    <row r="5976" ht="15.75" customHeight="1">
      <c r="DG5976" s="52"/>
      <c r="DH5976" s="52"/>
    </row>
    <row r="5977" ht="15.75" customHeight="1">
      <c r="DG5977" s="52"/>
      <c r="DH5977" s="52"/>
    </row>
    <row r="5978" ht="15.75" customHeight="1">
      <c r="DG5978" s="52"/>
      <c r="DH5978" s="52"/>
    </row>
    <row r="5979" ht="15.75" customHeight="1">
      <c r="DG5979" s="52"/>
      <c r="DH5979" s="52"/>
    </row>
    <row r="5980" ht="15.75" customHeight="1">
      <c r="DG5980" s="52"/>
      <c r="DH5980" s="52"/>
    </row>
    <row r="5981" ht="15.75" customHeight="1">
      <c r="DG5981" s="52"/>
      <c r="DH5981" s="52"/>
    </row>
    <row r="5982" ht="15.75" customHeight="1">
      <c r="DG5982" s="52"/>
      <c r="DH5982" s="52"/>
    </row>
    <row r="5983" ht="15.75" customHeight="1">
      <c r="DG5983" s="52"/>
      <c r="DH5983" s="52"/>
    </row>
    <row r="5984" ht="15.75" customHeight="1">
      <c r="DG5984" s="52"/>
      <c r="DH5984" s="52"/>
    </row>
    <row r="5985" ht="15.75" customHeight="1">
      <c r="DG5985" s="52"/>
      <c r="DH5985" s="52"/>
    </row>
    <row r="5986" ht="15.75" customHeight="1">
      <c r="DG5986" s="52"/>
      <c r="DH5986" s="52"/>
    </row>
    <row r="5987" ht="15.75" customHeight="1">
      <c r="DG5987" s="52"/>
      <c r="DH5987" s="52"/>
    </row>
    <row r="5988" ht="15.75" customHeight="1">
      <c r="DG5988" s="52"/>
      <c r="DH5988" s="52"/>
    </row>
    <row r="5989" ht="15.75" customHeight="1">
      <c r="DG5989" s="52"/>
      <c r="DH5989" s="52"/>
    </row>
    <row r="5990" ht="15.75" customHeight="1">
      <c r="DG5990" s="52"/>
      <c r="DH5990" s="52"/>
    </row>
    <row r="5991" ht="15.75" customHeight="1">
      <c r="DG5991" s="52"/>
      <c r="DH5991" s="52"/>
    </row>
    <row r="5992" ht="15.75" customHeight="1">
      <c r="DG5992" s="52"/>
      <c r="DH5992" s="52"/>
    </row>
    <row r="5993" ht="15.75" customHeight="1">
      <c r="DG5993" s="52"/>
      <c r="DH5993" s="52"/>
    </row>
    <row r="5994" ht="15.75" customHeight="1">
      <c r="DG5994" s="52"/>
      <c r="DH5994" s="52"/>
    </row>
    <row r="5995" ht="15.75" customHeight="1">
      <c r="DG5995" s="52"/>
      <c r="DH5995" s="52"/>
    </row>
    <row r="5996" ht="15.75" customHeight="1">
      <c r="DG5996" s="52"/>
      <c r="DH5996" s="52"/>
    </row>
    <row r="5997" ht="15.75" customHeight="1">
      <c r="DG5997" s="52"/>
      <c r="DH5997" s="52"/>
    </row>
    <row r="5998" ht="15.75" customHeight="1">
      <c r="DG5998" s="52"/>
      <c r="DH5998" s="52"/>
    </row>
    <row r="5999" ht="15.75" customHeight="1">
      <c r="DG5999" s="52"/>
      <c r="DH5999" s="52"/>
    </row>
    <row r="6000" ht="15.75" customHeight="1">
      <c r="DG6000" s="52"/>
      <c r="DH6000" s="52"/>
    </row>
    <row r="6001" ht="15.75" customHeight="1">
      <c r="DG6001" s="52"/>
      <c r="DH6001" s="52"/>
    </row>
    <row r="6002" ht="15.75" customHeight="1">
      <c r="DG6002" s="52"/>
      <c r="DH6002" s="52"/>
    </row>
    <row r="6003" ht="15.75" customHeight="1">
      <c r="DG6003" s="52"/>
      <c r="DH6003" s="52"/>
    </row>
    <row r="6004" ht="15.75" customHeight="1">
      <c r="DG6004" s="52"/>
      <c r="DH6004" s="52"/>
    </row>
    <row r="6005" ht="15.75" customHeight="1">
      <c r="DG6005" s="52"/>
      <c r="DH6005" s="52"/>
    </row>
    <row r="6006" ht="15.75" customHeight="1">
      <c r="DG6006" s="52"/>
      <c r="DH6006" s="52"/>
    </row>
    <row r="6007" ht="15.75" customHeight="1">
      <c r="DG6007" s="52"/>
      <c r="DH6007" s="52"/>
    </row>
    <row r="6008" ht="15.75" customHeight="1">
      <c r="DG6008" s="52"/>
      <c r="DH6008" s="52"/>
    </row>
    <row r="6009" ht="15.75" customHeight="1">
      <c r="DG6009" s="52"/>
      <c r="DH6009" s="52"/>
    </row>
    <row r="6010" ht="15.75" customHeight="1">
      <c r="DG6010" s="52"/>
      <c r="DH6010" s="52"/>
    </row>
    <row r="6011" ht="15.75" customHeight="1">
      <c r="DG6011" s="52"/>
      <c r="DH6011" s="52"/>
    </row>
    <row r="6012" ht="15.75" customHeight="1">
      <c r="DG6012" s="52"/>
      <c r="DH6012" s="52"/>
    </row>
    <row r="6013" ht="15.75" customHeight="1">
      <c r="DG6013" s="52"/>
      <c r="DH6013" s="52"/>
    </row>
    <row r="6014" ht="15.75" customHeight="1">
      <c r="DG6014" s="52"/>
      <c r="DH6014" s="52"/>
    </row>
    <row r="6015" ht="15.75" customHeight="1">
      <c r="DG6015" s="52"/>
      <c r="DH6015" s="52"/>
    </row>
    <row r="6016" ht="15.75" customHeight="1">
      <c r="DG6016" s="52"/>
      <c r="DH6016" s="52"/>
    </row>
    <row r="6017" ht="15.75" customHeight="1">
      <c r="DG6017" s="52"/>
      <c r="DH6017" s="52"/>
    </row>
    <row r="6018" ht="15.75" customHeight="1">
      <c r="DG6018" s="52"/>
      <c r="DH6018" s="52"/>
    </row>
    <row r="6019" ht="15.75" customHeight="1">
      <c r="DG6019" s="52"/>
      <c r="DH6019" s="52"/>
    </row>
    <row r="6020" ht="15.75" customHeight="1">
      <c r="DG6020" s="52"/>
      <c r="DH6020" s="52"/>
    </row>
    <row r="6021" ht="15.75" customHeight="1">
      <c r="DG6021" s="52"/>
      <c r="DH6021" s="52"/>
    </row>
    <row r="6022" ht="15.75" customHeight="1">
      <c r="DG6022" s="52"/>
      <c r="DH6022" s="52"/>
    </row>
    <row r="6023" ht="15.75" customHeight="1">
      <c r="DG6023" s="52"/>
      <c r="DH6023" s="52"/>
    </row>
    <row r="6024" ht="15.75" customHeight="1">
      <c r="DG6024" s="52"/>
      <c r="DH6024" s="52"/>
    </row>
    <row r="6025" ht="15.75" customHeight="1">
      <c r="DG6025" s="52"/>
      <c r="DH6025" s="52"/>
    </row>
    <row r="6026" ht="15.75" customHeight="1">
      <c r="DG6026" s="52"/>
      <c r="DH6026" s="52"/>
    </row>
    <row r="6027" ht="15.75" customHeight="1">
      <c r="DG6027" s="52"/>
      <c r="DH6027" s="52"/>
    </row>
    <row r="6028" ht="15.75" customHeight="1">
      <c r="DG6028" s="52"/>
      <c r="DH6028" s="52"/>
    </row>
    <row r="6029" ht="15.75" customHeight="1">
      <c r="DG6029" s="52"/>
      <c r="DH6029" s="52"/>
    </row>
    <row r="6030" ht="15.75" customHeight="1">
      <c r="DG6030" s="52"/>
      <c r="DH6030" s="52"/>
    </row>
    <row r="6031" ht="15.75" customHeight="1">
      <c r="DG6031" s="52"/>
      <c r="DH6031" s="52"/>
    </row>
    <row r="6032" ht="15.75" customHeight="1">
      <c r="DG6032" s="52"/>
      <c r="DH6032" s="52"/>
    </row>
    <row r="6033" ht="15.75" customHeight="1">
      <c r="DG6033" s="52"/>
      <c r="DH6033" s="52"/>
    </row>
    <row r="6034" ht="15.75" customHeight="1">
      <c r="DG6034" s="52"/>
      <c r="DH6034" s="52"/>
    </row>
    <row r="6035" ht="15.75" customHeight="1">
      <c r="DG6035" s="52"/>
      <c r="DH6035" s="52"/>
    </row>
    <row r="6036" ht="15.75" customHeight="1">
      <c r="DG6036" s="52"/>
      <c r="DH6036" s="52"/>
    </row>
    <row r="6037" ht="15.75" customHeight="1">
      <c r="DG6037" s="52"/>
      <c r="DH6037" s="52"/>
    </row>
    <row r="6038" ht="15.75" customHeight="1">
      <c r="DG6038" s="52"/>
      <c r="DH6038" s="52"/>
    </row>
    <row r="6039" ht="15.75" customHeight="1"/>
    <row r="6040" ht="15.75" customHeight="1"/>
    <row r="6041" ht="15.75" customHeight="1"/>
    <row r="6042" ht="15.75" customHeight="1"/>
    <row r="6043" ht="15.75" customHeight="1">
      <c r="G6043" s="52"/>
      <c r="M6043" s="52"/>
      <c r="N6043" s="52"/>
      <c r="U6043" s="52"/>
      <c r="Y6043" s="52"/>
      <c r="Z6043" s="52"/>
      <c r="AA6043" s="52"/>
      <c r="AR6043" s="52"/>
      <c r="AS6043" s="52"/>
      <c r="AT6043" s="52"/>
      <c r="CV6043" s="52"/>
    </row>
    <row r="6044" ht="15.75" customHeight="1">
      <c r="G6044" s="52"/>
      <c r="L6044" s="52"/>
      <c r="M6044" s="52"/>
      <c r="N6044" s="52"/>
      <c r="U6044" s="52"/>
      <c r="Y6044" s="52"/>
      <c r="Z6044" s="52"/>
      <c r="AA6044" s="52"/>
      <c r="AR6044" s="52"/>
      <c r="AS6044" s="52"/>
      <c r="AT6044" s="52"/>
      <c r="CU6044" s="52"/>
    </row>
    <row r="6045" ht="15.75" customHeight="1">
      <c r="G6045" s="52"/>
      <c r="M6045" s="52"/>
      <c r="N6045" s="52"/>
      <c r="U6045" s="52"/>
      <c r="Y6045" s="52"/>
      <c r="Z6045" s="52"/>
      <c r="AA6045" s="52"/>
      <c r="AR6045" s="52"/>
      <c r="AS6045" s="52"/>
      <c r="AT6045" s="52"/>
      <c r="CV6045" s="52"/>
    </row>
    <row r="6046" ht="15.75" customHeight="1">
      <c r="G6046" s="52"/>
      <c r="L6046" s="52"/>
      <c r="M6046" s="52"/>
      <c r="N6046" s="52"/>
      <c r="U6046" s="52"/>
      <c r="Y6046" s="52"/>
      <c r="Z6046" s="52"/>
      <c r="AA6046" s="52"/>
      <c r="AR6046" s="52"/>
      <c r="AS6046" s="52"/>
      <c r="AT6046" s="52"/>
      <c r="CU6046" s="52"/>
    </row>
    <row r="6047" ht="15.75" customHeight="1">
      <c r="G6047" s="52"/>
      <c r="M6047" s="52"/>
      <c r="N6047" s="52"/>
      <c r="U6047" s="52"/>
      <c r="Y6047" s="52"/>
      <c r="Z6047" s="52"/>
      <c r="AA6047" s="52"/>
      <c r="AR6047" s="52"/>
      <c r="AS6047" s="52"/>
      <c r="AT6047" s="52"/>
      <c r="CV6047" s="52"/>
    </row>
    <row r="6048" ht="15.75" customHeight="1">
      <c r="G6048" s="52"/>
      <c r="L6048" s="52"/>
      <c r="M6048" s="52"/>
      <c r="N6048" s="52"/>
      <c r="U6048" s="52"/>
      <c r="Y6048" s="52"/>
      <c r="Z6048" s="52"/>
      <c r="AA6048" s="52"/>
      <c r="AR6048" s="52"/>
      <c r="AS6048" s="52"/>
      <c r="AT6048" s="52"/>
      <c r="CU6048" s="52"/>
    </row>
    <row r="6049" ht="15.75" customHeight="1">
      <c r="G6049" s="52"/>
      <c r="L6049" s="52"/>
      <c r="M6049" s="52"/>
      <c r="N6049" s="52"/>
      <c r="U6049" s="52"/>
      <c r="Y6049" s="52"/>
      <c r="Z6049" s="52"/>
      <c r="AA6049" s="52"/>
      <c r="AR6049" s="52"/>
      <c r="AS6049" s="52"/>
      <c r="AT6049" s="52"/>
      <c r="CU6049" s="52"/>
    </row>
    <row r="6050" ht="15.75" customHeight="1">
      <c r="G6050" s="52"/>
      <c r="M6050" s="52"/>
      <c r="N6050" s="52"/>
      <c r="U6050" s="52"/>
      <c r="Y6050" s="52"/>
      <c r="Z6050" s="52"/>
      <c r="AA6050" s="52"/>
      <c r="AR6050" s="52"/>
      <c r="AS6050" s="52"/>
      <c r="AT6050" s="52"/>
      <c r="CV6050" s="52"/>
    </row>
    <row r="6051" ht="15.75" customHeight="1">
      <c r="G6051" s="52"/>
      <c r="M6051" s="52"/>
      <c r="N6051" s="52"/>
      <c r="U6051" s="52"/>
      <c r="Y6051" s="52"/>
      <c r="Z6051" s="52"/>
      <c r="AA6051" s="52"/>
      <c r="AR6051" s="52"/>
      <c r="AS6051" s="52"/>
      <c r="AT6051" s="52"/>
      <c r="CV6051" s="52"/>
    </row>
    <row r="6052" ht="15.75" customHeight="1">
      <c r="G6052" s="52"/>
      <c r="M6052" s="52"/>
      <c r="N6052" s="52"/>
      <c r="U6052" s="52"/>
      <c r="Y6052" s="52"/>
      <c r="Z6052" s="52"/>
      <c r="AA6052" s="52"/>
      <c r="AR6052" s="52"/>
      <c r="AS6052" s="52"/>
      <c r="AT6052" s="52"/>
      <c r="CV6052" s="52"/>
    </row>
    <row r="6053" ht="15.75" customHeight="1">
      <c r="G6053" s="52"/>
      <c r="L6053" s="52"/>
      <c r="M6053" s="52"/>
      <c r="N6053" s="52"/>
      <c r="U6053" s="52"/>
      <c r="Y6053" s="52"/>
      <c r="Z6053" s="52"/>
      <c r="AA6053" s="52"/>
      <c r="AR6053" s="52"/>
      <c r="AS6053" s="52"/>
      <c r="AT6053" s="52"/>
      <c r="CU6053" s="52"/>
    </row>
    <row r="6054" ht="15.75" customHeight="1">
      <c r="G6054" s="52"/>
      <c r="L6054" s="52"/>
      <c r="M6054" s="52"/>
      <c r="N6054" s="52"/>
      <c r="U6054" s="52"/>
      <c r="Y6054" s="52"/>
      <c r="Z6054" s="52"/>
      <c r="AA6054" s="52"/>
      <c r="AR6054" s="52"/>
      <c r="AS6054" s="52"/>
      <c r="AT6054" s="52"/>
      <c r="CU6054" s="52"/>
    </row>
    <row r="6055" ht="15.75" customHeight="1">
      <c r="G6055" s="52"/>
      <c r="L6055" s="52"/>
      <c r="M6055" s="52"/>
      <c r="N6055" s="52"/>
      <c r="U6055" s="52"/>
      <c r="Y6055" s="52"/>
      <c r="Z6055" s="52"/>
      <c r="AA6055" s="52"/>
      <c r="AR6055" s="52"/>
      <c r="AS6055" s="52"/>
      <c r="AT6055" s="52"/>
      <c r="CU6055" s="52"/>
    </row>
    <row r="6056" ht="15.75" customHeight="1">
      <c r="G6056" s="52"/>
      <c r="M6056" s="52"/>
      <c r="N6056" s="52"/>
      <c r="U6056" s="52"/>
      <c r="Y6056" s="52"/>
      <c r="Z6056" s="52"/>
      <c r="AA6056" s="52"/>
      <c r="AR6056" s="52"/>
      <c r="AS6056" s="52"/>
      <c r="AT6056" s="52"/>
      <c r="CV6056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19" width="9.0"/>
    <col customWidth="1" min="20" max="23" width="8.38"/>
    <col customWidth="1" min="24" max="28" width="9.38"/>
    <col customWidth="1" min="29" max="29" width="12.38"/>
    <col customWidth="1" min="30" max="30" width="11.75"/>
    <col customWidth="1" min="31" max="33" width="8.5"/>
    <col customWidth="1" min="34" max="34" width="12.75"/>
    <col customWidth="1" min="35" max="35" width="14.0"/>
    <col customWidth="1" min="36" max="36" width="12.13"/>
    <col customWidth="1" min="37" max="37" width="12.0"/>
    <col customWidth="1" min="38" max="38" width="15.25"/>
    <col customWidth="1" min="39" max="39" width="13.5"/>
    <col customWidth="1" min="40" max="40" width="12.5"/>
    <col customWidth="1" min="41" max="42" width="12.75"/>
    <col customWidth="1" min="43" max="47" width="14.25"/>
  </cols>
  <sheetData>
    <row r="1" ht="15.75" customHeight="1">
      <c r="A1" s="53" t="s">
        <v>482</v>
      </c>
      <c r="B1" s="54"/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61805534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 t="str">
        <f t="shared" ref="J4:J10" si="1">AJ19</f>
        <v>#N/A</v>
      </c>
      <c r="K4" s="63">
        <v>2016.0</v>
      </c>
      <c r="L4" s="68" t="str">
        <f t="shared" ref="L4:L10" si="2">AJ27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 t="str">
        <f t="shared" si="1"/>
        <v>#N/A</v>
      </c>
      <c r="K5" s="63">
        <v>2017.0</v>
      </c>
      <c r="L5" s="68" t="str">
        <f t="shared" si="2"/>
        <v>#N/A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72">
        <f>'Prefecture Summary 2015-2023'!C$19</f>
        <v>50116708</v>
      </c>
      <c r="C6" s="73">
        <f t="shared" ref="C6:C10" si="3">B6/$B$11</f>
        <v>0.8108773561</v>
      </c>
      <c r="D6" s="74">
        <f t="shared" ref="D6:D10" si="4">COUNTIFS(INDIRECT("'" &amp; $B$16 &amp; "'!" &amp; $B$17 &amp; ":" &amp; $B$17),A6,INDIRECT("'" &amp; $B$16 &amp; "'!" &amp; $B$12 &amp; ":" &amp; $B$12), "*" &amp; $B$4 &amp; "*")</f>
        <v>3</v>
      </c>
      <c r="E6" s="75"/>
      <c r="F6" s="76"/>
      <c r="G6" s="77"/>
      <c r="I6" s="63">
        <v>2018.0</v>
      </c>
      <c r="J6" s="68" t="str">
        <f t="shared" si="1"/>
        <v>#N/A</v>
      </c>
      <c r="K6" s="63">
        <v>2018.0</v>
      </c>
      <c r="L6" s="68" t="str">
        <f t="shared" si="2"/>
        <v>#N/A</v>
      </c>
      <c r="AC6" s="56"/>
      <c r="AD6" s="56"/>
      <c r="AE6" s="56"/>
      <c r="AF6" s="56"/>
      <c r="AG6" s="56"/>
    </row>
    <row r="7" ht="15.75" customHeight="1">
      <c r="A7" s="71">
        <v>2.0</v>
      </c>
      <c r="B7" s="72">
        <f>'Prefecture Summary 2015-2023'!D$19</f>
        <v>5225079</v>
      </c>
      <c r="C7" s="73">
        <f t="shared" si="3"/>
        <v>0.08454063353</v>
      </c>
      <c r="D7" s="74">
        <f t="shared" si="4"/>
        <v>0</v>
      </c>
      <c r="E7" s="75"/>
      <c r="F7" s="76"/>
      <c r="G7" s="77"/>
      <c r="I7" s="63">
        <v>2019.0</v>
      </c>
      <c r="J7" s="68" t="str">
        <f t="shared" si="1"/>
        <v>#N/A</v>
      </c>
      <c r="K7" s="63">
        <v>2019.0</v>
      </c>
      <c r="L7" s="68" t="str">
        <f t="shared" si="2"/>
        <v>#N/A</v>
      </c>
      <c r="AC7" s="56"/>
      <c r="AD7" s="56"/>
      <c r="AE7" s="56"/>
      <c r="AF7" s="56"/>
      <c r="AG7" s="56"/>
    </row>
    <row r="8" ht="15.75" customHeight="1">
      <c r="A8" s="71">
        <v>3.0</v>
      </c>
      <c r="B8" s="72">
        <f>'Prefecture Summary 2015-2023'!E$19</f>
        <v>3936262</v>
      </c>
      <c r="C8" s="73">
        <f t="shared" si="3"/>
        <v>0.06368785682</v>
      </c>
      <c r="D8" s="74">
        <f t="shared" si="4"/>
        <v>0</v>
      </c>
      <c r="E8" s="75"/>
      <c r="F8" s="76"/>
      <c r="G8" s="77"/>
      <c r="I8" s="63">
        <v>2020.0</v>
      </c>
      <c r="J8" s="68" t="str">
        <f t="shared" si="1"/>
        <v>#N/A</v>
      </c>
      <c r="K8" s="63">
        <v>2020.0</v>
      </c>
      <c r="L8" s="68" t="str">
        <f t="shared" si="2"/>
        <v>#N/A</v>
      </c>
      <c r="AC8" s="56"/>
      <c r="AD8" s="56"/>
      <c r="AE8" s="56"/>
      <c r="AF8" s="56"/>
      <c r="AG8" s="56"/>
    </row>
    <row r="9" ht="15.75" customHeight="1">
      <c r="A9" s="71">
        <v>4.0</v>
      </c>
      <c r="B9" s="72">
        <f>'Prefecture Summary 2015-2023'!F$19</f>
        <v>1904772</v>
      </c>
      <c r="C9" s="73">
        <f t="shared" si="3"/>
        <v>0.03081879367</v>
      </c>
      <c r="D9" s="74">
        <f t="shared" si="4"/>
        <v>0</v>
      </c>
      <c r="E9" s="75"/>
      <c r="F9" s="76"/>
      <c r="G9" s="77"/>
      <c r="I9" s="63">
        <v>2021.0</v>
      </c>
      <c r="J9" s="68" t="str">
        <f t="shared" si="1"/>
        <v>#N/A</v>
      </c>
      <c r="K9" s="63">
        <v>2021.0</v>
      </c>
      <c r="L9" s="68" t="str">
        <f t="shared" si="2"/>
        <v>#N/A</v>
      </c>
      <c r="AC9" s="56"/>
      <c r="AD9" s="56"/>
      <c r="AE9" s="56"/>
      <c r="AF9" s="56"/>
      <c r="AG9" s="56"/>
    </row>
    <row r="10" ht="15.75" customHeight="1">
      <c r="A10" s="71">
        <v>5.0</v>
      </c>
      <c r="B10" s="72">
        <f>'Prefecture Summary 2015-2023'!G$19</f>
        <v>622713</v>
      </c>
      <c r="C10" s="73">
        <f t="shared" si="3"/>
        <v>0.01007535992</v>
      </c>
      <c r="D10" s="74">
        <f t="shared" si="4"/>
        <v>0</v>
      </c>
      <c r="E10" s="75"/>
      <c r="F10" s="76"/>
      <c r="G10" s="77"/>
      <c r="I10" s="63">
        <v>2022.0</v>
      </c>
      <c r="J10" s="68" t="str">
        <f t="shared" si="1"/>
        <v>#N/A</v>
      </c>
      <c r="K10" s="63">
        <v>2022.0</v>
      </c>
      <c r="L10" s="68" t="str">
        <f t="shared" si="2"/>
        <v>#N/A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61805534</v>
      </c>
      <c r="C11" s="79">
        <f t="shared" si="5"/>
        <v>1</v>
      </c>
      <c r="D11" s="79">
        <f t="shared" si="5"/>
        <v>3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82" t="s">
        <v>247</v>
      </c>
      <c r="B12" s="83" t="str">
        <f t="array" ref="B12">IFERROR("$" &amp; SUBSTITUTE(ADDRESS(1, MATCH(A12, INDIRECT("'" &amp; $B$16 &amp; "'!1:1"), 0), 4), "1", ""), "Not Found")
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29"/>
      <c r="B13" s="85"/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87" t="s">
        <v>493</v>
      </c>
      <c r="B14" s="88">
        <v>1.645</v>
      </c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85"/>
      <c r="B15" s="29"/>
      <c r="M15" s="52"/>
      <c r="N15" s="52"/>
      <c r="O15" s="52"/>
      <c r="AC15" s="56"/>
      <c r="AD15" s="56"/>
      <c r="AE15" s="56"/>
      <c r="AF15" s="56"/>
      <c r="AG15" s="56"/>
    </row>
    <row r="16" ht="15.75" customHeight="1">
      <c r="A16" s="89" t="s">
        <v>8</v>
      </c>
      <c r="B16" s="90" t="s">
        <v>27</v>
      </c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91" t="s">
        <v>163</v>
      </c>
      <c r="B17" s="92" t="str">
        <f t="shared" ref="B17:B25" si="6">IFERROR("$" &amp; SUBSTITUTE(ADDRESS(1, MATCH(A17, INDIRECT("'" &amp; $B$16 &amp; "'!1:1"), 0), 4), "1", ""), "Not Found")
</f>
        <v>$C</v>
      </c>
      <c r="C17" s="93" t="s">
        <v>494</v>
      </c>
      <c r="D17" s="65"/>
      <c r="E17" s="65"/>
      <c r="F17" s="65"/>
      <c r="G17" s="65"/>
      <c r="H17" s="66"/>
      <c r="I17" s="94" t="s">
        <v>495</v>
      </c>
      <c r="J17" s="95"/>
      <c r="K17" s="95"/>
      <c r="L17" s="95"/>
      <c r="M17" s="96"/>
      <c r="N17" s="97" t="s">
        <v>496</v>
      </c>
      <c r="O17" s="65"/>
      <c r="P17" s="65"/>
      <c r="Q17" s="65"/>
      <c r="R17" s="66"/>
      <c r="S17" s="98" t="s">
        <v>497</v>
      </c>
      <c r="T17" s="65"/>
      <c r="U17" s="65"/>
      <c r="V17" s="65"/>
      <c r="W17" s="65"/>
      <c r="X17" s="98" t="s">
        <v>498</v>
      </c>
      <c r="Y17" s="65"/>
      <c r="Z17" s="65"/>
      <c r="AA17" s="65"/>
      <c r="AB17" s="65"/>
      <c r="AC17" s="98" t="s">
        <v>499</v>
      </c>
      <c r="AD17" s="65"/>
      <c r="AE17" s="65"/>
      <c r="AF17" s="65"/>
      <c r="AG17" s="66"/>
    </row>
    <row r="18" ht="15.75" customHeight="1">
      <c r="A18" s="89" t="s">
        <v>464</v>
      </c>
      <c r="B18" s="92" t="str">
        <f t="shared" si="6"/>
        <v>$DD</v>
      </c>
      <c r="C18" s="63">
        <v>1.0</v>
      </c>
      <c r="D18" s="59">
        <v>2.0</v>
      </c>
      <c r="E18" s="63">
        <v>3.0</v>
      </c>
      <c r="F18" s="63">
        <v>4.0</v>
      </c>
      <c r="G18" s="63">
        <v>5.0</v>
      </c>
      <c r="H18" s="63" t="s">
        <v>500</v>
      </c>
      <c r="I18" s="63">
        <v>1.0</v>
      </c>
      <c r="J18" s="63">
        <v>2.0</v>
      </c>
      <c r="K18" s="63">
        <v>3.0</v>
      </c>
      <c r="L18" s="63">
        <v>4.0</v>
      </c>
      <c r="M18" s="63">
        <v>5.0</v>
      </c>
      <c r="N18" s="63">
        <v>1.0</v>
      </c>
      <c r="O18" s="63">
        <v>2.0</v>
      </c>
      <c r="P18" s="63">
        <v>3.0</v>
      </c>
      <c r="Q18" s="63">
        <v>4.0</v>
      </c>
      <c r="R18" s="63">
        <v>5.0</v>
      </c>
      <c r="S18" s="99">
        <v>1.0</v>
      </c>
      <c r="T18" s="99">
        <v>2.0</v>
      </c>
      <c r="U18" s="99">
        <v>3.0</v>
      </c>
      <c r="V18" s="99">
        <v>4.0</v>
      </c>
      <c r="W18" s="99">
        <v>5.0</v>
      </c>
      <c r="X18" s="100">
        <v>1.0</v>
      </c>
      <c r="Y18" s="100">
        <v>2.0</v>
      </c>
      <c r="Z18" s="100">
        <v>3.0</v>
      </c>
      <c r="AA18" s="100">
        <v>4.0</v>
      </c>
      <c r="AB18" s="100">
        <v>5.0</v>
      </c>
      <c r="AC18" s="101">
        <v>1.0</v>
      </c>
      <c r="AD18" s="101">
        <v>2.0</v>
      </c>
      <c r="AE18" s="101">
        <v>3.0</v>
      </c>
      <c r="AF18" s="101">
        <v>4.0</v>
      </c>
      <c r="AG18" s="101">
        <v>5.0</v>
      </c>
      <c r="AH18" s="97" t="s">
        <v>501</v>
      </c>
      <c r="AI18" s="97" t="s">
        <v>502</v>
      </c>
      <c r="AJ18" s="63" t="s">
        <v>503</v>
      </c>
      <c r="AK18" s="89" t="s">
        <v>504</v>
      </c>
      <c r="AL18" s="89" t="s">
        <v>505</v>
      </c>
    </row>
    <row r="19" ht="15.75" customHeight="1">
      <c r="A19" s="102" t="s">
        <v>262</v>
      </c>
      <c r="B19" s="92" t="str">
        <f t="shared" si="6"/>
        <v>$AG</v>
      </c>
      <c r="C19" s="103">
        <f t="shared" ref="C19:G19" si="7">COUNTIFS(INDIRECT("'" &amp; $B$16 &amp; "'!" &amp; $B$17 &amp; ":" &amp; $B$17),C$18,INDIRECT("'" &amp; $B$16 &amp; "'!" &amp; $B$18 &amp; ":" &amp; $B$18),$A19,INDIRECT("'" &amp; $B$16 &amp; "'!" &amp; $B$12 &amp; ":" &amp; $B$12), "*" &amp; $B$4 &amp; "*")</f>
        <v>0</v>
      </c>
      <c r="D19" s="103">
        <f t="shared" si="7"/>
        <v>0</v>
      </c>
      <c r="E19" s="103">
        <f t="shared" si="7"/>
        <v>0</v>
      </c>
      <c r="F19" s="103">
        <f t="shared" si="7"/>
        <v>0</v>
      </c>
      <c r="G19" s="103">
        <f t="shared" si="7"/>
        <v>0</v>
      </c>
      <c r="H19" s="103">
        <f t="shared" ref="H19:H25" si="9">SUM(C19:G19)</f>
        <v>0</v>
      </c>
      <c r="I19" s="104">
        <f>IFERROR(__xludf.DUMMYFUNCTION("IF($D$6=0, 0, 
    VAR.S(
        FILTER(
            INDIRECT(""'"" &amp; $B$16 &amp; ""'!"" &amp; $B19 &amp; "":"" &amp; $B19),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19" s="104">
        <f>IFERROR(__xludf.DUMMYFUNCTION("IF($D$7=0, 0, 
    VAR.S(
        FILTER(
            INDIRECT(""'"" &amp; $B$16 &amp; ""'!"" &amp; $B19 &amp; "":"" &amp; $B19),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19" s="104">
        <f>IFERROR(__xludf.DUMMYFUNCTION("IF($D$8=0, 0, 
    VAR.S(
        FILTER(
            INDIRECT(""'"" &amp; $B$16 &amp; ""'!"" &amp; $B19 &amp; "":"" &amp; $B19),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19" s="104">
        <f>IFERROR(__xludf.DUMMYFUNCTION("IF($D$9=0, 0, 
    VAR.S(
        FILTER(
            INDIRECT(""'"" &amp; $B$16 &amp; ""'!"" &amp; $B19 &amp; "":"" &amp; $B19),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19" s="104">
        <f>IFERROR(__xludf.DUMMYFUNCTION("IF($D$10=0, 0, 
    VAR.S(
        FILTER(
            INDIRECT(""'"" &amp; $B$16 &amp; ""'!"" &amp; $B19 &amp; "":"" &amp; $B19),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19" s="105">
        <f>IFERROR(__xludf.DUMMYFUNCTION("AVERAGE(
        FILTER(
            INDIRECT(""'"" &amp; $B$16 &amp; ""'!"" &amp; $B19 &amp; "":"" &amp; $B19),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19" s="105" t="str">
        <f>IFERROR(__xludf.DUMMYFUNCTION("AVERAGE(
        FILTER(
            INDIRECT(""'"" &amp; $B$16 &amp; ""'!"" &amp; $B19 &amp; "":"" &amp; $B19),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19" s="105" t="str">
        <f>IFERROR(__xludf.DUMMYFUNCTION("AVERAGE(
        FILTER(
            INDIRECT(""'"" &amp; $B$16 &amp; ""'!"" &amp; $B19 &amp; "":"" &amp; $B19),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19" s="105" t="str">
        <f>IFERROR(__xludf.DUMMYFUNCTION("AVERAGE(
        FILTER(
            INDIRECT(""'"" &amp; $B$16 &amp; ""'!"" &amp; $B19 &amp; "":"" &amp; $B19),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19" s="105" t="str">
        <f>IFERROR(__xludf.DUMMYFUNCTION("AVERAGE(
        FILTER(
            INDIRECT(""'"" &amp; $B$16 &amp; ""'!"" &amp; $B19 &amp; "":"" &amp; $B19),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19" s="106">
        <f t="shared" ref="S19:S25" si="10">($B$6^2*I19)^0.5</f>
        <v>0</v>
      </c>
      <c r="T19" s="106">
        <f t="shared" ref="T19:T25" si="11">($B$7^2*J19)^0.5</f>
        <v>0</v>
      </c>
      <c r="U19" s="106">
        <f t="shared" ref="U19:U25" si="12">($B$8^2*K19)^0.5</f>
        <v>0</v>
      </c>
      <c r="V19" s="106">
        <f t="shared" ref="V19:V25" si="13">($B$9^2*L19)^0.5</f>
        <v>0</v>
      </c>
      <c r="W19" s="106">
        <f t="shared" ref="W19:W25" si="14">($B$10^2*M19)^0.5</f>
        <v>0</v>
      </c>
      <c r="X19" s="106">
        <f t="shared" ref="X19:X25" si="15">N19*$B$6</f>
        <v>0</v>
      </c>
      <c r="Y19" s="106" t="str">
        <f t="shared" ref="Y19:Y25" si="16">O19*$B$7</f>
        <v>#N/A</v>
      </c>
      <c r="Z19" s="106" t="str">
        <f t="shared" ref="Z19:Z25" si="17">P19*$B$8</f>
        <v>#N/A</v>
      </c>
      <c r="AA19" s="106" t="str">
        <f t="shared" ref="AA19:AA25" si="18">Q19*$B$9</f>
        <v>#N/A</v>
      </c>
      <c r="AB19" s="106" t="str">
        <f t="shared" ref="AB19:AB25" si="19">R19*$B$10</f>
        <v>#N/A</v>
      </c>
      <c r="AC19" s="107">
        <f t="shared" ref="AC19:AC25" si="20">N19*$C$6</f>
        <v>0</v>
      </c>
      <c r="AD19" s="107" t="str">
        <f t="shared" ref="AD19:AD25" si="21">O19*$C$7</f>
        <v>#N/A</v>
      </c>
      <c r="AE19" s="107" t="str">
        <f t="shared" ref="AE19:AE25" si="22">P19*$C$8</f>
        <v>#N/A</v>
      </c>
      <c r="AF19" s="107" t="str">
        <f t="shared" ref="AF19:AF25" si="23">Q19*$C$9</f>
        <v>#N/A</v>
      </c>
      <c r="AG19" s="107" t="str">
        <f t="shared" ref="AG19:AG25" si="24">R19*$C$10</f>
        <v>#N/A</v>
      </c>
      <c r="AH19" s="106">
        <f t="shared" ref="AH19:AH25" si="25">(S19*S19+T19*T19+U19*U19+V19*V19+W19*W19)^0.5</f>
        <v>0</v>
      </c>
      <c r="AI19" s="106">
        <f t="shared" ref="AI19:AI25" si="26">AH19*$B$14</f>
        <v>0</v>
      </c>
      <c r="AJ19" s="108" t="str">
        <f t="shared" ref="AJ19:AJ25" si="27">SUM(X19:AB19)</f>
        <v>#N/A</v>
      </c>
      <c r="AK19" s="109">
        <f t="shared" ref="AK19:AK25" si="28">IF(AI19=0,0,AI19/AJ19)</f>
        <v>0</v>
      </c>
      <c r="AL19" s="110" t="str">
        <f t="shared" ref="AL19:AL25" si="29">AJ19/$B$2</f>
        <v>#N/A</v>
      </c>
    </row>
    <row r="20" ht="15.75" customHeight="1">
      <c r="A20" s="102" t="s">
        <v>265</v>
      </c>
      <c r="B20" s="90" t="str">
        <f t="shared" si="6"/>
        <v>$AH</v>
      </c>
      <c r="C20" s="103">
        <f t="shared" ref="C20:G20" si="8">COUNTIFS(INDIRECT("'" &amp; $B$16 &amp; "'!" &amp; $B$17 &amp; ":" &amp; $B$17),C$18,INDIRECT("'" &amp; $B$16 &amp; "'!" &amp; $B$18 &amp; ":" &amp; $B$18),$A20,INDIRECT("'" &amp; $B$16 &amp; "'!" &amp; $B$12 &amp; ":" &amp; $B$12), "*" &amp; $B$4 &amp; "*")</f>
        <v>1</v>
      </c>
      <c r="D20" s="103">
        <f t="shared" si="8"/>
        <v>0</v>
      </c>
      <c r="E20" s="103">
        <f t="shared" si="8"/>
        <v>0</v>
      </c>
      <c r="F20" s="103">
        <f t="shared" si="8"/>
        <v>0</v>
      </c>
      <c r="G20" s="103">
        <f t="shared" si="8"/>
        <v>0</v>
      </c>
      <c r="H20" s="103">
        <f t="shared" si="9"/>
        <v>1</v>
      </c>
      <c r="I20" s="104">
        <f>IFERROR(__xludf.DUMMYFUNCTION("IF($D$6=0, 0, 
    VAR.S(
        FILTER(
            INDIRECT(""'"" &amp; $B$16 &amp; ""'!"" &amp; $B20 &amp; "":"" &amp; $B20),
            (INDIRECT(""'"" &amp; $B$16 &amp; ""'!"" &amp; $B$17 &amp; "":"" &amp; $B$17) = I$18) *
            (ISNUMBER(SEARCH($B$4, INDIRECT(""'"" &amp; $B$16 &amp; ""'!"&amp;""" &amp; $B$12 &amp; "":"" &amp; $B$12))))
        )
    ) / $D$6
)
"),0.11111111111111112)</f>
        <v>0.1111111111</v>
      </c>
      <c r="J20" s="104">
        <f>IFERROR(__xludf.DUMMYFUNCTION("IF($D$7=0, 0, 
    VAR.S(
        FILTER(
            INDIRECT(""'"" &amp; $B$16 &amp; ""'!"" &amp; $B20 &amp; "":"" &amp; $B20),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0" s="104">
        <f>IFERROR(__xludf.DUMMYFUNCTION("IF($D$8=0, 0, 
    VAR.S(
        FILTER(
            INDIRECT(""'"" &amp; $B$16 &amp; ""'!"" &amp; $B20 &amp; "":"" &amp; $B20),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0" s="104">
        <f>IFERROR(__xludf.DUMMYFUNCTION("IF($D$9=0, 0, 
    VAR.S(
        FILTER(
            INDIRECT(""'"" &amp; $B$16 &amp; ""'!"" &amp; $B20 &amp; "":"" &amp; $B20),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0" s="104">
        <f>IFERROR(__xludf.DUMMYFUNCTION("IF($D$10=0, 0, 
    VAR.S(
        FILTER(
            INDIRECT(""'"" &amp; $B$16 &amp; ""'!"" &amp; $B20 &amp; "":"" &amp; $B20),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0" s="105">
        <f>IFERROR(__xludf.DUMMYFUNCTION("AVERAGE(
        FILTER(
            INDIRECT(""'"" &amp; $B$16 &amp; ""'!"" &amp; $B20 &amp; "":"" &amp; $B20),
            (INDIRECT(""'"" &amp; $B$16 &amp; ""'!"" &amp; $B$17 &amp; "":"" &amp; $B$17) = I$18) *
            (ISNUMBER(SEARCH($B$4, INDIRECT(""'"" &amp; $B$16 &amp; ""'!"" &amp; $B$12 &amp; "":"""&amp;" &amp; $B$12))))
        )
    )"),0.3333333333333333)</f>
        <v>0.3333333333</v>
      </c>
      <c r="O20" s="105" t="str">
        <f>IFERROR(__xludf.DUMMYFUNCTION("AVERAGE(
        FILTER(
            INDIRECT(""'"" &amp; $B$16 &amp; ""'!"" &amp; $B20 &amp; "":"" &amp; $B20),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0" s="105" t="str">
        <f>IFERROR(__xludf.DUMMYFUNCTION("AVERAGE(
        FILTER(
            INDIRECT(""'"" &amp; $B$16 &amp; ""'!"" &amp; $B20 &amp; "":"" &amp; $B20),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0" s="105" t="str">
        <f>IFERROR(__xludf.DUMMYFUNCTION("AVERAGE(
        FILTER(
            INDIRECT(""'"" &amp; $B$16 &amp; ""'!"" &amp; $B20 &amp; "":"" &amp; $B20),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0" s="105" t="str">
        <f>IFERROR(__xludf.DUMMYFUNCTION("AVERAGE(
        FILTER(
            INDIRECT(""'"" &amp; $B$16 &amp; ""'!"" &amp; $B20 &amp; "":"" &amp; $B20),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0" s="106">
        <f t="shared" si="10"/>
        <v>16705569.33</v>
      </c>
      <c r="T20" s="106">
        <f t="shared" si="11"/>
        <v>0</v>
      </c>
      <c r="U20" s="106">
        <f t="shared" si="12"/>
        <v>0</v>
      </c>
      <c r="V20" s="106">
        <f t="shared" si="13"/>
        <v>0</v>
      </c>
      <c r="W20" s="106">
        <f t="shared" si="14"/>
        <v>0</v>
      </c>
      <c r="X20" s="106">
        <f t="shared" si="15"/>
        <v>16705569.33</v>
      </c>
      <c r="Y20" s="106" t="str">
        <f t="shared" si="16"/>
        <v>#N/A</v>
      </c>
      <c r="Z20" s="106" t="str">
        <f t="shared" si="17"/>
        <v>#N/A</v>
      </c>
      <c r="AA20" s="106" t="str">
        <f t="shared" si="18"/>
        <v>#N/A</v>
      </c>
      <c r="AB20" s="106" t="str">
        <f t="shared" si="19"/>
        <v>#N/A</v>
      </c>
      <c r="AC20" s="107">
        <f t="shared" si="20"/>
        <v>0.270292452</v>
      </c>
      <c r="AD20" s="107" t="str">
        <f t="shared" si="21"/>
        <v>#N/A</v>
      </c>
      <c r="AE20" s="107" t="str">
        <f t="shared" si="22"/>
        <v>#N/A</v>
      </c>
      <c r="AF20" s="107" t="str">
        <f t="shared" si="23"/>
        <v>#N/A</v>
      </c>
      <c r="AG20" s="107" t="str">
        <f t="shared" si="24"/>
        <v>#N/A</v>
      </c>
      <c r="AH20" s="106">
        <f t="shared" si="25"/>
        <v>16705569.33</v>
      </c>
      <c r="AI20" s="106">
        <f t="shared" si="26"/>
        <v>27480661.55</v>
      </c>
      <c r="AJ20" s="108" t="str">
        <f t="shared" si="27"/>
        <v>#N/A</v>
      </c>
      <c r="AK20" s="109" t="str">
        <f t="shared" si="28"/>
        <v>#N/A</v>
      </c>
      <c r="AL20" s="110" t="str">
        <f t="shared" si="29"/>
        <v>#N/A</v>
      </c>
    </row>
    <row r="21" ht="15.75" customHeight="1">
      <c r="A21" s="102" t="s">
        <v>267</v>
      </c>
      <c r="B21" s="90" t="str">
        <f t="shared" si="6"/>
        <v>$AI</v>
      </c>
      <c r="C21" s="103">
        <f t="shared" ref="C21:G21" si="30">COUNTIFS(INDIRECT("'" &amp; $B$16 &amp; "'!" &amp; $B$17 &amp; ":" &amp; $B$17),C$18,INDIRECT("'" &amp; $B$16 &amp; "'!" &amp; $B$18 &amp; ":" &amp; $B$18),$A21,INDIRECT("'" &amp; $B$16 &amp; "'!" &amp; $B$12 &amp; ":" &amp; $B$12), "*" &amp; $B$4 &amp; "*")</f>
        <v>0</v>
      </c>
      <c r="D21" s="103">
        <f t="shared" si="30"/>
        <v>0</v>
      </c>
      <c r="E21" s="103">
        <f t="shared" si="30"/>
        <v>0</v>
      </c>
      <c r="F21" s="103">
        <f t="shared" si="30"/>
        <v>0</v>
      </c>
      <c r="G21" s="103">
        <f t="shared" si="30"/>
        <v>0</v>
      </c>
      <c r="H21" s="103">
        <f t="shared" si="9"/>
        <v>0</v>
      </c>
      <c r="I21" s="104">
        <f>IFERROR(__xludf.DUMMYFUNCTION("IF($D$6=0, 0, 
    VAR.S(
        FILTER(
            INDIRECT(""'"" &amp; $B$16 &amp; ""'!"" &amp; $B21 &amp; "":"" &amp; $B21),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1" s="104">
        <f>IFERROR(__xludf.DUMMYFUNCTION("IF($D$7=0, 0, 
    VAR.S(
        FILTER(
            INDIRECT(""'"" &amp; $B$16 &amp; ""'!"" &amp; $B21 &amp; "":"" &amp; $B21),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1" s="104">
        <f>IFERROR(__xludf.DUMMYFUNCTION("IF($D$8=0, 0, 
    VAR.S(
        FILTER(
            INDIRECT(""'"" &amp; $B$16 &amp; ""'!"" &amp; $B21 &amp; "":"" &amp; $B21),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1" s="104">
        <f>IFERROR(__xludf.DUMMYFUNCTION("IF($D$9=0, 0, 
    VAR.S(
        FILTER(
            INDIRECT(""'"" &amp; $B$16 &amp; ""'!"" &amp; $B21 &amp; "":"" &amp; $B21),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1" s="104">
        <f>IFERROR(__xludf.DUMMYFUNCTION("IF($D$10=0, 0, 
    VAR.S(
        FILTER(
            INDIRECT(""'"" &amp; $B$16 &amp; ""'!"" &amp; $B21 &amp; "":"" &amp; $B21),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1" s="105">
        <f>IFERROR(__xludf.DUMMYFUNCTION("AVERAGE(
        FILTER(
            INDIRECT(""'"" &amp; $B$16 &amp; ""'!"" &amp; $B21 &amp; "":"" &amp; $B21),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1" s="105" t="str">
        <f>IFERROR(__xludf.DUMMYFUNCTION("AVERAGE(
        FILTER(
            INDIRECT(""'"" &amp; $B$16 &amp; ""'!"" &amp; $B21 &amp; "":"" &amp; $B21),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1" s="105" t="str">
        <f>IFERROR(__xludf.DUMMYFUNCTION("AVERAGE(
        FILTER(
            INDIRECT(""'"" &amp; $B$16 &amp; ""'!"" &amp; $B21 &amp; "":"" &amp; $B21),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1" s="105" t="str">
        <f>IFERROR(__xludf.DUMMYFUNCTION("AVERAGE(
        FILTER(
            INDIRECT(""'"" &amp; $B$16 &amp; ""'!"" &amp; $B21 &amp; "":"" &amp; $B21),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1" s="105" t="str">
        <f>IFERROR(__xludf.DUMMYFUNCTION("AVERAGE(
        FILTER(
            INDIRECT(""'"" &amp; $B$16 &amp; ""'!"" &amp; $B21 &amp; "":"" &amp; $B21),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1" s="106">
        <f t="shared" si="10"/>
        <v>0</v>
      </c>
      <c r="T21" s="106">
        <f t="shared" si="11"/>
        <v>0</v>
      </c>
      <c r="U21" s="106">
        <f t="shared" si="12"/>
        <v>0</v>
      </c>
      <c r="V21" s="106">
        <f t="shared" si="13"/>
        <v>0</v>
      </c>
      <c r="W21" s="106">
        <f t="shared" si="14"/>
        <v>0</v>
      </c>
      <c r="X21" s="106">
        <f t="shared" si="15"/>
        <v>0</v>
      </c>
      <c r="Y21" s="106" t="str">
        <f t="shared" si="16"/>
        <v>#N/A</v>
      </c>
      <c r="Z21" s="106" t="str">
        <f t="shared" si="17"/>
        <v>#N/A</v>
      </c>
      <c r="AA21" s="106" t="str">
        <f t="shared" si="18"/>
        <v>#N/A</v>
      </c>
      <c r="AB21" s="106" t="str">
        <f t="shared" si="19"/>
        <v>#N/A</v>
      </c>
      <c r="AC21" s="107">
        <f t="shared" si="20"/>
        <v>0</v>
      </c>
      <c r="AD21" s="107" t="str">
        <f t="shared" si="21"/>
        <v>#N/A</v>
      </c>
      <c r="AE21" s="107" t="str">
        <f t="shared" si="22"/>
        <v>#N/A</v>
      </c>
      <c r="AF21" s="107" t="str">
        <f t="shared" si="23"/>
        <v>#N/A</v>
      </c>
      <c r="AG21" s="107" t="str">
        <f t="shared" si="24"/>
        <v>#N/A</v>
      </c>
      <c r="AH21" s="106">
        <f t="shared" si="25"/>
        <v>0</v>
      </c>
      <c r="AI21" s="106">
        <f t="shared" si="26"/>
        <v>0</v>
      </c>
      <c r="AJ21" s="108" t="str">
        <f t="shared" si="27"/>
        <v>#N/A</v>
      </c>
      <c r="AK21" s="109">
        <f t="shared" si="28"/>
        <v>0</v>
      </c>
      <c r="AL21" s="110" t="str">
        <f t="shared" si="29"/>
        <v>#N/A</v>
      </c>
    </row>
    <row r="22" ht="15.75" customHeight="1">
      <c r="A22" s="102" t="s">
        <v>269</v>
      </c>
      <c r="B22" s="90" t="str">
        <f t="shared" si="6"/>
        <v>$AJ</v>
      </c>
      <c r="C22" s="103">
        <f t="shared" ref="C22:G22" si="31">COUNTIFS(INDIRECT("'" &amp; $B$16 &amp; "'!" &amp; $B$17 &amp; ":" &amp; $B$17),C$18,INDIRECT("'" &amp; $B$16 &amp; "'!" &amp; $B$18 &amp; ":" &amp; $B$18),$A22,INDIRECT("'" &amp; $B$16 &amp; "'!" &amp; $B$12 &amp; ":" &amp; $B$12), "*" &amp; $B$4 &amp; "*")</f>
        <v>0</v>
      </c>
      <c r="D22" s="103">
        <f t="shared" si="31"/>
        <v>0</v>
      </c>
      <c r="E22" s="103">
        <f t="shared" si="31"/>
        <v>0</v>
      </c>
      <c r="F22" s="103">
        <f t="shared" si="31"/>
        <v>0</v>
      </c>
      <c r="G22" s="103">
        <f t="shared" si="31"/>
        <v>0</v>
      </c>
      <c r="H22" s="103">
        <f t="shared" si="9"/>
        <v>0</v>
      </c>
      <c r="I22" s="104">
        <f>IFERROR(__xludf.DUMMYFUNCTION("IF($D$6=0, 0, 
    VAR.S(
        FILTER(
            INDIRECT(""'"" &amp; $B$16 &amp; ""'!"" &amp; $B22 &amp; "":"" &amp; $B22),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2" s="104">
        <f>IFERROR(__xludf.DUMMYFUNCTION("IF($D$7=0, 0, 
    VAR.S(
        FILTER(
            INDIRECT(""'"" &amp; $B$16 &amp; ""'!"" &amp; $B22 &amp; "":"" &amp; $B22),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2" s="104">
        <f>IFERROR(__xludf.DUMMYFUNCTION("IF($D$8=0, 0, 
    VAR.S(
        FILTER(
            INDIRECT(""'"" &amp; $B$16 &amp; ""'!"" &amp; $B22 &amp; "":"" &amp; $B22),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2" s="104">
        <f>IFERROR(__xludf.DUMMYFUNCTION("IF($D$9=0, 0, 
    VAR.S(
        FILTER(
            INDIRECT(""'"" &amp; $B$16 &amp; ""'!"" &amp; $B22 &amp; "":"" &amp; $B22),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2" s="104">
        <f>IFERROR(__xludf.DUMMYFUNCTION("IF($D$10=0, 0, 
    VAR.S(
        FILTER(
            INDIRECT(""'"" &amp; $B$16 &amp; ""'!"" &amp; $B22 &amp; "":"" &amp; $B22),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2" s="105">
        <f>IFERROR(__xludf.DUMMYFUNCTION("AVERAGE(
        FILTER(
            INDIRECT(""'"" &amp; $B$16 &amp; ""'!"" &amp; $B22 &amp; "":"" &amp; $B22),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2" s="105" t="str">
        <f>IFERROR(__xludf.DUMMYFUNCTION("AVERAGE(
        FILTER(
            INDIRECT(""'"" &amp; $B$16 &amp; ""'!"" &amp; $B22 &amp; "":"" &amp; $B22),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2" s="105" t="str">
        <f>IFERROR(__xludf.DUMMYFUNCTION("AVERAGE(
        FILTER(
            INDIRECT(""'"" &amp; $B$16 &amp; ""'!"" &amp; $B22 &amp; "":"" &amp; $B22),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2" s="105" t="str">
        <f>IFERROR(__xludf.DUMMYFUNCTION("AVERAGE(
        FILTER(
            INDIRECT(""'"" &amp; $B$16 &amp; ""'!"" &amp; $B22 &amp; "":"" &amp; $B22),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2" s="105" t="str">
        <f>IFERROR(__xludf.DUMMYFUNCTION("AVERAGE(
        FILTER(
            INDIRECT(""'"" &amp; $B$16 &amp; ""'!"" &amp; $B22 &amp; "":"" &amp; $B22),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2" s="106">
        <f t="shared" si="10"/>
        <v>0</v>
      </c>
      <c r="T22" s="106">
        <f t="shared" si="11"/>
        <v>0</v>
      </c>
      <c r="U22" s="106">
        <f t="shared" si="12"/>
        <v>0</v>
      </c>
      <c r="V22" s="106">
        <f t="shared" si="13"/>
        <v>0</v>
      </c>
      <c r="W22" s="106">
        <f t="shared" si="14"/>
        <v>0</v>
      </c>
      <c r="X22" s="106">
        <f t="shared" si="15"/>
        <v>0</v>
      </c>
      <c r="Y22" s="106" t="str">
        <f t="shared" si="16"/>
        <v>#N/A</v>
      </c>
      <c r="Z22" s="106" t="str">
        <f t="shared" si="17"/>
        <v>#N/A</v>
      </c>
      <c r="AA22" s="106" t="str">
        <f t="shared" si="18"/>
        <v>#N/A</v>
      </c>
      <c r="AB22" s="106" t="str">
        <f t="shared" si="19"/>
        <v>#N/A</v>
      </c>
      <c r="AC22" s="107">
        <f t="shared" si="20"/>
        <v>0</v>
      </c>
      <c r="AD22" s="107" t="str">
        <f t="shared" si="21"/>
        <v>#N/A</v>
      </c>
      <c r="AE22" s="107" t="str">
        <f t="shared" si="22"/>
        <v>#N/A</v>
      </c>
      <c r="AF22" s="107" t="str">
        <f t="shared" si="23"/>
        <v>#N/A</v>
      </c>
      <c r="AG22" s="107" t="str">
        <f t="shared" si="24"/>
        <v>#N/A</v>
      </c>
      <c r="AH22" s="106">
        <f t="shared" si="25"/>
        <v>0</v>
      </c>
      <c r="AI22" s="106">
        <f t="shared" si="26"/>
        <v>0</v>
      </c>
      <c r="AJ22" s="108" t="str">
        <f t="shared" si="27"/>
        <v>#N/A</v>
      </c>
      <c r="AK22" s="109">
        <f t="shared" si="28"/>
        <v>0</v>
      </c>
      <c r="AL22" s="110" t="str">
        <f t="shared" si="29"/>
        <v>#N/A</v>
      </c>
    </row>
    <row r="23" ht="15.75" customHeight="1">
      <c r="A23" s="102" t="s">
        <v>271</v>
      </c>
      <c r="B23" s="90" t="str">
        <f t="shared" si="6"/>
        <v>$AK</v>
      </c>
      <c r="C23" s="103">
        <f t="shared" ref="C23:G23" si="32">COUNTIFS(INDIRECT("'" &amp; $B$16 &amp; "'!" &amp; $B$17 &amp; ":" &amp; $B$17),C$18,INDIRECT("'" &amp; $B$16 &amp; "'!" &amp; $B$18 &amp; ":" &amp; $B$18),$A23,INDIRECT("'" &amp; $B$16 &amp; "'!" &amp; $B$12 &amp; ":" &amp; $B$12), "*" &amp; $B$4 &amp; "*")</f>
        <v>0</v>
      </c>
      <c r="D23" s="103">
        <f t="shared" si="32"/>
        <v>0</v>
      </c>
      <c r="E23" s="103">
        <f t="shared" si="32"/>
        <v>0</v>
      </c>
      <c r="F23" s="103">
        <f t="shared" si="32"/>
        <v>0</v>
      </c>
      <c r="G23" s="103">
        <f t="shared" si="32"/>
        <v>0</v>
      </c>
      <c r="H23" s="103">
        <f t="shared" si="9"/>
        <v>0</v>
      </c>
      <c r="I23" s="104">
        <f>IFERROR(__xludf.DUMMYFUNCTION("IF($D$6=0, 0, 
    VAR.S(
        FILTER(
            INDIRECT(""'"" &amp; $B$16 &amp; ""'!"" &amp; $B23 &amp; "":"" &amp; $B23),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3" s="104">
        <f>IFERROR(__xludf.DUMMYFUNCTION("IF($D$7=0, 0, 
    VAR.S(
        FILTER(
            INDIRECT(""'"" &amp; $B$16 &amp; ""'!"" &amp; $B23 &amp; "":"" &amp; $B23),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3" s="104">
        <f>IFERROR(__xludf.DUMMYFUNCTION("IF($D$8=0, 0, 
    VAR.S(
        FILTER(
            INDIRECT(""'"" &amp; $B$16 &amp; ""'!"" &amp; $B23 &amp; "":"" &amp; $B23),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3" s="104">
        <f>IFERROR(__xludf.DUMMYFUNCTION("IF($D$9=0, 0, 
    VAR.S(
        FILTER(
            INDIRECT(""'"" &amp; $B$16 &amp; ""'!"" &amp; $B23 &amp; "":"" &amp; $B23),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3" s="104">
        <f>IFERROR(__xludf.DUMMYFUNCTION("IF($D$10=0, 0, 
    VAR.S(
        FILTER(
            INDIRECT(""'"" &amp; $B$16 &amp; ""'!"" &amp; $B23 &amp; "":"" &amp; $B23),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3" s="105">
        <f>IFERROR(__xludf.DUMMYFUNCTION("AVERAGE(
        FILTER(
            INDIRECT(""'"" &amp; $B$16 &amp; ""'!"" &amp; $B23 &amp; "":"" &amp; $B23),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3" s="105" t="str">
        <f>IFERROR(__xludf.DUMMYFUNCTION("AVERAGE(
        FILTER(
            INDIRECT(""'"" &amp; $B$16 &amp; ""'!"" &amp; $B23 &amp; "":"" &amp; $B23),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3" s="105" t="str">
        <f>IFERROR(__xludf.DUMMYFUNCTION("AVERAGE(
        FILTER(
            INDIRECT(""'"" &amp; $B$16 &amp; ""'!"" &amp; $B23 &amp; "":"" &amp; $B23),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3" s="105" t="str">
        <f>IFERROR(__xludf.DUMMYFUNCTION("AVERAGE(
        FILTER(
            INDIRECT(""'"" &amp; $B$16 &amp; ""'!"" &amp; $B23 &amp; "":"" &amp; $B23),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3" s="105" t="str">
        <f>IFERROR(__xludf.DUMMYFUNCTION("AVERAGE(
        FILTER(
            INDIRECT(""'"" &amp; $B$16 &amp; ""'!"" &amp; $B23 &amp; "":"" &amp; $B23),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3" s="106">
        <f t="shared" si="10"/>
        <v>0</v>
      </c>
      <c r="T23" s="106">
        <f t="shared" si="11"/>
        <v>0</v>
      </c>
      <c r="U23" s="106">
        <f t="shared" si="12"/>
        <v>0</v>
      </c>
      <c r="V23" s="106">
        <f t="shared" si="13"/>
        <v>0</v>
      </c>
      <c r="W23" s="106">
        <f t="shared" si="14"/>
        <v>0</v>
      </c>
      <c r="X23" s="106">
        <f t="shared" si="15"/>
        <v>0</v>
      </c>
      <c r="Y23" s="106" t="str">
        <f t="shared" si="16"/>
        <v>#N/A</v>
      </c>
      <c r="Z23" s="106" t="str">
        <f t="shared" si="17"/>
        <v>#N/A</v>
      </c>
      <c r="AA23" s="106" t="str">
        <f t="shared" si="18"/>
        <v>#N/A</v>
      </c>
      <c r="AB23" s="106" t="str">
        <f t="shared" si="19"/>
        <v>#N/A</v>
      </c>
      <c r="AC23" s="107">
        <f t="shared" si="20"/>
        <v>0</v>
      </c>
      <c r="AD23" s="107" t="str">
        <f t="shared" si="21"/>
        <v>#N/A</v>
      </c>
      <c r="AE23" s="107" t="str">
        <f t="shared" si="22"/>
        <v>#N/A</v>
      </c>
      <c r="AF23" s="107" t="str">
        <f t="shared" si="23"/>
        <v>#N/A</v>
      </c>
      <c r="AG23" s="107" t="str">
        <f t="shared" si="24"/>
        <v>#N/A</v>
      </c>
      <c r="AH23" s="106">
        <f t="shared" si="25"/>
        <v>0</v>
      </c>
      <c r="AI23" s="106">
        <f t="shared" si="26"/>
        <v>0</v>
      </c>
      <c r="AJ23" s="108" t="str">
        <f t="shared" si="27"/>
        <v>#N/A</v>
      </c>
      <c r="AK23" s="109">
        <f t="shared" si="28"/>
        <v>0</v>
      </c>
      <c r="AL23" s="110" t="str">
        <f t="shared" si="29"/>
        <v>#N/A</v>
      </c>
    </row>
    <row r="24" ht="15.75" customHeight="1">
      <c r="A24" s="102" t="s">
        <v>273</v>
      </c>
      <c r="B24" s="90" t="str">
        <f t="shared" si="6"/>
        <v>$AL</v>
      </c>
      <c r="C24" s="103">
        <f t="shared" ref="C24:G24" si="33">COUNTIFS(INDIRECT("'" &amp; $B$16 &amp; "'!" &amp; $B$17 &amp; ":" &amp; $B$17),C$18,INDIRECT("'" &amp; $B$16 &amp; "'!" &amp; $B$18 &amp; ":" &amp; $B$18),$A24,INDIRECT("'" &amp; $B$16 &amp; "'!" &amp; $B$12 &amp; ":" &amp; $B$12), "*" &amp; $B$4 &amp; "*")</f>
        <v>0</v>
      </c>
      <c r="D24" s="103">
        <f t="shared" si="33"/>
        <v>0</v>
      </c>
      <c r="E24" s="103">
        <f t="shared" si="33"/>
        <v>0</v>
      </c>
      <c r="F24" s="103">
        <f t="shared" si="33"/>
        <v>0</v>
      </c>
      <c r="G24" s="103">
        <f t="shared" si="33"/>
        <v>0</v>
      </c>
      <c r="H24" s="103">
        <f t="shared" si="9"/>
        <v>0</v>
      </c>
      <c r="I24" s="104">
        <f>IFERROR(__xludf.DUMMYFUNCTION("IF($D$6=0, 0, 
    VAR.S(
        FILTER(
            INDIRECT(""'"" &amp; $B$16 &amp; ""'!"" &amp; $B24 &amp; "":"" &amp; $B24),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4" s="104">
        <f>IFERROR(__xludf.DUMMYFUNCTION("IF($D$7=0, 0, 
    VAR.S(
        FILTER(
            INDIRECT(""'"" &amp; $B$16 &amp; ""'!"" &amp; $B24 &amp; "":"" &amp; $B24),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4" s="104">
        <f>IFERROR(__xludf.DUMMYFUNCTION("IF($D$8=0, 0, 
    VAR.S(
        FILTER(
            INDIRECT(""'"" &amp; $B$16 &amp; ""'!"" &amp; $B24 &amp; "":"" &amp; $B24),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4" s="104">
        <f>IFERROR(__xludf.DUMMYFUNCTION("IF($D$9=0, 0, 
    VAR.S(
        FILTER(
            INDIRECT(""'"" &amp; $B$16 &amp; ""'!"" &amp; $B24 &amp; "":"" &amp; $B24),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4" s="104">
        <f>IFERROR(__xludf.DUMMYFUNCTION("IF($D$10=0, 0, 
    VAR.S(
        FILTER(
            INDIRECT(""'"" &amp; $B$16 &amp; ""'!"" &amp; $B24 &amp; "":"" &amp; $B24),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4" s="105">
        <f>IFERROR(__xludf.DUMMYFUNCTION("AVERAGE(
        FILTER(
            INDIRECT(""'"" &amp; $B$16 &amp; ""'!"" &amp; $B24 &amp; "":"" &amp; $B24),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4" s="105" t="str">
        <f>IFERROR(__xludf.DUMMYFUNCTION("AVERAGE(
        FILTER(
            INDIRECT(""'"" &amp; $B$16 &amp; ""'!"" &amp; $B24 &amp; "":"" &amp; $B24),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4" s="105" t="str">
        <f>IFERROR(__xludf.DUMMYFUNCTION("AVERAGE(
        FILTER(
            INDIRECT(""'"" &amp; $B$16 &amp; ""'!"" &amp; $B24 &amp; "":"" &amp; $B24),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4" s="105" t="str">
        <f>IFERROR(__xludf.DUMMYFUNCTION("AVERAGE(
        FILTER(
            INDIRECT(""'"" &amp; $B$16 &amp; ""'!"" &amp; $B24 &amp; "":"" &amp; $B24),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4" s="105" t="str">
        <f>IFERROR(__xludf.DUMMYFUNCTION("AVERAGE(
        FILTER(
            INDIRECT(""'"" &amp; $B$16 &amp; ""'!"" &amp; $B24 &amp; "":"" &amp; $B24),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4" s="106">
        <f t="shared" si="10"/>
        <v>0</v>
      </c>
      <c r="T24" s="106">
        <f t="shared" si="11"/>
        <v>0</v>
      </c>
      <c r="U24" s="106">
        <f t="shared" si="12"/>
        <v>0</v>
      </c>
      <c r="V24" s="106">
        <f t="shared" si="13"/>
        <v>0</v>
      </c>
      <c r="W24" s="106">
        <f t="shared" si="14"/>
        <v>0</v>
      </c>
      <c r="X24" s="106">
        <f t="shared" si="15"/>
        <v>0</v>
      </c>
      <c r="Y24" s="106" t="str">
        <f t="shared" si="16"/>
        <v>#N/A</v>
      </c>
      <c r="Z24" s="106" t="str">
        <f t="shared" si="17"/>
        <v>#N/A</v>
      </c>
      <c r="AA24" s="106" t="str">
        <f t="shared" si="18"/>
        <v>#N/A</v>
      </c>
      <c r="AB24" s="106" t="str">
        <f t="shared" si="19"/>
        <v>#N/A</v>
      </c>
      <c r="AC24" s="107">
        <f t="shared" si="20"/>
        <v>0</v>
      </c>
      <c r="AD24" s="107" t="str">
        <f t="shared" si="21"/>
        <v>#N/A</v>
      </c>
      <c r="AE24" s="107" t="str">
        <f t="shared" si="22"/>
        <v>#N/A</v>
      </c>
      <c r="AF24" s="107" t="str">
        <f t="shared" si="23"/>
        <v>#N/A</v>
      </c>
      <c r="AG24" s="107" t="str">
        <f t="shared" si="24"/>
        <v>#N/A</v>
      </c>
      <c r="AH24" s="106">
        <f t="shared" si="25"/>
        <v>0</v>
      </c>
      <c r="AI24" s="106">
        <f t="shared" si="26"/>
        <v>0</v>
      </c>
      <c r="AJ24" s="108" t="str">
        <f t="shared" si="27"/>
        <v>#N/A</v>
      </c>
      <c r="AK24" s="109">
        <f t="shared" si="28"/>
        <v>0</v>
      </c>
      <c r="AL24" s="110" t="str">
        <f t="shared" si="29"/>
        <v>#N/A</v>
      </c>
    </row>
    <row r="25" ht="15.75" customHeight="1">
      <c r="A25" s="102" t="s">
        <v>275</v>
      </c>
      <c r="B25" s="90" t="str">
        <f t="shared" si="6"/>
        <v>$AM</v>
      </c>
      <c r="C25" s="103">
        <f t="shared" ref="C25:G25" si="34">COUNTIFS(INDIRECT("'" &amp; $B$16 &amp; "'!" &amp; $B$17 &amp; ":" &amp; $B$17),C$18,INDIRECT("'" &amp; $B$16 &amp; "'!" &amp; $B$18 &amp; ":" &amp; $B$18),$A25,INDIRECT("'" &amp; $B$16 &amp; "'!" &amp; $B$12 &amp; ":" &amp; $B$12), "*" &amp; $B$4 &amp; "*")</f>
        <v>0</v>
      </c>
      <c r="D25" s="103">
        <f t="shared" si="34"/>
        <v>0</v>
      </c>
      <c r="E25" s="103">
        <f t="shared" si="34"/>
        <v>0</v>
      </c>
      <c r="F25" s="103">
        <f t="shared" si="34"/>
        <v>0</v>
      </c>
      <c r="G25" s="103">
        <f t="shared" si="34"/>
        <v>0</v>
      </c>
      <c r="H25" s="103">
        <f t="shared" si="9"/>
        <v>0</v>
      </c>
      <c r="I25" s="104">
        <f>IFERROR(__xludf.DUMMYFUNCTION("IF($D$6=0, 0, 
    VAR.S(
        FILTER(
            INDIRECT(""'"" &amp; $B$16 &amp; ""'!"" &amp; $B25 &amp; "":"" &amp; $B25),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5" s="104">
        <f>IFERROR(__xludf.DUMMYFUNCTION("IF($D$7=0, 0, 
    VAR.S(
        FILTER(
            INDIRECT(""'"" &amp; $B$16 &amp; ""'!"" &amp; $B25 &amp; "":"" &amp; $B25),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5" s="104">
        <f>IFERROR(__xludf.DUMMYFUNCTION("IF($D$8=0, 0, 
    VAR.S(
        FILTER(
            INDIRECT(""'"" &amp; $B$16 &amp; ""'!"" &amp; $B25 &amp; "":"" &amp; $B25),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5" s="104">
        <f>IFERROR(__xludf.DUMMYFUNCTION("IF($D$9=0, 0, 
    VAR.S(
        FILTER(
            INDIRECT(""'"" &amp; $B$16 &amp; ""'!"" &amp; $B25 &amp; "":"" &amp; $B25),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5" s="104">
        <f>IFERROR(__xludf.DUMMYFUNCTION("IF($D$10=0, 0, 
    VAR.S(
        FILTER(
            INDIRECT(""'"" &amp; $B$16 &amp; ""'!"" &amp; $B25 &amp; "":"" &amp; $B25),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5" s="105">
        <f>IFERROR(__xludf.DUMMYFUNCTION("AVERAGE(
        FILTER(
            INDIRECT(""'"" &amp; $B$16 &amp; ""'!"" &amp; $B25 &amp; "":"" &amp; $B25),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5" s="105" t="str">
        <f>IFERROR(__xludf.DUMMYFUNCTION("AVERAGE(
        FILTER(
            INDIRECT(""'"" &amp; $B$16 &amp; ""'!"" &amp; $B25 &amp; "":"" &amp; $B25),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5" s="105" t="str">
        <f>IFERROR(__xludf.DUMMYFUNCTION("AVERAGE(
        FILTER(
            INDIRECT(""'"" &amp; $B$16 &amp; ""'!"" &amp; $B25 &amp; "":"" &amp; $B25),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5" s="105" t="str">
        <f>IFERROR(__xludf.DUMMYFUNCTION("AVERAGE(
        FILTER(
            INDIRECT(""'"" &amp; $B$16 &amp; ""'!"" &amp; $B25 &amp; "":"" &amp; $B25),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5" s="105" t="str">
        <f>IFERROR(__xludf.DUMMYFUNCTION("AVERAGE(
        FILTER(
            INDIRECT(""'"" &amp; $B$16 &amp; ""'!"" &amp; $B25 &amp; "":"" &amp; $B25),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5" s="106">
        <f t="shared" si="10"/>
        <v>0</v>
      </c>
      <c r="T25" s="106">
        <f t="shared" si="11"/>
        <v>0</v>
      </c>
      <c r="U25" s="106">
        <f t="shared" si="12"/>
        <v>0</v>
      </c>
      <c r="V25" s="106">
        <f t="shared" si="13"/>
        <v>0</v>
      </c>
      <c r="W25" s="106">
        <f t="shared" si="14"/>
        <v>0</v>
      </c>
      <c r="X25" s="106">
        <f t="shared" si="15"/>
        <v>0</v>
      </c>
      <c r="Y25" s="106" t="str">
        <f t="shared" si="16"/>
        <v>#N/A</v>
      </c>
      <c r="Z25" s="106" t="str">
        <f t="shared" si="17"/>
        <v>#N/A</v>
      </c>
      <c r="AA25" s="106" t="str">
        <f t="shared" si="18"/>
        <v>#N/A</v>
      </c>
      <c r="AB25" s="106" t="str">
        <f t="shared" si="19"/>
        <v>#N/A</v>
      </c>
      <c r="AC25" s="107">
        <f t="shared" si="20"/>
        <v>0</v>
      </c>
      <c r="AD25" s="107" t="str">
        <f t="shared" si="21"/>
        <v>#N/A</v>
      </c>
      <c r="AE25" s="107" t="str">
        <f t="shared" si="22"/>
        <v>#N/A</v>
      </c>
      <c r="AF25" s="107" t="str">
        <f t="shared" si="23"/>
        <v>#N/A</v>
      </c>
      <c r="AG25" s="107" t="str">
        <f t="shared" si="24"/>
        <v>#N/A</v>
      </c>
      <c r="AH25" s="106">
        <f t="shared" si="25"/>
        <v>0</v>
      </c>
      <c r="AI25" s="106">
        <f t="shared" si="26"/>
        <v>0</v>
      </c>
      <c r="AJ25" s="108" t="str">
        <f t="shared" si="27"/>
        <v>#N/A</v>
      </c>
      <c r="AK25" s="109">
        <f t="shared" si="28"/>
        <v>0</v>
      </c>
      <c r="AL25" s="110" t="str">
        <f t="shared" si="29"/>
        <v>#N/A</v>
      </c>
    </row>
    <row r="26" ht="15.75" customHeight="1">
      <c r="A26" s="29"/>
      <c r="B26" s="29"/>
      <c r="C26" s="29"/>
      <c r="D26" s="29"/>
      <c r="E26" s="29"/>
      <c r="F26" s="29"/>
      <c r="G26" s="29"/>
      <c r="H26" s="111">
        <f>SUM(H19:H25)</f>
        <v>1</v>
      </c>
      <c r="I26" s="29"/>
      <c r="J26" s="29"/>
      <c r="K26" s="29"/>
      <c r="L26" s="29"/>
      <c r="M26" s="29"/>
      <c r="N26" s="29"/>
      <c r="O26" s="112"/>
      <c r="P26" s="112"/>
      <c r="Q26" s="29"/>
      <c r="R26" s="29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29"/>
      <c r="AD26" s="29"/>
      <c r="AE26" s="29"/>
      <c r="AF26" s="29"/>
      <c r="AG26" s="29"/>
      <c r="AH26" s="112"/>
      <c r="AI26" s="112"/>
      <c r="AJ26" s="113" t="str">
        <f>SUM(AJ19:AJ25)</f>
        <v>#N/A</v>
      </c>
      <c r="AK26" s="114"/>
      <c r="AL26" s="29"/>
      <c r="AR26" s="29"/>
      <c r="AS26" s="29"/>
      <c r="AT26" s="29"/>
      <c r="AU26" s="29"/>
    </row>
    <row r="27" ht="15.75" customHeight="1">
      <c r="A27" s="115" t="s">
        <v>277</v>
      </c>
      <c r="B27" s="92" t="str">
        <f t="shared" ref="B27:B33" si="36">IFERROR("$" &amp; SUBSTITUTE(ADDRESS(1, MATCH(A27, INDIRECT("'" &amp; $B$16 &amp; "'!1:1"), 0), 4), "1", ""), "Not Found")
</f>
        <v>$AN</v>
      </c>
      <c r="C27" s="116">
        <f t="shared" ref="C27:G27" si="35">COUNTIFS(INDIRECT("'" &amp; $B$16 &amp; "'!" &amp; $B$17 &amp; ":" &amp; $B$17),C$18,INDIRECT("'" &amp; $B$16 &amp; "'!" &amp; $B$18 &amp; ":" &amp; $B$18),$A27,INDIRECT("'" &amp; $B$16 &amp; "'!" &amp; $B$12 &amp; ":" &amp; $B$12), "*" &amp; $B$4 &amp; "*")</f>
        <v>0</v>
      </c>
      <c r="D27" s="116">
        <f t="shared" si="35"/>
        <v>0</v>
      </c>
      <c r="E27" s="116">
        <f t="shared" si="35"/>
        <v>0</v>
      </c>
      <c r="F27" s="116">
        <f t="shared" si="35"/>
        <v>0</v>
      </c>
      <c r="G27" s="116">
        <f t="shared" si="35"/>
        <v>0</v>
      </c>
      <c r="H27" s="116">
        <f t="shared" ref="H27:H33" si="38">SUM(C27:G27)</f>
        <v>0</v>
      </c>
      <c r="I27" s="117">
        <f>IFERROR(__xludf.DUMMYFUNCTION("IF($D$6=0, 0, 
    VAR.S(
        FILTER(
            INDIRECT(""'"" &amp; $B$16 &amp; ""'!"" &amp; $B27 &amp; "":"" &amp; $B27),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7" s="117">
        <f>IFERROR(__xludf.DUMMYFUNCTION("IF($D$7=0, 0, 
    VAR.S(
        FILTER(
            INDIRECT(""'"" &amp; $B$16 &amp; ""'!"" &amp; $B27 &amp; "":"" &amp; $B27),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7" s="117">
        <f>IFERROR(__xludf.DUMMYFUNCTION("IF($D$8=0, 0, 
    VAR.S(
        FILTER(
            INDIRECT(""'"" &amp; $B$16 &amp; ""'!"" &amp; $B27 &amp; "":"" &amp; $B27),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7" s="117">
        <f>IFERROR(__xludf.DUMMYFUNCTION("IF($D$9=0, 0, 
    VAR.S(
        FILTER(
            INDIRECT(""'"" &amp; $B$16 &amp; ""'!"" &amp; $B27 &amp; "":"" &amp; $B27),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7" s="117">
        <f>IFERROR(__xludf.DUMMYFUNCTION("IF($D$10=0, 0, 
    VAR.S(
        FILTER(
            INDIRECT(""'"" &amp; $B$16 &amp; ""'!"" &amp; $B27 &amp; "":"" &amp; $B27),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7" s="118">
        <f>IFERROR(__xludf.DUMMYFUNCTION("AVERAGE(
        FILTER(
            INDIRECT(""'"" &amp; $B$16 &amp; ""'!"" &amp; $B27 &amp; "":"" &amp; $B27),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7" s="118" t="str">
        <f>IFERROR(__xludf.DUMMYFUNCTION("AVERAGE(
        FILTER(
            INDIRECT(""'"" &amp; $B$16 &amp; ""'!"" &amp; $B27 &amp; "":"" &amp; $B27),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7" s="118" t="str">
        <f>IFERROR(__xludf.DUMMYFUNCTION("AVERAGE(
        FILTER(
            INDIRECT(""'"" &amp; $B$16 &amp; ""'!"" &amp; $B27 &amp; "":"" &amp; $B27),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7" s="118" t="str">
        <f>IFERROR(__xludf.DUMMYFUNCTION("AVERAGE(
        FILTER(
            INDIRECT(""'"" &amp; $B$16 &amp; ""'!"" &amp; $B27 &amp; "":"" &amp; $B27),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7" s="118" t="str">
        <f>IFERROR(__xludf.DUMMYFUNCTION("AVERAGE(
        FILTER(
            INDIRECT(""'"" &amp; $B$16 &amp; ""'!"" &amp; $B27 &amp; "":"" &amp; $B27),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7" s="119">
        <f t="shared" ref="S27:S33" si="39">($B$6^2*I27)^0.5</f>
        <v>0</v>
      </c>
      <c r="T27" s="119">
        <f t="shared" ref="T27:T33" si="40">($B$7^2*J27)^0.5</f>
        <v>0</v>
      </c>
      <c r="U27" s="119">
        <f t="shared" ref="U27:U33" si="41">($B$8^2*K27)^0.5</f>
        <v>0</v>
      </c>
      <c r="V27" s="119">
        <f t="shared" ref="V27:V33" si="42">($B$9^2*L27)^0.5</f>
        <v>0</v>
      </c>
      <c r="W27" s="119">
        <f t="shared" ref="W27:W33" si="43">($B$10^2*M27)^0.5</f>
        <v>0</v>
      </c>
      <c r="X27" s="119">
        <f t="shared" ref="X27:X33" si="44">N27*$B$6</f>
        <v>0</v>
      </c>
      <c r="Y27" s="119" t="str">
        <f t="shared" ref="Y27:Y33" si="45">O27*$B$7</f>
        <v>#N/A</v>
      </c>
      <c r="Z27" s="119" t="str">
        <f t="shared" ref="Z27:Z33" si="46">P27*$B$8</f>
        <v>#N/A</v>
      </c>
      <c r="AA27" s="119" t="str">
        <f t="shared" ref="AA27:AA33" si="47">Q27*$B$9</f>
        <v>#N/A</v>
      </c>
      <c r="AB27" s="119" t="str">
        <f t="shared" ref="AB27:AB33" si="48">R27*$B$10</f>
        <v>#N/A</v>
      </c>
      <c r="AC27" s="117">
        <f t="shared" ref="AC27:AC33" si="49">N27*$C$6</f>
        <v>0</v>
      </c>
      <c r="AD27" s="117" t="str">
        <f t="shared" ref="AD27:AD33" si="50">O27*$C$7</f>
        <v>#N/A</v>
      </c>
      <c r="AE27" s="117" t="str">
        <f t="shared" ref="AE27:AE33" si="51">P27*$C$8</f>
        <v>#N/A</v>
      </c>
      <c r="AF27" s="117" t="str">
        <f t="shared" ref="AF27:AF33" si="52">Q27*$C$9</f>
        <v>#N/A</v>
      </c>
      <c r="AG27" s="117" t="str">
        <f t="shared" ref="AG27:AG33" si="53">R27*$C$10</f>
        <v>#N/A</v>
      </c>
      <c r="AH27" s="119">
        <f t="shared" ref="AH27:AH33" si="54">(S27*S27+T27*T27+U27*U27+V27*V27+W27*W27)^0.5</f>
        <v>0</v>
      </c>
      <c r="AI27" s="119">
        <f t="shared" ref="AI27:AI33" si="55">AH27*$B$14</f>
        <v>0</v>
      </c>
      <c r="AJ27" s="120" t="str">
        <f t="shared" ref="AJ27:AJ33" si="56">SUM(X27:AB27)</f>
        <v>#N/A</v>
      </c>
      <c r="AK27" s="121">
        <f t="shared" ref="AK27:AK33" si="57">IF(AI27=0,0,AI27/AJ27)</f>
        <v>0</v>
      </c>
      <c r="AL27" s="122" t="str">
        <f t="shared" ref="AL27:AL33" si="58">AJ27/$B$2</f>
        <v>#N/A</v>
      </c>
      <c r="AR27" s="123"/>
      <c r="AS27" s="123"/>
      <c r="AT27" s="123"/>
      <c r="AU27" s="123"/>
    </row>
    <row r="28" ht="15.75" customHeight="1">
      <c r="A28" s="115" t="s">
        <v>280</v>
      </c>
      <c r="B28" s="90" t="str">
        <f t="shared" si="36"/>
        <v>$AO</v>
      </c>
      <c r="C28" s="116">
        <f t="shared" ref="C28:G28" si="37">COUNTIFS(INDIRECT("'" &amp; $B$16 &amp; "'!" &amp; $B$17 &amp; ":" &amp; $B$17),C$18,INDIRECT("'" &amp; $B$16 &amp; "'!" &amp; $B$18 &amp; ":" &amp; $B$18),$A28,INDIRECT("'" &amp; $B$16 &amp; "'!" &amp; $B$12 &amp; ":" &amp; $B$12), "*" &amp; $B$4 &amp; "*")</f>
        <v>0</v>
      </c>
      <c r="D28" s="116">
        <f t="shared" si="37"/>
        <v>0</v>
      </c>
      <c r="E28" s="116">
        <f t="shared" si="37"/>
        <v>0</v>
      </c>
      <c r="F28" s="116">
        <f t="shared" si="37"/>
        <v>0</v>
      </c>
      <c r="G28" s="116">
        <f t="shared" si="37"/>
        <v>0</v>
      </c>
      <c r="H28" s="116">
        <f t="shared" si="38"/>
        <v>0</v>
      </c>
      <c r="I28" s="117">
        <f>IFERROR(__xludf.DUMMYFUNCTION("IF($D$6=0, 0, 
    VAR.S(
        FILTER(
            INDIRECT(""'"" &amp; $B$16 &amp; ""'!"" &amp; $B28 &amp; "":"" &amp; $B28),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8" s="117">
        <f>IFERROR(__xludf.DUMMYFUNCTION("IF($D$7=0, 0, 
    VAR.S(
        FILTER(
            INDIRECT(""'"" &amp; $B$16 &amp; ""'!"" &amp; $B28 &amp; "":"" &amp; $B28),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8" s="117">
        <f>IFERROR(__xludf.DUMMYFUNCTION("IF($D$8=0, 0, 
    VAR.S(
        FILTER(
            INDIRECT(""'"" &amp; $B$16 &amp; ""'!"" &amp; $B28 &amp; "":"" &amp; $B28),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8" s="117">
        <f>IFERROR(__xludf.DUMMYFUNCTION("IF($D$9=0, 0, 
    VAR.S(
        FILTER(
            INDIRECT(""'"" &amp; $B$16 &amp; ""'!"" &amp; $B28 &amp; "":"" &amp; $B28),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8" s="117">
        <f>IFERROR(__xludf.DUMMYFUNCTION("IF($D$10=0, 0, 
    VAR.S(
        FILTER(
            INDIRECT(""'"" &amp; $B$16 &amp; ""'!"" &amp; $B28 &amp; "":"" &amp; $B28),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8" s="118">
        <f>IFERROR(__xludf.DUMMYFUNCTION("AVERAGE(
        FILTER(
            INDIRECT(""'"" &amp; $B$16 &amp; ""'!"" &amp; $B28 &amp; "":"" &amp; $B28),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8" s="118" t="str">
        <f>IFERROR(__xludf.DUMMYFUNCTION("AVERAGE(
        FILTER(
            INDIRECT(""'"" &amp; $B$16 &amp; ""'!"" &amp; $B28 &amp; "":"" &amp; $B28),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8" s="118" t="str">
        <f>IFERROR(__xludf.DUMMYFUNCTION("AVERAGE(
        FILTER(
            INDIRECT(""'"" &amp; $B$16 &amp; ""'!"" &amp; $B28 &amp; "":"" &amp; $B28),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8" s="118" t="str">
        <f>IFERROR(__xludf.DUMMYFUNCTION("AVERAGE(
        FILTER(
            INDIRECT(""'"" &amp; $B$16 &amp; ""'!"" &amp; $B28 &amp; "":"" &amp; $B28),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8" s="118" t="str">
        <f>IFERROR(__xludf.DUMMYFUNCTION("AVERAGE(
        FILTER(
            INDIRECT(""'"" &amp; $B$16 &amp; ""'!"" &amp; $B28 &amp; "":"" &amp; $B28),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8" s="119">
        <f t="shared" si="39"/>
        <v>0</v>
      </c>
      <c r="T28" s="119">
        <f t="shared" si="40"/>
        <v>0</v>
      </c>
      <c r="U28" s="119">
        <f t="shared" si="41"/>
        <v>0</v>
      </c>
      <c r="V28" s="119">
        <f t="shared" si="42"/>
        <v>0</v>
      </c>
      <c r="W28" s="119">
        <f t="shared" si="43"/>
        <v>0</v>
      </c>
      <c r="X28" s="119">
        <f t="shared" si="44"/>
        <v>0</v>
      </c>
      <c r="Y28" s="119" t="str">
        <f t="shared" si="45"/>
        <v>#N/A</v>
      </c>
      <c r="Z28" s="119" t="str">
        <f t="shared" si="46"/>
        <v>#N/A</v>
      </c>
      <c r="AA28" s="119" t="str">
        <f t="shared" si="47"/>
        <v>#N/A</v>
      </c>
      <c r="AB28" s="119" t="str">
        <f t="shared" si="48"/>
        <v>#N/A</v>
      </c>
      <c r="AC28" s="117">
        <f t="shared" si="49"/>
        <v>0</v>
      </c>
      <c r="AD28" s="117" t="str">
        <f t="shared" si="50"/>
        <v>#N/A</v>
      </c>
      <c r="AE28" s="117" t="str">
        <f t="shared" si="51"/>
        <v>#N/A</v>
      </c>
      <c r="AF28" s="117" t="str">
        <f t="shared" si="52"/>
        <v>#N/A</v>
      </c>
      <c r="AG28" s="117" t="str">
        <f t="shared" si="53"/>
        <v>#N/A</v>
      </c>
      <c r="AH28" s="119">
        <f t="shared" si="54"/>
        <v>0</v>
      </c>
      <c r="AI28" s="119">
        <f t="shared" si="55"/>
        <v>0</v>
      </c>
      <c r="AJ28" s="120" t="str">
        <f t="shared" si="56"/>
        <v>#N/A</v>
      </c>
      <c r="AK28" s="121">
        <f t="shared" si="57"/>
        <v>0</v>
      </c>
      <c r="AL28" s="122" t="str">
        <f t="shared" si="58"/>
        <v>#N/A</v>
      </c>
      <c r="AR28" s="123"/>
      <c r="AS28" s="123"/>
      <c r="AT28" s="123"/>
      <c r="AU28" s="123"/>
    </row>
    <row r="29" ht="15.75" customHeight="1">
      <c r="A29" s="115" t="s">
        <v>282</v>
      </c>
      <c r="B29" s="90" t="str">
        <f t="shared" si="36"/>
        <v>$AP</v>
      </c>
      <c r="C29" s="116">
        <f t="shared" ref="C29:G29" si="59">COUNTIFS(INDIRECT("'" &amp; $B$16 &amp; "'!" &amp; $B$17 &amp; ":" &amp; $B$17),C$18,INDIRECT("'" &amp; $B$16 &amp; "'!" &amp; $B$18 &amp; ":" &amp; $B$18),$A29,INDIRECT("'" &amp; $B$16 &amp; "'!" &amp; $B$12 &amp; ":" &amp; $B$12), "*" &amp; $B$4 &amp; "*")</f>
        <v>0</v>
      </c>
      <c r="D29" s="116">
        <f t="shared" si="59"/>
        <v>0</v>
      </c>
      <c r="E29" s="116">
        <f t="shared" si="59"/>
        <v>0</v>
      </c>
      <c r="F29" s="116">
        <f t="shared" si="59"/>
        <v>0</v>
      </c>
      <c r="G29" s="116">
        <f t="shared" si="59"/>
        <v>0</v>
      </c>
      <c r="H29" s="116">
        <f t="shared" si="38"/>
        <v>0</v>
      </c>
      <c r="I29" s="117">
        <f>IFERROR(__xludf.DUMMYFUNCTION("IF($D$6=0, 0, 
    VAR.S(
        FILTER(
            INDIRECT(""'"" &amp; $B$16 &amp; ""'!"" &amp; $B29 &amp; "":"" &amp; $B29),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9" s="117">
        <f>IFERROR(__xludf.DUMMYFUNCTION("IF($D$7=0, 0, 
    VAR.S(
        FILTER(
            INDIRECT(""'"" &amp; $B$16 &amp; ""'!"" &amp; $B29 &amp; "":"" &amp; $B29),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29" s="117">
        <f>IFERROR(__xludf.DUMMYFUNCTION("IF($D$8=0, 0, 
    VAR.S(
        FILTER(
            INDIRECT(""'"" &amp; $B$16 &amp; ""'!"" &amp; $B29 &amp; "":"" &amp; $B29),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29" s="117">
        <f>IFERROR(__xludf.DUMMYFUNCTION("IF($D$9=0, 0, 
    VAR.S(
        FILTER(
            INDIRECT(""'"" &amp; $B$16 &amp; ""'!"" &amp; $B29 &amp; "":"" &amp; $B29),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29" s="117">
        <f>IFERROR(__xludf.DUMMYFUNCTION("IF($D$10=0, 0, 
    VAR.S(
        FILTER(
            INDIRECT(""'"" &amp; $B$16 &amp; ""'!"" &amp; $B29 &amp; "":"" &amp; $B29),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29" s="118">
        <f>IFERROR(__xludf.DUMMYFUNCTION("AVERAGE(
        FILTER(
            INDIRECT(""'"" &amp; $B$16 &amp; ""'!"" &amp; $B29 &amp; "":"" &amp; $B29),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29" s="118" t="str">
        <f>IFERROR(__xludf.DUMMYFUNCTION("AVERAGE(
        FILTER(
            INDIRECT(""'"" &amp; $B$16 &amp; ""'!"" &amp; $B29 &amp; "":"" &amp; $B29),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9" s="118" t="str">
        <f>IFERROR(__xludf.DUMMYFUNCTION("AVERAGE(
        FILTER(
            INDIRECT(""'"" &amp; $B$16 &amp; ""'!"" &amp; $B29 &amp; "":"" &amp; $B29),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9" s="118" t="str">
        <f>IFERROR(__xludf.DUMMYFUNCTION("AVERAGE(
        FILTER(
            INDIRECT(""'"" &amp; $B$16 &amp; ""'!"" &amp; $B29 &amp; "":"" &amp; $B29),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9" s="118" t="str">
        <f>IFERROR(__xludf.DUMMYFUNCTION("AVERAGE(
        FILTER(
            INDIRECT(""'"" &amp; $B$16 &amp; ""'!"" &amp; $B29 &amp; "":"" &amp; $B29),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9" s="119">
        <f t="shared" si="39"/>
        <v>0</v>
      </c>
      <c r="T29" s="119">
        <f t="shared" si="40"/>
        <v>0</v>
      </c>
      <c r="U29" s="119">
        <f t="shared" si="41"/>
        <v>0</v>
      </c>
      <c r="V29" s="119">
        <f t="shared" si="42"/>
        <v>0</v>
      </c>
      <c r="W29" s="119">
        <f t="shared" si="43"/>
        <v>0</v>
      </c>
      <c r="X29" s="119">
        <f t="shared" si="44"/>
        <v>0</v>
      </c>
      <c r="Y29" s="119" t="str">
        <f t="shared" si="45"/>
        <v>#N/A</v>
      </c>
      <c r="Z29" s="119" t="str">
        <f t="shared" si="46"/>
        <v>#N/A</v>
      </c>
      <c r="AA29" s="119" t="str">
        <f t="shared" si="47"/>
        <v>#N/A</v>
      </c>
      <c r="AB29" s="119" t="str">
        <f t="shared" si="48"/>
        <v>#N/A</v>
      </c>
      <c r="AC29" s="117">
        <f t="shared" si="49"/>
        <v>0</v>
      </c>
      <c r="AD29" s="117" t="str">
        <f t="shared" si="50"/>
        <v>#N/A</v>
      </c>
      <c r="AE29" s="117" t="str">
        <f t="shared" si="51"/>
        <v>#N/A</v>
      </c>
      <c r="AF29" s="117" t="str">
        <f t="shared" si="52"/>
        <v>#N/A</v>
      </c>
      <c r="AG29" s="117" t="str">
        <f t="shared" si="53"/>
        <v>#N/A</v>
      </c>
      <c r="AH29" s="119">
        <f t="shared" si="54"/>
        <v>0</v>
      </c>
      <c r="AI29" s="119">
        <f t="shared" si="55"/>
        <v>0</v>
      </c>
      <c r="AJ29" s="120" t="str">
        <f t="shared" si="56"/>
        <v>#N/A</v>
      </c>
      <c r="AK29" s="121">
        <f t="shared" si="57"/>
        <v>0</v>
      </c>
      <c r="AL29" s="122" t="str">
        <f t="shared" si="58"/>
        <v>#N/A</v>
      </c>
      <c r="AR29" s="123"/>
      <c r="AS29" s="123"/>
      <c r="AT29" s="123"/>
      <c r="AU29" s="123"/>
    </row>
    <row r="30" ht="15.75" customHeight="1">
      <c r="A30" s="115" t="s">
        <v>284</v>
      </c>
      <c r="B30" s="90" t="str">
        <f t="shared" si="36"/>
        <v>$AQ</v>
      </c>
      <c r="C30" s="116">
        <f t="shared" ref="C30:G30" si="60">COUNTIFS(INDIRECT("'" &amp; $B$16 &amp; "'!" &amp; $B$17 &amp; ":" &amp; $B$17),C$18,INDIRECT("'" &amp; $B$16 &amp; "'!" &amp; $B$18 &amp; ":" &amp; $B$18),$A30,INDIRECT("'" &amp; $B$16 &amp; "'!" &amp; $B$12 &amp; ":" &amp; $B$12), "*" &amp; $B$4 &amp; "*")</f>
        <v>0</v>
      </c>
      <c r="D30" s="116">
        <f t="shared" si="60"/>
        <v>0</v>
      </c>
      <c r="E30" s="116">
        <f t="shared" si="60"/>
        <v>0</v>
      </c>
      <c r="F30" s="116">
        <f t="shared" si="60"/>
        <v>0</v>
      </c>
      <c r="G30" s="116">
        <f t="shared" si="60"/>
        <v>0</v>
      </c>
      <c r="H30" s="116">
        <f t="shared" si="38"/>
        <v>0</v>
      </c>
      <c r="I30" s="117">
        <f>IFERROR(__xludf.DUMMYFUNCTION("IF($D$6=0, 0, 
    VAR.S(
        FILTER(
            INDIRECT(""'"" &amp; $B$16 &amp; ""'!"" &amp; $B30 &amp; "":"" &amp; $B30),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0" s="117">
        <f>IFERROR(__xludf.DUMMYFUNCTION("IF($D$7=0, 0, 
    VAR.S(
        FILTER(
            INDIRECT(""'"" &amp; $B$16 &amp; ""'!"" &amp; $B30 &amp; "":"" &amp; $B30),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0" s="117">
        <f>IFERROR(__xludf.DUMMYFUNCTION("IF($D$8=0, 0, 
    VAR.S(
        FILTER(
            INDIRECT(""'"" &amp; $B$16 &amp; ""'!"" &amp; $B30 &amp; "":"" &amp; $B30),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0" s="117">
        <f>IFERROR(__xludf.DUMMYFUNCTION("IF($D$9=0, 0, 
    VAR.S(
        FILTER(
            INDIRECT(""'"" &amp; $B$16 &amp; ""'!"" &amp; $B30 &amp; "":"" &amp; $B30),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0" s="117">
        <f>IFERROR(__xludf.DUMMYFUNCTION("IF($D$10=0, 0, 
    VAR.S(
        FILTER(
            INDIRECT(""'"" &amp; $B$16 &amp; ""'!"" &amp; $B30 &amp; "":"" &amp; $B30),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0" s="118">
        <f>IFERROR(__xludf.DUMMYFUNCTION("AVERAGE(
        FILTER(
            INDIRECT(""'"" &amp; $B$16 &amp; ""'!"" &amp; $B30 &amp; "":"" &amp; $B30),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0" s="118" t="str">
        <f>IFERROR(__xludf.DUMMYFUNCTION("AVERAGE(
        FILTER(
            INDIRECT(""'"" &amp; $B$16 &amp; ""'!"" &amp; $B30 &amp; "":"" &amp; $B30),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0" s="118" t="str">
        <f>IFERROR(__xludf.DUMMYFUNCTION("AVERAGE(
        FILTER(
            INDIRECT(""'"" &amp; $B$16 &amp; ""'!"" &amp; $B30 &amp; "":"" &amp; $B30),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0" s="118" t="str">
        <f>IFERROR(__xludf.DUMMYFUNCTION("AVERAGE(
        FILTER(
            INDIRECT(""'"" &amp; $B$16 &amp; ""'!"" &amp; $B30 &amp; "":"" &amp; $B30),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0" s="118" t="str">
        <f>IFERROR(__xludf.DUMMYFUNCTION("AVERAGE(
        FILTER(
            INDIRECT(""'"" &amp; $B$16 &amp; ""'!"" &amp; $B30 &amp; "":"" &amp; $B30),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0" s="119">
        <f t="shared" si="39"/>
        <v>0</v>
      </c>
      <c r="T30" s="119">
        <f t="shared" si="40"/>
        <v>0</v>
      </c>
      <c r="U30" s="119">
        <f t="shared" si="41"/>
        <v>0</v>
      </c>
      <c r="V30" s="119">
        <f t="shared" si="42"/>
        <v>0</v>
      </c>
      <c r="W30" s="119">
        <f t="shared" si="43"/>
        <v>0</v>
      </c>
      <c r="X30" s="119">
        <f t="shared" si="44"/>
        <v>0</v>
      </c>
      <c r="Y30" s="119" t="str">
        <f t="shared" si="45"/>
        <v>#N/A</v>
      </c>
      <c r="Z30" s="119" t="str">
        <f t="shared" si="46"/>
        <v>#N/A</v>
      </c>
      <c r="AA30" s="119" t="str">
        <f t="shared" si="47"/>
        <v>#N/A</v>
      </c>
      <c r="AB30" s="119" t="str">
        <f t="shared" si="48"/>
        <v>#N/A</v>
      </c>
      <c r="AC30" s="117">
        <f t="shared" si="49"/>
        <v>0</v>
      </c>
      <c r="AD30" s="117" t="str">
        <f t="shared" si="50"/>
        <v>#N/A</v>
      </c>
      <c r="AE30" s="117" t="str">
        <f t="shared" si="51"/>
        <v>#N/A</v>
      </c>
      <c r="AF30" s="117" t="str">
        <f t="shared" si="52"/>
        <v>#N/A</v>
      </c>
      <c r="AG30" s="117" t="str">
        <f t="shared" si="53"/>
        <v>#N/A</v>
      </c>
      <c r="AH30" s="119">
        <f t="shared" si="54"/>
        <v>0</v>
      </c>
      <c r="AI30" s="119">
        <f t="shared" si="55"/>
        <v>0</v>
      </c>
      <c r="AJ30" s="120" t="str">
        <f t="shared" si="56"/>
        <v>#N/A</v>
      </c>
      <c r="AK30" s="121">
        <f t="shared" si="57"/>
        <v>0</v>
      </c>
      <c r="AL30" s="122" t="str">
        <f t="shared" si="58"/>
        <v>#N/A</v>
      </c>
      <c r="AR30" s="123"/>
      <c r="AS30" s="123"/>
      <c r="AT30" s="123"/>
      <c r="AU30" s="123"/>
    </row>
    <row r="31" ht="15.75" customHeight="1">
      <c r="A31" s="115" t="s">
        <v>286</v>
      </c>
      <c r="B31" s="90" t="str">
        <f t="shared" si="36"/>
        <v>$AR</v>
      </c>
      <c r="C31" s="116">
        <f t="shared" ref="C31:G31" si="61">COUNTIFS(INDIRECT("'" &amp; $B$16 &amp; "'!" &amp; $B$17 &amp; ":" &amp; $B$17),C$18,INDIRECT("'" &amp; $B$16 &amp; "'!" &amp; $B$18 &amp; ":" &amp; $B$18),$A31,INDIRECT("'" &amp; $B$16 &amp; "'!" &amp; $B$12 &amp; ":" &amp; $B$12), "*" &amp; $B$4 &amp; "*")</f>
        <v>0</v>
      </c>
      <c r="D31" s="116">
        <f t="shared" si="61"/>
        <v>0</v>
      </c>
      <c r="E31" s="116">
        <f t="shared" si="61"/>
        <v>0</v>
      </c>
      <c r="F31" s="116">
        <f t="shared" si="61"/>
        <v>0</v>
      </c>
      <c r="G31" s="116">
        <f t="shared" si="61"/>
        <v>0</v>
      </c>
      <c r="H31" s="116">
        <f t="shared" si="38"/>
        <v>0</v>
      </c>
      <c r="I31" s="117">
        <f>IFERROR(__xludf.DUMMYFUNCTION("IF($D$6=0, 0, 
    VAR.S(
        FILTER(
            INDIRECT(""'"" &amp; $B$16 &amp; ""'!"" &amp; $B31 &amp; "":"" &amp; $B31),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1" s="117">
        <f>IFERROR(__xludf.DUMMYFUNCTION("IF($D$7=0, 0, 
    VAR.S(
        FILTER(
            INDIRECT(""'"" &amp; $B$16 &amp; ""'!"" &amp; $B31 &amp; "":"" &amp; $B31),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1" s="117">
        <f>IFERROR(__xludf.DUMMYFUNCTION("IF($D$8=0, 0, 
    VAR.S(
        FILTER(
            INDIRECT(""'"" &amp; $B$16 &amp; ""'!"" &amp; $B31 &amp; "":"" &amp; $B31),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1" s="117">
        <f>IFERROR(__xludf.DUMMYFUNCTION("IF($D$9=0, 0, 
    VAR.S(
        FILTER(
            INDIRECT(""'"" &amp; $B$16 &amp; ""'!"" &amp; $B31 &amp; "":"" &amp; $B31),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1" s="117">
        <f>IFERROR(__xludf.DUMMYFUNCTION("IF($D$10=0, 0, 
    VAR.S(
        FILTER(
            INDIRECT(""'"" &amp; $B$16 &amp; ""'!"" &amp; $B31 &amp; "":"" &amp; $B31),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1" s="118">
        <f>IFERROR(__xludf.DUMMYFUNCTION("AVERAGE(
        FILTER(
            INDIRECT(""'"" &amp; $B$16 &amp; ""'!"" &amp; $B31 &amp; "":"" &amp; $B31),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1" s="118" t="str">
        <f>IFERROR(__xludf.DUMMYFUNCTION("AVERAGE(
        FILTER(
            INDIRECT(""'"" &amp; $B$16 &amp; ""'!"" &amp; $B31 &amp; "":"" &amp; $B31),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1" s="118" t="str">
        <f>IFERROR(__xludf.DUMMYFUNCTION("AVERAGE(
        FILTER(
            INDIRECT(""'"" &amp; $B$16 &amp; ""'!"" &amp; $B31 &amp; "":"" &amp; $B31),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1" s="118" t="str">
        <f>IFERROR(__xludf.DUMMYFUNCTION("AVERAGE(
        FILTER(
            INDIRECT(""'"" &amp; $B$16 &amp; ""'!"" &amp; $B31 &amp; "":"" &amp; $B31),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1" s="118" t="str">
        <f>IFERROR(__xludf.DUMMYFUNCTION("AVERAGE(
        FILTER(
            INDIRECT(""'"" &amp; $B$16 &amp; ""'!"" &amp; $B31 &amp; "":"" &amp; $B31),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1" s="119">
        <f t="shared" si="39"/>
        <v>0</v>
      </c>
      <c r="T31" s="119">
        <f t="shared" si="40"/>
        <v>0</v>
      </c>
      <c r="U31" s="119">
        <f t="shared" si="41"/>
        <v>0</v>
      </c>
      <c r="V31" s="119">
        <f t="shared" si="42"/>
        <v>0</v>
      </c>
      <c r="W31" s="119">
        <f t="shared" si="43"/>
        <v>0</v>
      </c>
      <c r="X31" s="119">
        <f t="shared" si="44"/>
        <v>0</v>
      </c>
      <c r="Y31" s="119" t="str">
        <f t="shared" si="45"/>
        <v>#N/A</v>
      </c>
      <c r="Z31" s="119" t="str">
        <f t="shared" si="46"/>
        <v>#N/A</v>
      </c>
      <c r="AA31" s="119" t="str">
        <f t="shared" si="47"/>
        <v>#N/A</v>
      </c>
      <c r="AB31" s="119" t="str">
        <f t="shared" si="48"/>
        <v>#N/A</v>
      </c>
      <c r="AC31" s="117">
        <f t="shared" si="49"/>
        <v>0</v>
      </c>
      <c r="AD31" s="117" t="str">
        <f t="shared" si="50"/>
        <v>#N/A</v>
      </c>
      <c r="AE31" s="117" t="str">
        <f t="shared" si="51"/>
        <v>#N/A</v>
      </c>
      <c r="AF31" s="117" t="str">
        <f t="shared" si="52"/>
        <v>#N/A</v>
      </c>
      <c r="AG31" s="117" t="str">
        <f t="shared" si="53"/>
        <v>#N/A</v>
      </c>
      <c r="AH31" s="119">
        <f t="shared" si="54"/>
        <v>0</v>
      </c>
      <c r="AI31" s="119">
        <f t="shared" si="55"/>
        <v>0</v>
      </c>
      <c r="AJ31" s="120" t="str">
        <f t="shared" si="56"/>
        <v>#N/A</v>
      </c>
      <c r="AK31" s="121">
        <f t="shared" si="57"/>
        <v>0</v>
      </c>
      <c r="AL31" s="122" t="str">
        <f t="shared" si="58"/>
        <v>#N/A</v>
      </c>
      <c r="AR31" s="123"/>
      <c r="AS31" s="123"/>
      <c r="AT31" s="123"/>
      <c r="AU31" s="123"/>
    </row>
    <row r="32" ht="15.75" customHeight="1">
      <c r="A32" s="115" t="s">
        <v>288</v>
      </c>
      <c r="B32" s="90" t="str">
        <f t="shared" si="36"/>
        <v>$AS</v>
      </c>
      <c r="C32" s="116">
        <f t="shared" ref="C32:G32" si="62">COUNTIFS(INDIRECT("'" &amp; $B$16 &amp; "'!" &amp; $B$17 &amp; ":" &amp; $B$17),C$18,INDIRECT("'" &amp; $B$16 &amp; "'!" &amp; $B$18 &amp; ":" &amp; $B$18),$A32,INDIRECT("'" &amp; $B$16 &amp; "'!" &amp; $B$12 &amp; ":" &amp; $B$12), "*" &amp; $B$4 &amp; "*")</f>
        <v>0</v>
      </c>
      <c r="D32" s="116">
        <f t="shared" si="62"/>
        <v>0</v>
      </c>
      <c r="E32" s="116">
        <f t="shared" si="62"/>
        <v>0</v>
      </c>
      <c r="F32" s="116">
        <f t="shared" si="62"/>
        <v>0</v>
      </c>
      <c r="G32" s="116">
        <f t="shared" si="62"/>
        <v>0</v>
      </c>
      <c r="H32" s="116">
        <f t="shared" si="38"/>
        <v>0</v>
      </c>
      <c r="I32" s="117">
        <f>IFERROR(__xludf.DUMMYFUNCTION("IF($D$6=0, 0, 
    VAR.S(
        FILTER(
            INDIRECT(""'"" &amp; $B$16 &amp; ""'!"" &amp; $B32 &amp; "":"" &amp; $B32),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2" s="117">
        <f>IFERROR(__xludf.DUMMYFUNCTION("IF($D$7=0, 0, 
    VAR.S(
        FILTER(
            INDIRECT(""'"" &amp; $B$16 &amp; ""'!"" &amp; $B32 &amp; "":"" &amp; $B32),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2" s="117">
        <f>IFERROR(__xludf.DUMMYFUNCTION("IF($D$8=0, 0, 
    VAR.S(
        FILTER(
            INDIRECT(""'"" &amp; $B$16 &amp; ""'!"" &amp; $B32 &amp; "":"" &amp; $B32),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2" s="117">
        <f>IFERROR(__xludf.DUMMYFUNCTION("IF($D$9=0, 0, 
    VAR.S(
        FILTER(
            INDIRECT(""'"" &amp; $B$16 &amp; ""'!"" &amp; $B32 &amp; "":"" &amp; $B32),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2" s="117">
        <f>IFERROR(__xludf.DUMMYFUNCTION("IF($D$10=0, 0, 
    VAR.S(
        FILTER(
            INDIRECT(""'"" &amp; $B$16 &amp; ""'!"" &amp; $B32 &amp; "":"" &amp; $B32),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2" s="118">
        <f>IFERROR(__xludf.DUMMYFUNCTION("AVERAGE(
        FILTER(
            INDIRECT(""'"" &amp; $B$16 &amp; ""'!"" &amp; $B32 &amp; "":"" &amp; $B32),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2" s="118" t="str">
        <f>IFERROR(__xludf.DUMMYFUNCTION("AVERAGE(
        FILTER(
            INDIRECT(""'"" &amp; $B$16 &amp; ""'!"" &amp; $B32 &amp; "":"" &amp; $B32),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2" s="118" t="str">
        <f>IFERROR(__xludf.DUMMYFUNCTION("AVERAGE(
        FILTER(
            INDIRECT(""'"" &amp; $B$16 &amp; ""'!"" &amp; $B32 &amp; "":"" &amp; $B32),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2" s="118" t="str">
        <f>IFERROR(__xludf.DUMMYFUNCTION("AVERAGE(
        FILTER(
            INDIRECT(""'"" &amp; $B$16 &amp; ""'!"" &amp; $B32 &amp; "":"" &amp; $B32),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2" s="118" t="str">
        <f>IFERROR(__xludf.DUMMYFUNCTION("AVERAGE(
        FILTER(
            INDIRECT(""'"" &amp; $B$16 &amp; ""'!"" &amp; $B32 &amp; "":"" &amp; $B32),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2" s="119">
        <f t="shared" si="39"/>
        <v>0</v>
      </c>
      <c r="T32" s="119">
        <f t="shared" si="40"/>
        <v>0</v>
      </c>
      <c r="U32" s="119">
        <f t="shared" si="41"/>
        <v>0</v>
      </c>
      <c r="V32" s="119">
        <f t="shared" si="42"/>
        <v>0</v>
      </c>
      <c r="W32" s="119">
        <f t="shared" si="43"/>
        <v>0</v>
      </c>
      <c r="X32" s="119">
        <f t="shared" si="44"/>
        <v>0</v>
      </c>
      <c r="Y32" s="119" t="str">
        <f t="shared" si="45"/>
        <v>#N/A</v>
      </c>
      <c r="Z32" s="119" t="str">
        <f t="shared" si="46"/>
        <v>#N/A</v>
      </c>
      <c r="AA32" s="119" t="str">
        <f t="shared" si="47"/>
        <v>#N/A</v>
      </c>
      <c r="AB32" s="119" t="str">
        <f t="shared" si="48"/>
        <v>#N/A</v>
      </c>
      <c r="AC32" s="117">
        <f t="shared" si="49"/>
        <v>0</v>
      </c>
      <c r="AD32" s="117" t="str">
        <f t="shared" si="50"/>
        <v>#N/A</v>
      </c>
      <c r="AE32" s="117" t="str">
        <f t="shared" si="51"/>
        <v>#N/A</v>
      </c>
      <c r="AF32" s="117" t="str">
        <f t="shared" si="52"/>
        <v>#N/A</v>
      </c>
      <c r="AG32" s="117" t="str">
        <f t="shared" si="53"/>
        <v>#N/A</v>
      </c>
      <c r="AH32" s="119">
        <f t="shared" si="54"/>
        <v>0</v>
      </c>
      <c r="AI32" s="119">
        <f t="shared" si="55"/>
        <v>0</v>
      </c>
      <c r="AJ32" s="120" t="str">
        <f t="shared" si="56"/>
        <v>#N/A</v>
      </c>
      <c r="AK32" s="121">
        <f t="shared" si="57"/>
        <v>0</v>
      </c>
      <c r="AL32" s="122" t="str">
        <f t="shared" si="58"/>
        <v>#N/A</v>
      </c>
      <c r="AR32" s="123"/>
      <c r="AS32" s="123"/>
      <c r="AT32" s="123"/>
      <c r="AU32" s="123"/>
    </row>
    <row r="33" ht="15.75" customHeight="1">
      <c r="A33" s="115" t="s">
        <v>290</v>
      </c>
      <c r="B33" s="90" t="str">
        <f t="shared" si="36"/>
        <v>$AT</v>
      </c>
      <c r="C33" s="116">
        <f t="shared" ref="C33:G33" si="63">COUNTIFS(INDIRECT("'" &amp; $B$16 &amp; "'!" &amp; $B$17 &amp; ":" &amp; $B$17),C$18,INDIRECT("'" &amp; $B$16 &amp; "'!" &amp; $B$18 &amp; ":" &amp; $B$18),$A33,INDIRECT("'" &amp; $B$16 &amp; "'!" &amp; $B$12 &amp; ":" &amp; $B$12), "*" &amp; $B$4 &amp; "*")</f>
        <v>0</v>
      </c>
      <c r="D33" s="116">
        <f t="shared" si="63"/>
        <v>0</v>
      </c>
      <c r="E33" s="116">
        <f t="shared" si="63"/>
        <v>0</v>
      </c>
      <c r="F33" s="116">
        <f t="shared" si="63"/>
        <v>0</v>
      </c>
      <c r="G33" s="116">
        <f t="shared" si="63"/>
        <v>0</v>
      </c>
      <c r="H33" s="116">
        <f t="shared" si="38"/>
        <v>0</v>
      </c>
      <c r="I33" s="117">
        <f>IFERROR(__xludf.DUMMYFUNCTION("IF($D$6=0, 0, 
    VAR.S(
        FILTER(
            INDIRECT(""'"" &amp; $B$16 &amp; ""'!"" &amp; $B33 &amp; "":"" &amp; $B33),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3" s="117">
        <f>IFERROR(__xludf.DUMMYFUNCTION("IF($D$7=0, 0, 
    VAR.S(
        FILTER(
            INDIRECT(""'"" &amp; $B$16 &amp; ""'!"" &amp; $B33 &amp; "":"" &amp; $B33),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3" s="117">
        <f>IFERROR(__xludf.DUMMYFUNCTION("IF($D$8=0, 0, 
    VAR.S(
        FILTER(
            INDIRECT(""'"" &amp; $B$16 &amp; ""'!"" &amp; $B33 &amp; "":"" &amp; $B33),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3" s="117">
        <f>IFERROR(__xludf.DUMMYFUNCTION("IF($D$9=0, 0, 
    VAR.S(
        FILTER(
            INDIRECT(""'"" &amp; $B$16 &amp; ""'!"" &amp; $B33 &amp; "":"" &amp; $B33),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3" s="117">
        <f>IFERROR(__xludf.DUMMYFUNCTION("IF($D$10=0, 0, 
    VAR.S(
        FILTER(
            INDIRECT(""'"" &amp; $B$16 &amp; ""'!"" &amp; $B33 &amp; "":"" &amp; $B33),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3" s="118">
        <f>IFERROR(__xludf.DUMMYFUNCTION("AVERAGE(
        FILTER(
            INDIRECT(""'"" &amp; $B$16 &amp; ""'!"" &amp; $B33 &amp; "":"" &amp; $B33),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3" s="118" t="str">
        <f>IFERROR(__xludf.DUMMYFUNCTION("AVERAGE(
        FILTER(
            INDIRECT(""'"" &amp; $B$16 &amp; ""'!"" &amp; $B33 &amp; "":"" &amp; $B33),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3" s="118" t="str">
        <f>IFERROR(__xludf.DUMMYFUNCTION("AVERAGE(
        FILTER(
            INDIRECT(""'"" &amp; $B$16 &amp; ""'!"" &amp; $B33 &amp; "":"" &amp; $B33),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3" s="118" t="str">
        <f>IFERROR(__xludf.DUMMYFUNCTION("AVERAGE(
        FILTER(
            INDIRECT(""'"" &amp; $B$16 &amp; ""'!"" &amp; $B33 &amp; "":"" &amp; $B33),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3" s="118" t="str">
        <f>IFERROR(__xludf.DUMMYFUNCTION("AVERAGE(
        FILTER(
            INDIRECT(""'"" &amp; $B$16 &amp; ""'!"" &amp; $B33 &amp; "":"" &amp; $B33),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3" s="119">
        <f t="shared" si="39"/>
        <v>0</v>
      </c>
      <c r="T33" s="119">
        <f t="shared" si="40"/>
        <v>0</v>
      </c>
      <c r="U33" s="119">
        <f t="shared" si="41"/>
        <v>0</v>
      </c>
      <c r="V33" s="119">
        <f t="shared" si="42"/>
        <v>0</v>
      </c>
      <c r="W33" s="119">
        <f t="shared" si="43"/>
        <v>0</v>
      </c>
      <c r="X33" s="119">
        <f t="shared" si="44"/>
        <v>0</v>
      </c>
      <c r="Y33" s="119" t="str">
        <f t="shared" si="45"/>
        <v>#N/A</v>
      </c>
      <c r="Z33" s="119" t="str">
        <f t="shared" si="46"/>
        <v>#N/A</v>
      </c>
      <c r="AA33" s="119" t="str">
        <f t="shared" si="47"/>
        <v>#N/A</v>
      </c>
      <c r="AB33" s="119" t="str">
        <f t="shared" si="48"/>
        <v>#N/A</v>
      </c>
      <c r="AC33" s="117">
        <f t="shared" si="49"/>
        <v>0</v>
      </c>
      <c r="AD33" s="117" t="str">
        <f t="shared" si="50"/>
        <v>#N/A</v>
      </c>
      <c r="AE33" s="117" t="str">
        <f t="shared" si="51"/>
        <v>#N/A</v>
      </c>
      <c r="AF33" s="117" t="str">
        <f t="shared" si="52"/>
        <v>#N/A</v>
      </c>
      <c r="AG33" s="117" t="str">
        <f t="shared" si="53"/>
        <v>#N/A</v>
      </c>
      <c r="AH33" s="119">
        <f t="shared" si="54"/>
        <v>0</v>
      </c>
      <c r="AI33" s="119">
        <f t="shared" si="55"/>
        <v>0</v>
      </c>
      <c r="AJ33" s="120" t="str">
        <f t="shared" si="56"/>
        <v>#N/A</v>
      </c>
      <c r="AK33" s="121">
        <f t="shared" si="57"/>
        <v>0</v>
      </c>
      <c r="AL33" s="122" t="str">
        <f t="shared" si="58"/>
        <v>#N/A</v>
      </c>
      <c r="AR33" s="123"/>
      <c r="AS33" s="123"/>
      <c r="AT33" s="123"/>
      <c r="AU33" s="123"/>
    </row>
    <row r="34" ht="15.75" customHeight="1">
      <c r="A34" s="85"/>
      <c r="B34" s="85"/>
      <c r="C34" s="29"/>
      <c r="D34" s="29"/>
      <c r="E34" s="29"/>
      <c r="F34" s="29"/>
      <c r="G34" s="29"/>
      <c r="H34" s="111">
        <f>SUM(H27:H33)</f>
        <v>0</v>
      </c>
      <c r="I34" s="29"/>
      <c r="J34" s="29"/>
      <c r="K34" s="29"/>
      <c r="L34" s="29"/>
      <c r="M34" s="29"/>
      <c r="N34" s="29"/>
      <c r="O34" s="29"/>
      <c r="P34" s="85"/>
      <c r="Q34" s="85"/>
      <c r="R34" s="29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29"/>
      <c r="AD34" s="29"/>
      <c r="AE34" s="29"/>
      <c r="AF34" s="29"/>
      <c r="AG34" s="29"/>
      <c r="AH34" s="112"/>
      <c r="AI34" s="112"/>
      <c r="AJ34" s="113" t="str">
        <f>SUM(AJ27:AJ33)</f>
        <v>#N/A</v>
      </c>
      <c r="AK34" s="114"/>
      <c r="AL34" s="29"/>
      <c r="AR34" s="29"/>
      <c r="AS34" s="29"/>
      <c r="AT34" s="29"/>
      <c r="AU34" s="29"/>
    </row>
    <row r="35" ht="15.75" customHeight="1">
      <c r="A35" s="89" t="s">
        <v>462</v>
      </c>
      <c r="B35" s="92" t="str">
        <f t="shared" ref="B35:B37" si="64">IFERROR("$" &amp; SUBSTITUTE(ADDRESS(1, MATCH(A35, INDIRECT("'" &amp; $B$16 &amp; "'!1:1"), 0), 4), "1", ""), "Not Found")
</f>
        <v>$DC</v>
      </c>
      <c r="P35" s="59"/>
      <c r="S35" s="56"/>
      <c r="T35" s="56"/>
      <c r="U35" s="56"/>
      <c r="V35" s="56"/>
      <c r="W35" s="56"/>
      <c r="X35" s="56"/>
      <c r="Y35" s="56"/>
      <c r="Z35" s="56"/>
      <c r="AA35" s="56"/>
      <c r="AB35" s="56"/>
      <c r="AH35" s="56"/>
      <c r="AI35" s="56"/>
      <c r="AK35" s="114"/>
      <c r="AL35" s="29"/>
    </row>
    <row r="36" ht="15.75" customHeight="1">
      <c r="A36" s="124" t="s">
        <v>292</v>
      </c>
      <c r="B36" s="92" t="str">
        <f t="shared" si="64"/>
        <v>$AU</v>
      </c>
      <c r="C36" s="125">
        <f t="shared" ref="C36:G36" si="65">COUNTIFS(INDIRECT("'" &amp; $B$16 &amp; "'!" &amp; $B$17 &amp; ":" &amp; $B$17),C$18,INDIRECT("'" &amp; $B$16 &amp; "'!" &amp; $B$35 &amp; ":" &amp; $B$35),LEFT($A36,3),INDIRECT("'" &amp; $B$16 &amp; "'!" &amp; $B$12 &amp; ":" &amp; $B$12), "*" &amp; $B$4 &amp; "*")</f>
        <v>1</v>
      </c>
      <c r="D36" s="125">
        <f t="shared" si="65"/>
        <v>0</v>
      </c>
      <c r="E36" s="125">
        <f t="shared" si="65"/>
        <v>0</v>
      </c>
      <c r="F36" s="125">
        <f t="shared" si="65"/>
        <v>0</v>
      </c>
      <c r="G36" s="125">
        <f t="shared" si="65"/>
        <v>0</v>
      </c>
      <c r="H36" s="125">
        <f t="shared" ref="H36:H37" si="67">SUM(C36:G36)</f>
        <v>1</v>
      </c>
      <c r="I36" s="126">
        <f>IFERROR(__xludf.DUMMYFUNCTION("IF($D$6=0, 0, 
    VAR.S(
        FILTER(
            INDIRECT(""'"" &amp; $B$16 &amp; ""'!"" &amp; $B36 &amp; "":"" &amp; $B36),
            (INDIRECT(""'"" &amp; $B$16 &amp; ""'!"" &amp; $B$17 &amp; "":"" &amp; $B$17) = I$18) *
            (ISNUMBER(SEARCH($B$4, INDIRECT(""'"" &amp; $B$16 &amp; ""'!"&amp;""" &amp; $B$12 &amp; "":"" &amp; $B$12))))
        )
    ) / $D$6
)
"),0.11111111111111112)</f>
        <v>0.1111111111</v>
      </c>
      <c r="J36" s="126">
        <f>IFERROR(__xludf.DUMMYFUNCTION("IF($D$7=0, 0, 
    VAR.S(
        FILTER(
            INDIRECT(""'"" &amp; $B$16 &amp; ""'!"" &amp; $B36 &amp; "":"" &amp; $B36),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6" s="126">
        <f>IFERROR(__xludf.DUMMYFUNCTION("IF($D$8=0, 0, 
    VAR.S(
        FILTER(
            INDIRECT(""'"" &amp; $B$16 &amp; ""'!"" &amp; $B36 &amp; "":"" &amp; $B36),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6" s="126">
        <f>IFERROR(__xludf.DUMMYFUNCTION("IF($D$9=0, 0, 
    VAR.S(
        FILTER(
            INDIRECT(""'"" &amp; $B$16 &amp; ""'!"" &amp; $B36 &amp; "":"" &amp; $B36),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6" s="126">
        <f>IFERROR(__xludf.DUMMYFUNCTION("IF($D$10=0, 0, 
    VAR.S(
        FILTER(
            INDIRECT(""'"" &amp; $B$16 &amp; ""'!"" &amp; $B36 &amp; "":"" &amp; $B36),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6" s="127">
        <f>IFERROR(__xludf.DUMMYFUNCTION("AVERAGE(
        FILTER(
            INDIRECT(""'"" &amp; $B$16 &amp; ""'!"" &amp; $B36 &amp; "":"" &amp; $B36),
            (INDIRECT(""'"" &amp; $B$16 &amp; ""'!"" &amp; $B$17 &amp; "":"" &amp; $B$17) = I$18) *
            (ISNUMBER(SEARCH($B$4, INDIRECT(""'"" &amp; $B$16 &amp; ""'!"" &amp; $B$12 &amp; "":"""&amp;" &amp; $B$12))))
        )
    )"),0.3333333333333333)</f>
        <v>0.3333333333</v>
      </c>
      <c r="O36" s="127" t="str">
        <f>IFERROR(__xludf.DUMMYFUNCTION("AVERAGE(
        FILTER(
            INDIRECT(""'"" &amp; $B$16 &amp; ""'!"" &amp; $B36 &amp; "":"" &amp; $B36),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6" s="127" t="str">
        <f>IFERROR(__xludf.DUMMYFUNCTION("AVERAGE(
        FILTER(
            INDIRECT(""'"" &amp; $B$16 &amp; ""'!"" &amp; $B36 &amp; "":"" &amp; $B36),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6" s="127" t="str">
        <f>IFERROR(__xludf.DUMMYFUNCTION("AVERAGE(
        FILTER(
            INDIRECT(""'"" &amp; $B$16 &amp; ""'!"" &amp; $B36 &amp; "":"" &amp; $B36),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6" s="127" t="str">
        <f>IFERROR(__xludf.DUMMYFUNCTION("AVERAGE(
        FILTER(
            INDIRECT(""'"" &amp; $B$16 &amp; ""'!"" &amp; $B36 &amp; "":"" &amp; $B36),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6" s="128">
        <f t="shared" ref="S36:S37" si="68">($B$6^2*I36)^0.5</f>
        <v>16705569.33</v>
      </c>
      <c r="T36" s="128">
        <f t="shared" ref="T36:T37" si="69">($B$7^2*J36)^0.5</f>
        <v>0</v>
      </c>
      <c r="U36" s="128">
        <f t="shared" ref="U36:U37" si="70">($B$8^2*K36)^0.5</f>
        <v>0</v>
      </c>
      <c r="V36" s="128">
        <f t="shared" ref="V36:V37" si="71">($B$9^2*L36)^0.5</f>
        <v>0</v>
      </c>
      <c r="W36" s="128">
        <f t="shared" ref="W36:W37" si="72">($B$10^2*M36)^0.5</f>
        <v>0</v>
      </c>
      <c r="X36" s="128">
        <f t="shared" ref="X36:X37" si="73">N36*$B$6</f>
        <v>16705569.33</v>
      </c>
      <c r="Y36" s="128" t="str">
        <f t="shared" ref="Y36:Y37" si="74">O36*$B$7</f>
        <v>#N/A</v>
      </c>
      <c r="Z36" s="128" t="str">
        <f t="shared" ref="Z36:Z37" si="75">P36*$B$8</f>
        <v>#N/A</v>
      </c>
      <c r="AA36" s="128" t="str">
        <f t="shared" ref="AA36:AA37" si="76">Q36*$B$9</f>
        <v>#N/A</v>
      </c>
      <c r="AB36" s="128" t="str">
        <f t="shared" ref="AB36:AB37" si="77">R36*$B$10</f>
        <v>#N/A</v>
      </c>
      <c r="AC36" s="126">
        <f t="shared" ref="AC36:AC37" si="78">N36*$C$6</f>
        <v>0.270292452</v>
      </c>
      <c r="AD36" s="126" t="str">
        <f t="shared" ref="AD36:AD37" si="79">O36*$C$7</f>
        <v>#N/A</v>
      </c>
      <c r="AE36" s="126" t="str">
        <f t="shared" ref="AE36:AE37" si="80">P36*$C$8</f>
        <v>#N/A</v>
      </c>
      <c r="AF36" s="126" t="str">
        <f t="shared" ref="AF36:AF37" si="81">Q36*$C$9</f>
        <v>#N/A</v>
      </c>
      <c r="AG36" s="126" t="str">
        <f t="shared" ref="AG36:AG37" si="82">R36*$C$10</f>
        <v>#N/A</v>
      </c>
      <c r="AH36" s="128">
        <f t="shared" ref="AH36:AH37" si="83">(S36*S36+T36*T36+U36*U36+V36*V36+W36*W36)^0.5</f>
        <v>16705569.33</v>
      </c>
      <c r="AI36" s="128">
        <f t="shared" ref="AI36:AI37" si="84">AH36*$B$14</f>
        <v>27480661.55</v>
      </c>
      <c r="AJ36" s="129" t="str">
        <f t="shared" ref="AJ36:AJ37" si="85">SUM(X36:AB36)</f>
        <v>#N/A</v>
      </c>
      <c r="AK36" s="130" t="str">
        <f t="shared" ref="AK36:AK37" si="86">IF(AI36=0,0,AI36/AJ36)</f>
        <v>#N/A</v>
      </c>
      <c r="AL36" s="131" t="str">
        <f t="shared" ref="AL36:AL37" si="87">AJ36/$B$2</f>
        <v>#N/A</v>
      </c>
      <c r="AR36" s="123"/>
      <c r="AS36" s="123"/>
      <c r="AT36" s="123"/>
      <c r="AU36" s="123"/>
    </row>
    <row r="37" ht="15.75" customHeight="1">
      <c r="A37" s="132" t="s">
        <v>294</v>
      </c>
      <c r="B37" s="92" t="str">
        <f t="shared" si="64"/>
        <v>$AV</v>
      </c>
      <c r="C37" s="133">
        <f t="shared" ref="C37:G37" si="66">COUNTIFS(INDIRECT("'" &amp; $B$16 &amp; "'!" &amp; $B$17 &amp; ":" &amp; $B$17),C$18,INDIRECT("'" &amp; $B$16 &amp; "'!" &amp; $B$35 &amp; ":" &amp; $B$35),LEFT($A37,3),INDIRECT("'" &amp; $B$16 &amp; "'!" &amp; $B$12 &amp; ":" &amp; $B$12), "*" &amp; $B$4 &amp; "*")</f>
        <v>0</v>
      </c>
      <c r="D37" s="133">
        <f t="shared" si="66"/>
        <v>0</v>
      </c>
      <c r="E37" s="133">
        <f t="shared" si="66"/>
        <v>0</v>
      </c>
      <c r="F37" s="133">
        <f t="shared" si="66"/>
        <v>0</v>
      </c>
      <c r="G37" s="133">
        <f t="shared" si="66"/>
        <v>0</v>
      </c>
      <c r="H37" s="133">
        <f t="shared" si="67"/>
        <v>0</v>
      </c>
      <c r="I37" s="134">
        <f>IFERROR(__xludf.DUMMYFUNCTION("IF($D$6=0, 0, 
    VAR.S(
        FILTER(
            INDIRECT(""'"" &amp; $B$16 &amp; ""'!"" &amp; $B37 &amp; "":"" &amp; $B37),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7" s="135">
        <f>IFERROR(__xludf.DUMMYFUNCTION("IF($D$7=0, 0, 
    VAR.S(
        FILTER(
            INDIRECT(""'"" &amp; $B$16 &amp; ""'!"" &amp; $B37 &amp; "":"" &amp; $B37),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7" s="135">
        <f>IFERROR(__xludf.DUMMYFUNCTION("IF($D$8=0, 0, 
    VAR.S(
        FILTER(
            INDIRECT(""'"" &amp; $B$16 &amp; ""'!"" &amp; $B37 &amp; "":"" &amp; $B37),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7" s="135">
        <f>IFERROR(__xludf.DUMMYFUNCTION("IF($D$9=0, 0, 
    VAR.S(
        FILTER(
            INDIRECT(""'"" &amp; $B$16 &amp; ""'!"" &amp; $B37 &amp; "":"" &amp; $B37),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7" s="135">
        <f>IFERROR(__xludf.DUMMYFUNCTION("IF($D$10=0, 0, 
    VAR.S(
        FILTER(
            INDIRECT(""'"" &amp; $B$16 &amp; ""'!"" &amp; $B37 &amp; "":"" &amp; $B37),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7" s="135">
        <f>IFERROR(__xludf.DUMMYFUNCTION("AVERAGE(
        FILTER(
            INDIRECT(""'"" &amp; $B$16 &amp; ""'!"" &amp; $B37 &amp; "":"" &amp; $B37),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7" s="135" t="str">
        <f>IFERROR(__xludf.DUMMYFUNCTION("AVERAGE(
        FILTER(
            INDIRECT(""'"" &amp; $B$16 &amp; ""'!"" &amp; $B37 &amp; "":"" &amp; $B37),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7" s="135" t="str">
        <f>IFERROR(__xludf.DUMMYFUNCTION("AVERAGE(
        FILTER(
            INDIRECT(""'"" &amp; $B$16 &amp; ""'!"" &amp; $B37 &amp; "":"" &amp; $B37),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7" s="135" t="str">
        <f>IFERROR(__xludf.DUMMYFUNCTION("AVERAGE(
        FILTER(
            INDIRECT(""'"" &amp; $B$16 &amp; ""'!"" &amp; $B37 &amp; "":"" &amp; $B37),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7" s="135" t="str">
        <f>IFERROR(__xludf.DUMMYFUNCTION("AVERAGE(
        FILTER(
            INDIRECT(""'"" &amp; $B$16 &amp; ""'!"" &amp; $B37 &amp; "":"" &amp; $B37),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7" s="136">
        <f t="shared" si="68"/>
        <v>0</v>
      </c>
      <c r="T37" s="136">
        <f t="shared" si="69"/>
        <v>0</v>
      </c>
      <c r="U37" s="136">
        <f t="shared" si="70"/>
        <v>0</v>
      </c>
      <c r="V37" s="136">
        <f t="shared" si="71"/>
        <v>0</v>
      </c>
      <c r="W37" s="136">
        <f t="shared" si="72"/>
        <v>0</v>
      </c>
      <c r="X37" s="136">
        <f t="shared" si="73"/>
        <v>0</v>
      </c>
      <c r="Y37" s="136" t="str">
        <f t="shared" si="74"/>
        <v>#N/A</v>
      </c>
      <c r="Z37" s="136" t="str">
        <f t="shared" si="75"/>
        <v>#N/A</v>
      </c>
      <c r="AA37" s="136" t="str">
        <f t="shared" si="76"/>
        <v>#N/A</v>
      </c>
      <c r="AB37" s="136" t="str">
        <f t="shared" si="77"/>
        <v>#N/A</v>
      </c>
      <c r="AC37" s="134">
        <f t="shared" si="78"/>
        <v>0</v>
      </c>
      <c r="AD37" s="134" t="str">
        <f t="shared" si="79"/>
        <v>#N/A</v>
      </c>
      <c r="AE37" s="134" t="str">
        <f t="shared" si="80"/>
        <v>#N/A</v>
      </c>
      <c r="AF37" s="134" t="str">
        <f t="shared" si="81"/>
        <v>#N/A</v>
      </c>
      <c r="AG37" s="134" t="str">
        <f t="shared" si="82"/>
        <v>#N/A</v>
      </c>
      <c r="AH37" s="136">
        <f t="shared" si="83"/>
        <v>0</v>
      </c>
      <c r="AI37" s="136">
        <f t="shared" si="84"/>
        <v>0</v>
      </c>
      <c r="AJ37" s="137" t="str">
        <f t="shared" si="85"/>
        <v>#N/A</v>
      </c>
      <c r="AK37" s="138">
        <f t="shared" si="86"/>
        <v>0</v>
      </c>
      <c r="AL37" s="139" t="str">
        <f t="shared" si="87"/>
        <v>#N/A</v>
      </c>
      <c r="AR37" s="123"/>
      <c r="AS37" s="123"/>
      <c r="AT37" s="123"/>
      <c r="AU37" s="123"/>
    </row>
    <row r="38" ht="15.75" customHeight="1">
      <c r="A38" s="29"/>
      <c r="B38" s="29"/>
      <c r="I38" s="140"/>
      <c r="J38" s="56"/>
      <c r="K38" s="56"/>
      <c r="L38" s="56"/>
      <c r="M38" s="56"/>
      <c r="N38" s="56"/>
      <c r="O38" s="68"/>
      <c r="P38" s="68"/>
      <c r="Q38" s="68"/>
      <c r="R38" s="68"/>
      <c r="S38" s="68"/>
      <c r="T38" s="56"/>
      <c r="U38" s="56"/>
      <c r="V38" s="56"/>
      <c r="W38" s="56"/>
      <c r="X38" s="68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K38" s="114"/>
      <c r="AL38" s="114"/>
    </row>
    <row r="39" ht="15.75" customHeight="1">
      <c r="A39" s="141" t="s">
        <v>296</v>
      </c>
      <c r="B39" s="92" t="str">
        <f t="shared" ref="B39:B40" si="89">IFERROR("$" &amp; SUBSTITUTE(ADDRESS(1, MATCH(A39, INDIRECT("'" &amp; $B$16 &amp; "'!1:1"), 0), 4), "1", ""), "Not Found")
</f>
        <v>$AW</v>
      </c>
      <c r="C39" s="142">
        <f t="shared" ref="C39:G39" si="88">COUNTIFS(INDIRECT("'" &amp; $B$16 &amp; "'!" &amp; $B$17 &amp; ":" &amp; $B$17),C$18,INDIRECT("'" &amp; $B$16 &amp; "'!" &amp; $B$35 &amp; ":" &amp; $B$35),$A39,INDIRECT("'" &amp; $B$16 &amp; "'!" &amp; $B$12 &amp; ":" &amp; $B$12), "*" &amp; $B$4 &amp; "*")</f>
        <v>0</v>
      </c>
      <c r="D39" s="142">
        <f t="shared" si="88"/>
        <v>0</v>
      </c>
      <c r="E39" s="142">
        <f t="shared" si="88"/>
        <v>0</v>
      </c>
      <c r="F39" s="142">
        <f t="shared" si="88"/>
        <v>0</v>
      </c>
      <c r="G39" s="142">
        <f t="shared" si="88"/>
        <v>0</v>
      </c>
      <c r="H39" s="142">
        <f t="shared" ref="H39:H40" si="91">SUM(C39:G39)</f>
        <v>0</v>
      </c>
      <c r="I39" s="143">
        <f>IFERROR(__xludf.DUMMYFUNCTION("IF($D$6=0, 0, 
    VAR.S(
        FILTER(
            INDIRECT(""'"" &amp; $B$16 &amp; ""'!"" &amp; $B39 &amp; "":"" &amp; $B39),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39" s="144">
        <f>IFERROR(__xludf.DUMMYFUNCTION("IF($D$7=0, 0, 
    VAR.S(
        FILTER(
            INDIRECT(""'"" &amp; $B$16 &amp; ""'!"" &amp; $B39 &amp; "":"" &amp; $B39),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39" s="144">
        <f>IFERROR(__xludf.DUMMYFUNCTION("IF($D$8=0, 0, 
    VAR.S(
        FILTER(
            INDIRECT(""'"" &amp; $B$16 &amp; ""'!"" &amp; $B39 &amp; "":"" &amp; $B39),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39" s="144">
        <f>IFERROR(__xludf.DUMMYFUNCTION("IF($D$9=0, 0, 
    VAR.S(
        FILTER(
            INDIRECT(""'"" &amp; $B$16 &amp; ""'!"" &amp; $B39 &amp; "":"" &amp; $B39),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39" s="144">
        <f>IFERROR(__xludf.DUMMYFUNCTION("IF($D$10=0, 0, 
    VAR.S(
        FILTER(
            INDIRECT(""'"" &amp; $B$16 &amp; ""'!"" &amp; $B39 &amp; "":"" &amp; $B39),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39" s="144">
        <f>IFERROR(__xludf.DUMMYFUNCTION("AVERAGE(
        FILTER(
            INDIRECT(""'"" &amp; $B$16 &amp; ""'!"" &amp; $B39 &amp; "":"" &amp; $B39),
            (INDIRECT(""'"" &amp; $B$16 &amp; ""'!"" &amp; $B$17 &amp; "":"" &amp; $B$17) = I$18) *
            (ISNUMBER(SEARCH($B$4, INDIRECT(""'"" &amp; $B$16 &amp; ""'!"" &amp; $B$12 &amp; "":"""&amp;" &amp; $B$12))))
        )
    )"),0.0)</f>
        <v>0</v>
      </c>
      <c r="O39" s="144" t="str">
        <f>IFERROR(__xludf.DUMMYFUNCTION("AVERAGE(
        FILTER(
            INDIRECT(""'"" &amp; $B$16 &amp; ""'!"" &amp; $B39 &amp; "":"" &amp; $B39),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39" s="144" t="str">
        <f>IFERROR(__xludf.DUMMYFUNCTION("AVERAGE(
        FILTER(
            INDIRECT(""'"" &amp; $B$16 &amp; ""'!"" &amp; $B39 &amp; "":"" &amp; $B39),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39" s="144" t="str">
        <f>IFERROR(__xludf.DUMMYFUNCTION("AVERAGE(
        FILTER(
            INDIRECT(""'"" &amp; $B$16 &amp; ""'!"" &amp; $B39 &amp; "":"" &amp; $B39),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39" s="144" t="str">
        <f>IFERROR(__xludf.DUMMYFUNCTION("AVERAGE(
        FILTER(
            INDIRECT(""'"" &amp; $B$16 &amp; ""'!"" &amp; $B39 &amp; "":"" &amp; $B39),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39" s="142">
        <f t="shared" ref="S39:S40" si="92">($B$6^2*I39)^0.5</f>
        <v>0</v>
      </c>
      <c r="T39" s="142">
        <f t="shared" ref="T39:T40" si="93">($B$7^2*J39)^0.5</f>
        <v>0</v>
      </c>
      <c r="U39" s="142">
        <f t="shared" ref="U39:U40" si="94">($B$8^2*K39)^0.5</f>
        <v>0</v>
      </c>
      <c r="V39" s="142">
        <f t="shared" ref="V39:V40" si="95">($B$9^2*L39)^0.5</f>
        <v>0</v>
      </c>
      <c r="W39" s="142">
        <f t="shared" ref="W39:W40" si="96">($B$10^2*M39)^0.5</f>
        <v>0</v>
      </c>
      <c r="X39" s="142">
        <f t="shared" ref="X39:X40" si="97">N39*$B$6</f>
        <v>0</v>
      </c>
      <c r="Y39" s="142" t="str">
        <f t="shared" ref="Y39:Y40" si="98">O39*$B$7</f>
        <v>#N/A</v>
      </c>
      <c r="Z39" s="142" t="str">
        <f t="shared" ref="Z39:Z40" si="99">P39*$B$8</f>
        <v>#N/A</v>
      </c>
      <c r="AA39" s="142" t="str">
        <f t="shared" ref="AA39:AA40" si="100">Q39*$B$9</f>
        <v>#N/A</v>
      </c>
      <c r="AB39" s="142" t="str">
        <f t="shared" ref="AB39:AB40" si="101">R39*$B$10</f>
        <v>#N/A</v>
      </c>
      <c r="AC39" s="143">
        <f t="shared" ref="AC39:AC40" si="102">N39*$C$6</f>
        <v>0</v>
      </c>
      <c r="AD39" s="143" t="str">
        <f t="shared" ref="AD39:AD40" si="103">O39*$C$7</f>
        <v>#N/A</v>
      </c>
      <c r="AE39" s="143" t="str">
        <f t="shared" ref="AE39:AE40" si="104">P39*$C$8</f>
        <v>#N/A</v>
      </c>
      <c r="AF39" s="143" t="str">
        <f t="shared" ref="AF39:AF40" si="105">Q39*$C$9</f>
        <v>#N/A</v>
      </c>
      <c r="AG39" s="143" t="str">
        <f t="shared" ref="AG39:AG40" si="106">R39*$C$10</f>
        <v>#N/A</v>
      </c>
      <c r="AH39" s="142">
        <f t="shared" ref="AH39:AH40" si="107">(S39*S39+T39*T39+U39*U39+V39*V39+W39*W39)^0.5</f>
        <v>0</v>
      </c>
      <c r="AI39" s="142">
        <f t="shared" ref="AI39:AI40" si="108">AH39*$B$14</f>
        <v>0</v>
      </c>
      <c r="AJ39" s="145" t="str">
        <f t="shared" ref="AJ39:AJ40" si="109">SUM(X39:AB39)</f>
        <v>#N/A</v>
      </c>
      <c r="AK39" s="146">
        <f t="shared" ref="AK39:AK40" si="110">IF(AI39=0,0,AI39/AJ39)</f>
        <v>0</v>
      </c>
      <c r="AL39" s="147" t="str">
        <f t="shared" ref="AL39:AL40" si="111">AJ39/$B$2</f>
        <v>#N/A</v>
      </c>
      <c r="AR39" s="123"/>
      <c r="AS39" s="123"/>
      <c r="AT39" s="123"/>
      <c r="AU39" s="123"/>
    </row>
    <row r="40" ht="15.75" customHeight="1">
      <c r="A40" s="148" t="s">
        <v>299</v>
      </c>
      <c r="B40" s="92" t="str">
        <f t="shared" si="89"/>
        <v>$AX</v>
      </c>
      <c r="C40" s="149">
        <f t="shared" ref="C40:G40" si="90">COUNTIFS(INDIRECT("'" &amp; $B$16 &amp; "'!" &amp; $B$17 &amp; ":" &amp; $B$17),C$18,INDIRECT("'" &amp; $B$16 &amp; "'!" &amp; $B$35 &amp; ":" &amp; $B$35),$A40,INDIRECT("'" &amp; $B$16 &amp; "'!" &amp; $B$12 &amp; ":" &amp; $B$12), "*" &amp; $B$4 &amp; "*")</f>
        <v>2</v>
      </c>
      <c r="D40" s="149">
        <f t="shared" si="90"/>
        <v>0</v>
      </c>
      <c r="E40" s="149">
        <f t="shared" si="90"/>
        <v>0</v>
      </c>
      <c r="F40" s="149">
        <f t="shared" si="90"/>
        <v>0</v>
      </c>
      <c r="G40" s="149">
        <f t="shared" si="90"/>
        <v>0</v>
      </c>
      <c r="H40" s="149">
        <f t="shared" si="91"/>
        <v>2</v>
      </c>
      <c r="I40" s="150">
        <f>IFERROR(__xludf.DUMMYFUNCTION("IF($D$6=0, 0, 
    VAR.S(
        FILTER(
            INDIRECT(""'"" &amp; $B$16 &amp; ""'!"" &amp; $B40 &amp; "":"" &amp; $B40),
            (INDIRECT(""'"" &amp; $B$16 &amp; ""'!"" &amp; $B$17 &amp; "":"" &amp; $B$17) = I$18) *
            (ISNUMBER(SEARCH($B$4, INDIRECT(""'"" &amp; $B$16 &amp; ""'!"&amp;""" &amp; $B$12 &amp; "":"" &amp; $B$12))))
        )
    ) / $D$6
)
"),0.11111111111111112)</f>
        <v>0.1111111111</v>
      </c>
      <c r="J40" s="151">
        <f>IFERROR(__xludf.DUMMYFUNCTION("IF($D$7=0, 0, 
    VAR.S(
        FILTER(
            INDIRECT(""'"" &amp; $B$16 &amp; ""'!"" &amp; $B40 &amp; "":"" &amp; $B40),
            (INDIRECT(""'"" &amp; $B$16 &amp; ""'!"" &amp; $B$17 &amp; "":"" &amp; $B$17) = J$18) *
            (ISNUMBER(SEARCH($B$4, INDIRECT(""'"" &amp; $B$16 &amp; ""'!"&amp;""" &amp; $B$12 &amp; "":"" &amp; $B$12))))
        )
    ) / $D$7
)
"),0.0)</f>
        <v>0</v>
      </c>
      <c r="K40" s="151">
        <f>IFERROR(__xludf.DUMMYFUNCTION("IF($D$8=0, 0, 
    VAR.S(
        FILTER(
            INDIRECT(""'"" &amp; $B$16 &amp; ""'!"" &amp; $B40 &amp; "":"" &amp; $B40),
            (INDIRECT(""'"" &amp; $B$16 &amp; ""'!"" &amp; $B$17 &amp; "":"" &amp; $B$17) = K$18) *
            (ISNUMBER(SEARCH($B$4, INDIRECT(""'"" &amp; $B$16 &amp; ""'!"&amp;""" &amp; $B$12 &amp; "":"" &amp; $B$12))))
        )
    ) / $D$8
)
"),0.0)</f>
        <v>0</v>
      </c>
      <c r="L40" s="151">
        <f>IFERROR(__xludf.DUMMYFUNCTION("IF($D$9=0, 0, 
    VAR.S(
        FILTER(
            INDIRECT(""'"" &amp; $B$16 &amp; ""'!"" &amp; $B40 &amp; "":"" &amp; $B40),
            (INDIRECT(""'"" &amp; $B$16 &amp; ""'!"" &amp; $B$17 &amp; "":"" &amp; $B$17) = L$18) *
            (ISNUMBER(SEARCH($B$4, INDIRECT(""'"" &amp; $B$16 &amp; ""'!"&amp;""" &amp; $B$12 &amp; "":"" &amp; $B$12))))
        )
    ) / $D$9
)
"),0.0)</f>
        <v>0</v>
      </c>
      <c r="M40" s="151">
        <f>IFERROR(__xludf.DUMMYFUNCTION("IF($D$10=0, 0, 
    VAR.S(
        FILTER(
            INDIRECT(""'"" &amp; $B$16 &amp; ""'!"" &amp; $B40 &amp; "":"" &amp; $B40),
            (INDIRECT(""'"" &amp; $B$16 &amp; ""'!"" &amp; $B$17 &amp; "":"" &amp; $B$17) = M$18) *
            (ISNUMBER(SEARCH($B$4, INDIRECT(""'"" &amp; $B$16 &amp; ""'!"&amp;""" &amp; $B$12 &amp; "":"" &amp; $B$12))))
        )
    ) / $D$10
)
"),0.0)</f>
        <v>0</v>
      </c>
      <c r="N40" s="151">
        <f>IFERROR(__xludf.DUMMYFUNCTION("AVERAGE(
        FILTER(
            INDIRECT(""'"" &amp; $B$16 &amp; ""'!"" &amp; $B40 &amp; "":"" &amp; $B40),
            (INDIRECT(""'"" &amp; $B$16 &amp; ""'!"" &amp; $B$17 &amp; "":"" &amp; $B$17) = I$18) *
            (ISNUMBER(SEARCH($B$4, INDIRECT(""'"" &amp; $B$16 &amp; ""'!"" &amp; $B$12 &amp; "":"""&amp;" &amp; $B$12))))
        )
    )"),0.6666666666666666)</f>
        <v>0.6666666667</v>
      </c>
      <c r="O40" s="151" t="str">
        <f>IFERROR(__xludf.DUMMYFUNCTION("AVERAGE(
        FILTER(
            INDIRECT(""'"" &amp; $B$16 &amp; ""'!"" &amp; $B40 &amp; "":"" &amp; $B40),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40" s="151" t="str">
        <f>IFERROR(__xludf.DUMMYFUNCTION("AVERAGE(
        FILTER(
            INDIRECT(""'"" &amp; $B$16 &amp; ""'!"" &amp; $B40 &amp; "":"" &amp; $B40),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40" s="151" t="str">
        <f>IFERROR(__xludf.DUMMYFUNCTION("AVERAGE(
        FILTER(
            INDIRECT(""'"" &amp; $B$16 &amp; ""'!"" &amp; $B40 &amp; "":"" &amp; $B40),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40" s="151" t="str">
        <f>IFERROR(__xludf.DUMMYFUNCTION("AVERAGE(
        FILTER(
            INDIRECT(""'"" &amp; $B$16 &amp; ""'!"" &amp; $B40 &amp; "":"" &amp; $B40),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40" s="149">
        <f t="shared" si="92"/>
        <v>16705569.33</v>
      </c>
      <c r="T40" s="149">
        <f t="shared" si="93"/>
        <v>0</v>
      </c>
      <c r="U40" s="149">
        <f t="shared" si="94"/>
        <v>0</v>
      </c>
      <c r="V40" s="149">
        <f t="shared" si="95"/>
        <v>0</v>
      </c>
      <c r="W40" s="149">
        <f t="shared" si="96"/>
        <v>0</v>
      </c>
      <c r="X40" s="149">
        <f t="shared" si="97"/>
        <v>33411138.67</v>
      </c>
      <c r="Y40" s="149" t="str">
        <f t="shared" si="98"/>
        <v>#N/A</v>
      </c>
      <c r="Z40" s="149" t="str">
        <f t="shared" si="99"/>
        <v>#N/A</v>
      </c>
      <c r="AA40" s="149" t="str">
        <f t="shared" si="100"/>
        <v>#N/A</v>
      </c>
      <c r="AB40" s="149" t="str">
        <f t="shared" si="101"/>
        <v>#N/A</v>
      </c>
      <c r="AC40" s="150">
        <f t="shared" si="102"/>
        <v>0.540584904</v>
      </c>
      <c r="AD40" s="150" t="str">
        <f t="shared" si="103"/>
        <v>#N/A</v>
      </c>
      <c r="AE40" s="150" t="str">
        <f t="shared" si="104"/>
        <v>#N/A</v>
      </c>
      <c r="AF40" s="150" t="str">
        <f t="shared" si="105"/>
        <v>#N/A</v>
      </c>
      <c r="AG40" s="150" t="str">
        <f t="shared" si="106"/>
        <v>#N/A</v>
      </c>
      <c r="AH40" s="149">
        <f t="shared" si="107"/>
        <v>16705569.33</v>
      </c>
      <c r="AI40" s="149">
        <f t="shared" si="108"/>
        <v>27480661.55</v>
      </c>
      <c r="AJ40" s="152" t="str">
        <f t="shared" si="109"/>
        <v>#N/A</v>
      </c>
      <c r="AK40" s="153" t="str">
        <f t="shared" si="110"/>
        <v>#N/A</v>
      </c>
      <c r="AL40" s="154" t="str">
        <f t="shared" si="111"/>
        <v>#N/A</v>
      </c>
      <c r="AR40" s="123"/>
      <c r="AS40" s="123"/>
      <c r="AT40" s="123"/>
      <c r="AU40" s="123"/>
    </row>
    <row r="41" ht="15.75" customHeight="1">
      <c r="A41" s="155"/>
      <c r="H41" s="156">
        <f>SUM(H36:H40)</f>
        <v>3</v>
      </c>
      <c r="S41" s="56"/>
      <c r="T41" s="56"/>
      <c r="U41" s="56"/>
      <c r="V41" s="56"/>
      <c r="W41" s="56"/>
      <c r="AJ41" s="55" t="str">
        <f>SUM(AJ36:AJ40)</f>
        <v>#N/A</v>
      </c>
    </row>
    <row r="42" ht="15.75" customHeight="1">
      <c r="A42" s="155"/>
      <c r="AC42" s="56"/>
      <c r="AD42" s="56"/>
      <c r="AE42" s="56"/>
      <c r="AF42" s="56"/>
      <c r="AG42" s="56"/>
      <c r="AM42" s="59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D4"/>
    <mergeCell ref="E4:G4"/>
    <mergeCell ref="C17:H17"/>
    <mergeCell ref="N17:R17"/>
    <mergeCell ref="S17:W17"/>
    <mergeCell ref="X17:AB17"/>
    <mergeCell ref="AC17:AG17"/>
  </mergeCells>
  <conditionalFormatting sqref="H41">
    <cfRule type="expression" dxfId="0" priority="1">
      <formula>H41=D11</formula>
    </cfRule>
  </conditionalFormatting>
  <conditionalFormatting sqref="H41">
    <cfRule type="expression" dxfId="1" priority="2">
      <formula>H41&lt;&gt;D11</formula>
    </cfRule>
  </conditionalFormatting>
  <conditionalFormatting sqref="AJ41">
    <cfRule type="expression" dxfId="0" priority="3">
      <formula>AJ41=B2</formula>
    </cfRule>
  </conditionalFormatting>
  <conditionalFormatting sqref="AJ41">
    <cfRule type="expression" dxfId="1" priority="4">
      <formula>AJ41&lt;&gt;B2</formula>
    </cfRule>
  </conditionalFormatting>
  <conditionalFormatting sqref="H34">
    <cfRule type="expression" dxfId="0" priority="5">
      <formula>H34=H37</formula>
    </cfRule>
  </conditionalFormatting>
  <conditionalFormatting sqref="H34">
    <cfRule type="expression" dxfId="2" priority="6">
      <formula>H34&lt;&gt;H37</formula>
    </cfRule>
  </conditionalFormatting>
  <conditionalFormatting sqref="H26">
    <cfRule type="expression" dxfId="0" priority="7">
      <formula>H26=H36</formula>
    </cfRule>
  </conditionalFormatting>
  <conditionalFormatting sqref="H26">
    <cfRule type="expression" dxfId="2" priority="8">
      <formula>H26&lt;&gt;H37</formula>
    </cfRule>
  </conditionalFormatting>
  <conditionalFormatting sqref="AJ34">
    <cfRule type="expression" dxfId="0" priority="9">
      <formula>H34=H37</formula>
    </cfRule>
  </conditionalFormatting>
  <conditionalFormatting sqref="AJ34">
    <cfRule type="expression" dxfId="2" priority="10">
      <formula>H34&lt;&gt;H37</formula>
    </cfRule>
  </conditionalFormatting>
  <conditionalFormatting sqref="AJ26">
    <cfRule type="expression" dxfId="0" priority="11">
      <formula>H26=H36</formula>
    </cfRule>
  </conditionalFormatting>
  <conditionalFormatting sqref="AJ26">
    <cfRule type="expression" dxfId="2" priority="12">
      <formula>H26&lt;&gt;H36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25"/>
    <col customWidth="1" min="3" max="3" width="11.25"/>
    <col customWidth="1" min="4" max="4" width="9.75"/>
    <col customWidth="1" min="5" max="5" width="11.5"/>
    <col customWidth="1" min="6" max="8" width="10.38"/>
    <col customWidth="1" min="9" max="13" width="9.63"/>
    <col customWidth="1" min="14" max="14" width="10.0"/>
    <col customWidth="1" min="15" max="15" width="8.88"/>
    <col customWidth="1" min="16" max="17" width="8.75"/>
    <col customWidth="1" min="18" max="18" width="7.13"/>
    <col customWidth="1" min="19" max="20" width="8.63"/>
    <col customWidth="1" min="21" max="21" width="9.38"/>
    <col customWidth="1" min="22" max="23" width="9.13"/>
    <col customWidth="1" min="24" max="29" width="9.38"/>
    <col customWidth="1" min="30" max="31" width="8.63"/>
    <col customWidth="1" min="32" max="32" width="9.38"/>
    <col customWidth="1" min="33" max="33" width="8.63"/>
    <col customWidth="1" min="34" max="34" width="12.13"/>
    <col customWidth="1" min="35" max="35" width="12.25"/>
    <col customWidth="1" min="36" max="36" width="12.5"/>
    <col customWidth="1" min="37" max="37" width="12.13"/>
    <col customWidth="1" min="38" max="38" width="14.25"/>
  </cols>
  <sheetData>
    <row r="1" ht="15.75" customHeight="1">
      <c r="A1" s="53" t="s">
        <v>482</v>
      </c>
      <c r="B1" s="54"/>
      <c r="C1" s="55"/>
      <c r="I1" s="59" t="s">
        <v>484</v>
      </c>
      <c r="P1" s="52"/>
      <c r="Q1" s="52"/>
      <c r="R1" s="52"/>
      <c r="S1" s="52"/>
    </row>
    <row r="2" ht="15.75" customHeight="1">
      <c r="A2" s="57" t="s">
        <v>483</v>
      </c>
      <c r="B2" s="58">
        <f>B11</f>
        <v>61795872</v>
      </c>
      <c r="I2" s="63" t="s">
        <v>485</v>
      </c>
      <c r="J2" s="63" t="s">
        <v>486</v>
      </c>
      <c r="K2" s="63"/>
      <c r="L2" s="63"/>
      <c r="M2" s="63" t="s">
        <v>485</v>
      </c>
      <c r="N2" s="63" t="s">
        <v>487</v>
      </c>
      <c r="P2" s="52"/>
      <c r="Q2" s="52"/>
      <c r="R2" s="52"/>
      <c r="S2" s="52"/>
    </row>
    <row r="3" ht="15.75" customHeight="1">
      <c r="A3" s="60"/>
      <c r="B3" s="61"/>
      <c r="C3" s="59"/>
      <c r="I3" s="63">
        <v>2023.0</v>
      </c>
      <c r="J3" s="68" t="str">
        <f>AJ19</f>
        <v>#N/A</v>
      </c>
      <c r="K3" s="63"/>
      <c r="L3" s="63"/>
      <c r="M3" s="63">
        <v>2023.0</v>
      </c>
      <c r="N3" s="68" t="str">
        <f>AJ21</f>
        <v>#N/A</v>
      </c>
      <c r="P3" s="52"/>
      <c r="Q3" s="52"/>
      <c r="R3" s="52"/>
      <c r="S3" s="52"/>
    </row>
    <row r="4" ht="15.75" customHeight="1">
      <c r="A4" s="63" t="s">
        <v>488</v>
      </c>
      <c r="B4" s="64">
        <v>2023.0</v>
      </c>
      <c r="C4" s="65"/>
      <c r="D4" s="66"/>
      <c r="I4" s="59"/>
      <c r="K4" s="59"/>
      <c r="L4" s="59"/>
      <c r="M4" s="59"/>
      <c r="P4" s="52"/>
      <c r="Q4" s="52"/>
      <c r="R4" s="52"/>
      <c r="S4" s="52"/>
    </row>
    <row r="5" ht="15.75" customHeight="1">
      <c r="A5" s="69" t="s">
        <v>489</v>
      </c>
      <c r="B5" s="70" t="s">
        <v>490</v>
      </c>
      <c r="C5" s="70" t="s">
        <v>491</v>
      </c>
      <c r="D5" s="157" t="s">
        <v>492</v>
      </c>
      <c r="I5" s="59"/>
      <c r="K5" s="59"/>
      <c r="L5" s="59"/>
      <c r="M5" s="59"/>
      <c r="P5" s="52"/>
      <c r="Q5" s="52"/>
      <c r="R5" s="52"/>
      <c r="S5" s="52"/>
    </row>
    <row r="6" ht="15.75" customHeight="1">
      <c r="A6" s="71">
        <v>1.0</v>
      </c>
      <c r="B6" s="158">
        <f>'Prefecture Summary 2015-2023'!H$19</f>
        <v>39982094</v>
      </c>
      <c r="C6" s="159">
        <f t="shared" ref="C6:C10" si="1">B6/$B$11</f>
        <v>0.6470026671</v>
      </c>
      <c r="D6" s="160">
        <f t="shared" ref="D6:D10" si="2">COUNTIFS(INDIRECT("'" &amp; $B$16 &amp; "'!" &amp; $B$17 &amp; ":" &amp; $B$17),A6,INDIRECT("'" &amp; $B$16 &amp; "'!" &amp; $B$12 &amp; ":" &amp; $B$12), "*" &amp; $B$4 &amp; "*")</f>
        <v>0</v>
      </c>
      <c r="I6" s="59"/>
      <c r="K6" s="59"/>
      <c r="L6" s="59"/>
      <c r="M6" s="59"/>
      <c r="P6" s="52"/>
      <c r="Q6" s="52"/>
      <c r="R6" s="52"/>
      <c r="S6" s="52"/>
    </row>
    <row r="7" ht="15.75" customHeight="1">
      <c r="A7" s="71">
        <v>2.0</v>
      </c>
      <c r="B7" s="158">
        <f>'Prefecture Summary 2015-2023'!I$19</f>
        <v>10961575</v>
      </c>
      <c r="C7" s="159">
        <f t="shared" si="1"/>
        <v>0.1773836123</v>
      </c>
      <c r="D7" s="160">
        <f t="shared" si="2"/>
        <v>0</v>
      </c>
      <c r="I7" s="59"/>
      <c r="K7" s="59"/>
      <c r="L7" s="59"/>
      <c r="M7" s="59"/>
      <c r="P7" s="52"/>
      <c r="Q7" s="52"/>
      <c r="R7" s="52"/>
      <c r="S7" s="52"/>
    </row>
    <row r="8" ht="15.75" customHeight="1">
      <c r="A8" s="71">
        <v>3.0</v>
      </c>
      <c r="B8" s="158">
        <f>'Prefecture Summary 2015-2023'!J$19</f>
        <v>6411098</v>
      </c>
      <c r="C8" s="159">
        <f t="shared" si="1"/>
        <v>0.1037463797</v>
      </c>
      <c r="D8" s="160">
        <f t="shared" si="2"/>
        <v>0</v>
      </c>
      <c r="F8" s="52"/>
      <c r="G8" s="52"/>
      <c r="P8" s="52"/>
      <c r="Q8" s="52"/>
      <c r="R8" s="52"/>
      <c r="S8" s="52"/>
    </row>
    <row r="9" ht="15.75" customHeight="1">
      <c r="A9" s="71">
        <v>4.0</v>
      </c>
      <c r="B9" s="158">
        <f>'Prefecture Summary 2015-2023'!K$19</f>
        <v>3350002</v>
      </c>
      <c r="C9" s="159">
        <f t="shared" si="1"/>
        <v>0.05421077317</v>
      </c>
      <c r="D9" s="160">
        <f t="shared" si="2"/>
        <v>0</v>
      </c>
      <c r="F9" s="84"/>
      <c r="P9" s="52"/>
      <c r="Q9" s="52"/>
      <c r="R9" s="52"/>
      <c r="S9" s="52"/>
    </row>
    <row r="10" ht="15.75" customHeight="1">
      <c r="A10" s="71">
        <v>5.0</v>
      </c>
      <c r="B10" s="158">
        <f>'Prefecture Summary 2015-2023'!L$19</f>
        <v>1091103</v>
      </c>
      <c r="C10" s="159">
        <f t="shared" si="1"/>
        <v>0.01765656774</v>
      </c>
      <c r="D10" s="160">
        <f t="shared" si="2"/>
        <v>0</v>
      </c>
      <c r="F10" s="84"/>
      <c r="P10" s="52"/>
      <c r="Q10" s="52"/>
      <c r="R10" s="52"/>
      <c r="S10" s="52"/>
    </row>
    <row r="11" ht="15.75" customHeight="1">
      <c r="A11" s="161" t="s">
        <v>506</v>
      </c>
      <c r="B11" s="162">
        <f t="shared" ref="B11:D11" si="3">SUM(B6:B10)</f>
        <v>61795872</v>
      </c>
      <c r="C11" s="163">
        <f t="shared" si="3"/>
        <v>1</v>
      </c>
      <c r="D11" s="163">
        <f t="shared" si="3"/>
        <v>0</v>
      </c>
      <c r="F11" s="84"/>
      <c r="P11" s="52"/>
      <c r="Q11" s="52"/>
      <c r="R11" s="52"/>
      <c r="S11" s="52"/>
    </row>
    <row r="12" ht="15.75" customHeight="1">
      <c r="A12" s="82" t="s">
        <v>247</v>
      </c>
      <c r="B12" s="164" t="str">
        <f t="array" ref="B12">IFERROR("$" &amp; SUBSTITUTE(ADDRESS(1, MATCH(A12, INDIRECT("'" &amp; $B$16 &amp; "'!1:1"), 0), 4), "1", ""), "Not Found")
</f>
        <v>$AB</v>
      </c>
      <c r="F12" s="86"/>
      <c r="G12" s="84"/>
      <c r="H12" s="86"/>
      <c r="P12" s="52"/>
      <c r="Q12" s="52"/>
      <c r="R12" s="52"/>
      <c r="S12" s="52"/>
    </row>
    <row r="13" ht="15.75" customHeight="1">
      <c r="A13" s="29"/>
      <c r="B13" s="85"/>
      <c r="F13" s="86"/>
      <c r="G13" s="84"/>
      <c r="H13" s="86"/>
      <c r="P13" s="52"/>
      <c r="Q13" s="52"/>
      <c r="R13" s="52"/>
      <c r="S13" s="52"/>
    </row>
    <row r="14" ht="15.75" customHeight="1">
      <c r="A14" s="87" t="s">
        <v>493</v>
      </c>
      <c r="B14" s="165">
        <v>1.645</v>
      </c>
      <c r="P14" s="52"/>
      <c r="Q14" s="52"/>
      <c r="R14" s="52"/>
      <c r="S14" s="52"/>
      <c r="T14" s="52"/>
    </row>
    <row r="15" ht="15.75" customHeight="1">
      <c r="A15" s="85"/>
      <c r="B15" s="29"/>
      <c r="S15" s="52"/>
      <c r="T15" s="52"/>
      <c r="U15" s="52"/>
      <c r="V15" s="52"/>
      <c r="W15" s="52"/>
    </row>
    <row r="16" ht="15.75" customHeight="1">
      <c r="A16" s="89" t="s">
        <v>8</v>
      </c>
      <c r="B16" s="90" t="str">
        <f>'TNT 2015-2022'!B16</f>
        <v>CEO 2015-2023</v>
      </c>
      <c r="S16" s="52"/>
      <c r="T16" s="52"/>
      <c r="U16" s="52"/>
      <c r="V16" s="52"/>
      <c r="W16" s="52"/>
    </row>
    <row r="17" ht="15.75" customHeight="1">
      <c r="A17" s="89" t="s">
        <v>507</v>
      </c>
      <c r="B17" s="92" t="str">
        <f t="shared" ref="B17:B19" si="4">IFERROR("$" &amp; SUBSTITUTE(ADDRESS(1, MATCH(A17, INDIRECT("'" &amp; $B$16 &amp; "'!1:1"), 0), 4), "1", ""), "Not Found")
</f>
        <v>$D</v>
      </c>
      <c r="C17" s="93" t="s">
        <v>494</v>
      </c>
      <c r="D17" s="65"/>
      <c r="E17" s="65"/>
      <c r="F17" s="65"/>
      <c r="G17" s="65"/>
      <c r="H17" s="66"/>
      <c r="I17" s="94" t="s">
        <v>495</v>
      </c>
      <c r="J17" s="95"/>
      <c r="K17" s="95"/>
      <c r="L17" s="95"/>
      <c r="M17" s="96"/>
      <c r="N17" s="97" t="s">
        <v>496</v>
      </c>
      <c r="O17" s="65"/>
      <c r="P17" s="65"/>
      <c r="Q17" s="65"/>
      <c r="R17" s="66"/>
      <c r="S17" s="98" t="s">
        <v>497</v>
      </c>
      <c r="T17" s="65"/>
      <c r="U17" s="65"/>
      <c r="V17" s="65"/>
      <c r="W17" s="65"/>
      <c r="X17" s="98" t="s">
        <v>498</v>
      </c>
      <c r="Y17" s="65"/>
      <c r="Z17" s="65"/>
      <c r="AA17" s="65"/>
      <c r="AB17" s="65"/>
      <c r="AC17" s="98" t="s">
        <v>499</v>
      </c>
      <c r="AD17" s="65"/>
      <c r="AE17" s="65"/>
      <c r="AF17" s="65"/>
      <c r="AG17" s="66"/>
    </row>
    <row r="18" ht="15.75" customHeight="1">
      <c r="A18" s="89" t="s">
        <v>464</v>
      </c>
      <c r="B18" s="90" t="str">
        <f t="shared" si="4"/>
        <v>$DD</v>
      </c>
      <c r="C18" s="63">
        <v>1.0</v>
      </c>
      <c r="D18" s="59">
        <v>2.0</v>
      </c>
      <c r="E18" s="63">
        <v>3.0</v>
      </c>
      <c r="F18" s="63">
        <v>4.0</v>
      </c>
      <c r="G18" s="59">
        <v>5.0</v>
      </c>
      <c r="H18" s="63" t="s">
        <v>500</v>
      </c>
      <c r="I18" s="63">
        <v>1.0</v>
      </c>
      <c r="J18" s="63">
        <v>2.0</v>
      </c>
      <c r="K18" s="63">
        <v>3.0</v>
      </c>
      <c r="L18" s="63">
        <v>4.0</v>
      </c>
      <c r="M18" s="63">
        <v>5.0</v>
      </c>
      <c r="N18" s="63">
        <v>1.0</v>
      </c>
      <c r="O18" s="63">
        <v>2.0</v>
      </c>
      <c r="P18" s="63">
        <v>3.0</v>
      </c>
      <c r="Q18" s="63">
        <v>4.0</v>
      </c>
      <c r="R18" s="63">
        <v>5.0</v>
      </c>
      <c r="S18" s="99">
        <v>1.0</v>
      </c>
      <c r="T18" s="99">
        <v>2.0</v>
      </c>
      <c r="U18" s="99">
        <v>3.0</v>
      </c>
      <c r="V18" s="99">
        <v>4.0</v>
      </c>
      <c r="W18" s="99">
        <v>5.0</v>
      </c>
      <c r="X18" s="100">
        <v>1.0</v>
      </c>
      <c r="Y18" s="100">
        <v>2.0</v>
      </c>
      <c r="Z18" s="100">
        <v>3.0</v>
      </c>
      <c r="AA18" s="100">
        <v>4.0</v>
      </c>
      <c r="AB18" s="100">
        <v>5.0</v>
      </c>
      <c r="AC18" s="101">
        <v>1.0</v>
      </c>
      <c r="AD18" s="101">
        <v>2.0</v>
      </c>
      <c r="AE18" s="101">
        <v>3.0</v>
      </c>
      <c r="AF18" s="101">
        <v>4.0</v>
      </c>
      <c r="AG18" s="101">
        <v>5.0</v>
      </c>
      <c r="AH18" s="97" t="s">
        <v>501</v>
      </c>
      <c r="AI18" s="97" t="s">
        <v>502</v>
      </c>
      <c r="AJ18" s="63" t="s">
        <v>503</v>
      </c>
      <c r="AK18" s="89" t="s">
        <v>504</v>
      </c>
      <c r="AL18" s="89" t="s">
        <v>505</v>
      </c>
    </row>
    <row r="19" ht="15.75" customHeight="1">
      <c r="A19" s="124" t="s">
        <v>453</v>
      </c>
      <c r="B19" s="92" t="str">
        <f t="shared" si="4"/>
        <v>$CZ</v>
      </c>
      <c r="C19" s="166">
        <f t="shared" ref="C19:G19" si="5">COUNTIFS(INDIRECT("'" &amp; $B$16 &amp; "'!" &amp; $B$17 &amp; ":" &amp; $B$17),C$18,INDIRECT("'" &amp; $B$16 &amp; "'!" &amp; $B$18 &amp; ":" &amp; $B$18),$A19,INDIRECT("'" &amp; $B$16 &amp; "'!" &amp; $B$12 &amp; ":" &amp; $B$12), "*" &amp; $B$4 &amp; "*")</f>
        <v>0</v>
      </c>
      <c r="D19" s="166">
        <f t="shared" si="5"/>
        <v>0</v>
      </c>
      <c r="E19" s="166">
        <f t="shared" si="5"/>
        <v>0</v>
      </c>
      <c r="F19" s="166">
        <f t="shared" si="5"/>
        <v>0</v>
      </c>
      <c r="G19" s="166">
        <f t="shared" si="5"/>
        <v>0</v>
      </c>
      <c r="H19" s="166">
        <f>SUM(C19:G19)</f>
        <v>0</v>
      </c>
      <c r="I19" s="104">
        <f>IFERROR(__xludf.DUMMYFUNCTION("IF($D$6=0, 0, 
    VAR.S(
        FILTER(
            INDIRECT(""'"" &amp; $B$16 &amp; ""'!"" &amp; $B19 &amp; "":"" &amp; $B19),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19" s="104" t="str">
        <f>IFERROR(__xludf.DUMMYFUNCTION("VAR.S(FILTER(INDIRECT(""'"" &amp; $B$16 &amp; ""'!"" &amp; $B19 &amp; "":"" &amp; $B19), INDIRECT(""'"" &amp; $B$16 &amp; ""'!"" &amp; $B$17 &amp; "":"" &amp; $B$17) = J$18, ISNUMBER(SEARCH($B$4, INDIRECT(""'"" &amp; $B$16 &amp; ""'!"" &amp; $B$12 &amp; "":"" &amp; $B$12)))))/$D$7
"),"#N/A")</f>
        <v>#N/A</v>
      </c>
      <c r="K19" s="104" t="str">
        <f>IFERROR(__xludf.DUMMYFUNCTION("VAR.S(FILTER(INDIRECT(""'"" &amp; $B$16 &amp; ""'!"" &amp; $B19 &amp; "":"" &amp; $B19), INDIRECT(""'"" &amp; $B$16 &amp; ""'!"" &amp; $B$17 &amp; "":"" &amp; $B$17) = K$18, ISNUMBER(SEARCH($B$4, INDIRECT(""'"" &amp; $B$16 &amp; ""'!"" &amp; $B$12 &amp; "":"" &amp; $B$12)))))/$D$8
"),"#N/A")</f>
        <v>#N/A</v>
      </c>
      <c r="L19" s="104" t="str">
        <f>IFERROR(__xludf.DUMMYFUNCTION("VAR.S(FILTER(INDIRECT(""'"" &amp; $B$16 &amp; ""'!"" &amp; $B19 &amp; "":"" &amp; $B19), INDIRECT(""'"" &amp; $B$16 &amp; ""'!"" &amp; $B$17 &amp; "":"" &amp; $B$17) = L$18, ISNUMBER(SEARCH($B$4, INDIRECT(""'"" &amp; $B$16 &amp; ""'!"" &amp; $B$12 &amp; "":"" &amp; $B$12)))))/$D$9
"),"#N/A")</f>
        <v>#N/A</v>
      </c>
      <c r="M19" s="104" t="str">
        <f>IFERROR(__xludf.DUMMYFUNCTION("VAR.S(FILTER(INDIRECT(""'"" &amp; $B$16 &amp; ""'!"" &amp; $B19 &amp; "":"" &amp; $B19), INDIRECT(""'"" &amp; $B$16 &amp; ""'!"" &amp; $B$17 &amp; "":"" &amp; $B$17) = M$18, ISNUMBER(SEARCH($B$4, INDIRECT(""'"" &amp; $B$16 &amp; ""'!"" &amp; $B$12 &amp; "":"" &amp; $B$12)))))/$D$10
"),"#N/A")</f>
        <v>#N/A</v>
      </c>
      <c r="N19" s="105" t="str">
        <f>IFERROR(__xludf.DUMMYFUNCTION("AVERAGE(
        FILTER(
            INDIRECT(""'"" &amp; $B$16 &amp; ""'!"" &amp; $B19 &amp; "":"" &amp; $B19),
            (INDIRECT(""'"" &amp; $B$16 &amp; ""'!"" &amp; $B$17 &amp; "":"" &amp; $B$17) = I$18) *
            (ISNUMBER(SEARCH($B$4, INDIRECT(""'"" &amp; $B$16 &amp; ""'!"" &amp; $B$12 &amp; "":"""&amp;" &amp; $B$12))))
        )
    )"),"#N/A")</f>
        <v>#N/A</v>
      </c>
      <c r="O19" s="105" t="str">
        <f>IFERROR(__xludf.DUMMYFUNCTION("AVERAGE(
        FILTER(
            INDIRECT(""'"" &amp; $B$16 &amp; ""'!"" &amp; $B19 &amp; "":"" &amp; $B19),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19" s="105" t="str">
        <f>IFERROR(__xludf.DUMMYFUNCTION("AVERAGE(
        FILTER(
            INDIRECT(""'"" &amp; $B$16 &amp; ""'!"" &amp; $B19 &amp; "":"" &amp; $B19),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19" s="105" t="str">
        <f>IFERROR(__xludf.DUMMYFUNCTION("AVERAGE(
        FILTER(
            INDIRECT(""'"" &amp; $B$16 &amp; ""'!"" &amp; $B19 &amp; "":"" &amp; $B19),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19" s="105" t="str">
        <f>IFERROR(__xludf.DUMMYFUNCTION("AVERAGE(
        FILTER(
            INDIRECT(""'"" &amp; $B$16 &amp; ""'!"" &amp; $B19 &amp; "":"" &amp; $B19),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19" s="106">
        <f>($B$6^2*I19)^0.5</f>
        <v>0</v>
      </c>
      <c r="T19" s="106" t="str">
        <f>($B$7^2*J19)^0.5</f>
        <v>#N/A</v>
      </c>
      <c r="U19" s="106" t="str">
        <f>($B$8^2*K19)^0.5</f>
        <v>#N/A</v>
      </c>
      <c r="V19" s="106" t="str">
        <f>($B$9^2*L19)^0.5</f>
        <v>#N/A</v>
      </c>
      <c r="W19" s="106" t="str">
        <f>($B$10^2*M19)^0.5</f>
        <v>#N/A</v>
      </c>
      <c r="X19" s="106" t="str">
        <f>N19*$B$6</f>
        <v>#N/A</v>
      </c>
      <c r="Y19" s="106" t="str">
        <f>O19*$B$7</f>
        <v>#N/A</v>
      </c>
      <c r="Z19" s="106" t="str">
        <f>P19*$B$8</f>
        <v>#N/A</v>
      </c>
      <c r="AA19" s="106" t="str">
        <f>Q19*$B$9</f>
        <v>#N/A</v>
      </c>
      <c r="AB19" s="106" t="str">
        <f>R19*$B$10</f>
        <v>#N/A</v>
      </c>
      <c r="AC19" s="107" t="str">
        <f>N19*$C$6</f>
        <v>#N/A</v>
      </c>
      <c r="AD19" s="107" t="str">
        <f>O19*$C$7</f>
        <v>#N/A</v>
      </c>
      <c r="AE19" s="107" t="str">
        <f>P19*$C$8</f>
        <v>#N/A</v>
      </c>
      <c r="AF19" s="107" t="str">
        <f>Q19*$C$9</f>
        <v>#N/A</v>
      </c>
      <c r="AG19" s="107" t="str">
        <f>R19*$C$10</f>
        <v>#N/A</v>
      </c>
      <c r="AH19" s="106" t="str">
        <f>(S19*S19+T19*T19+U19*U19+V19*V19+W19*W19)^0.5</f>
        <v>#N/A</v>
      </c>
      <c r="AI19" s="106" t="str">
        <f>AH19*$B$14</f>
        <v>#N/A</v>
      </c>
      <c r="AJ19" s="108" t="str">
        <f>SUM(X19:AB19)</f>
        <v>#N/A</v>
      </c>
      <c r="AK19" s="109" t="str">
        <f>IF(AI19=0,0,AI19/AJ19)</f>
        <v>#N/A</v>
      </c>
      <c r="AL19" s="110" t="str">
        <f>AJ19/$B$2</f>
        <v>#N/A</v>
      </c>
    </row>
    <row r="20" ht="15.75" customHeight="1">
      <c r="A20" s="29"/>
      <c r="B20" s="29"/>
      <c r="N20" s="56"/>
      <c r="P20" s="56"/>
      <c r="S20" s="167"/>
      <c r="T20" s="167"/>
      <c r="U20" s="167"/>
      <c r="V20" s="167"/>
      <c r="W20" s="167"/>
      <c r="AC20" s="56"/>
      <c r="AD20" s="56"/>
      <c r="AE20" s="56"/>
      <c r="AF20" s="56"/>
      <c r="AG20" s="56"/>
      <c r="AI20" s="56"/>
      <c r="AJ20" s="56"/>
      <c r="AK20" s="168"/>
      <c r="AL20" s="168"/>
    </row>
    <row r="21" ht="15.75" customHeight="1">
      <c r="A21" s="132" t="s">
        <v>456</v>
      </c>
      <c r="B21" s="92" t="str">
        <f t="array" ref="B21">IFERROR("$" &amp; SUBSTITUTE(ADDRESS(1, MATCH(A21, INDIRECT("'" &amp; $B$16 &amp; "'!1:1"), 0), 4), "1", ""), "Not Found")
</f>
        <v>$DA</v>
      </c>
      <c r="C21" s="133">
        <f t="shared" ref="C21:G21" si="6">COUNTIFS(INDIRECT("'" &amp; $B$16 &amp; "'!" &amp; $B$17 &amp; ":" &amp; $B$17),C$18,INDIRECT("'" &amp; $B$16 &amp; "'!" &amp; $B$18 &amp; ":" &amp; $B$18),$A21,INDIRECT("'" &amp; $B$16 &amp; "'!" &amp; $B$12 &amp; ":" &amp; $B$12), "*" &amp; $B$4 &amp; "*")</f>
        <v>0</v>
      </c>
      <c r="D21" s="133">
        <f t="shared" si="6"/>
        <v>0</v>
      </c>
      <c r="E21" s="133">
        <f t="shared" si="6"/>
        <v>0</v>
      </c>
      <c r="F21" s="133">
        <f t="shared" si="6"/>
        <v>0</v>
      </c>
      <c r="G21" s="133">
        <f t="shared" si="6"/>
        <v>0</v>
      </c>
      <c r="H21" s="133">
        <f>SUM(C21:G21)</f>
        <v>0</v>
      </c>
      <c r="I21" s="169">
        <f>IFERROR(__xludf.DUMMYFUNCTION("IF($D$6=0, 0, 
    VAR.S(
        FILTER(
            INDIRECT(""'"" &amp; $B$16 &amp; ""'!"" &amp; $B21 &amp; "":"" &amp; $B21),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1" s="169" t="str">
        <f>IFERROR(__xludf.DUMMYFUNCTION("VAR.S(FILTER(INDIRECT(""'"" &amp; $B$16 &amp; ""'!"" &amp; $B21 &amp; "":"" &amp; $B21), INDIRECT(""'"" &amp; $B$16 &amp; ""'!"" &amp; $B$17 &amp; "":"" &amp; $B$17) = J$18, ISNUMBER(SEARCH($B$4, INDIRECT(""'"" &amp; $B$16 &amp; ""'!"" &amp; $B$12 &amp; "":"" &amp; $B$12)))))/$D$7
"),"#N/A")</f>
        <v>#N/A</v>
      </c>
      <c r="K21" s="169" t="str">
        <f>IFERROR(__xludf.DUMMYFUNCTION("VAR.S(FILTER(INDIRECT(""'"" &amp; $B$16 &amp; ""'!"" &amp; $B21 &amp; "":"" &amp; $B21), INDIRECT(""'"" &amp; $B$16 &amp; ""'!"" &amp; $B$17 &amp; "":"" &amp; $B$17) = K$18, ISNUMBER(SEARCH($B$4, INDIRECT(""'"" &amp; $B$16 &amp; ""'!"" &amp; $B$12 &amp; "":"" &amp; $B$12)))))/$D$8
"),"#N/A")</f>
        <v>#N/A</v>
      </c>
      <c r="L21" s="169" t="str">
        <f>IFERROR(__xludf.DUMMYFUNCTION("VAR.S(FILTER(INDIRECT(""'"" &amp; $B$16 &amp; ""'!"" &amp; $B21 &amp; "":"" &amp; $B21), INDIRECT(""'"" &amp; $B$16 &amp; ""'!"" &amp; $B$17 &amp; "":"" &amp; $B$17) = L$18, ISNUMBER(SEARCH($B$4, INDIRECT(""'"" &amp; $B$16 &amp; ""'!"" &amp; $B$12 &amp; "":"" &amp; $B$12)))))/$D$9
"),"#N/A")</f>
        <v>#N/A</v>
      </c>
      <c r="M21" s="169" t="str">
        <f>IFERROR(__xludf.DUMMYFUNCTION("VAR.S(FILTER(INDIRECT(""'"" &amp; $B$16 &amp; ""'!"" &amp; $B21 &amp; "":"" &amp; $B21), INDIRECT(""'"" &amp; $B$16 &amp; ""'!"" &amp; $B$17 &amp; "":"" &amp; $B$17) = M$18, ISNUMBER(SEARCH($B$4, INDIRECT(""'"" &amp; $B$16 &amp; ""'!"" &amp; $B$12 &amp; "":"" &amp; $B$12)))))/$D$10
"),"#N/A")</f>
        <v>#N/A</v>
      </c>
      <c r="N21" s="135" t="str">
        <f>IFERROR(__xludf.DUMMYFUNCTION("AVERAGE(
        FILTER(
            INDIRECT(""'"" &amp; $B$16 &amp; ""'!"" &amp; $B21 &amp; "":"" &amp; $B21),
            (INDIRECT(""'"" &amp; $B$16 &amp; ""'!"" &amp; $B$17 &amp; "":"" &amp; $B$17) = I$18) *
            (ISNUMBER(SEARCH($B$4, INDIRECT(""'"" &amp; $B$16 &amp; ""'!"" &amp; $B$12 &amp; "":"""&amp;" &amp; $B$12))))
        )
    )"),"#N/A")</f>
        <v>#N/A</v>
      </c>
      <c r="O21" s="135" t="str">
        <f>IFERROR(__xludf.DUMMYFUNCTION("AVERAGE(
        FILTER(
            INDIRECT(""'"" &amp; $B$16 &amp; ""'!"" &amp; $B21 &amp; "":"" &amp; $B21),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1" s="135" t="str">
        <f>IFERROR(__xludf.DUMMYFUNCTION("AVERAGE(
        FILTER(
            INDIRECT(""'"" &amp; $B$16 &amp; ""'!"" &amp; $B21 &amp; "":"" &amp; $B21),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1" s="135" t="str">
        <f>IFERROR(__xludf.DUMMYFUNCTION("AVERAGE(
        FILTER(
            INDIRECT(""'"" &amp; $B$16 &amp; ""'!"" &amp; $B21 &amp; "":"" &amp; $B21),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1" s="135" t="str">
        <f>IFERROR(__xludf.DUMMYFUNCTION("AVERAGE(
        FILTER(
            INDIRECT(""'"" &amp; $B$16 &amp; ""'!"" &amp; $B21 &amp; "":"" &amp; $B21),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1" s="136">
        <f>($B$6^2*I21)^0.5</f>
        <v>0</v>
      </c>
      <c r="T21" s="136" t="str">
        <f>($B$7^2*J21)^0.5</f>
        <v>#N/A</v>
      </c>
      <c r="U21" s="136" t="str">
        <f>($B$8^2*K21)^0.5</f>
        <v>#N/A</v>
      </c>
      <c r="V21" s="136" t="str">
        <f>($B$9^2*L21)^0.5</f>
        <v>#N/A</v>
      </c>
      <c r="W21" s="136" t="str">
        <f>($B$10^2*M21)^0.5</f>
        <v>#N/A</v>
      </c>
      <c r="X21" s="135" t="str">
        <f>N21*$B$6</f>
        <v>#N/A</v>
      </c>
      <c r="Y21" s="135" t="str">
        <f>O21*$B$7</f>
        <v>#N/A</v>
      </c>
      <c r="Z21" s="135" t="str">
        <f>P21*$B$8</f>
        <v>#N/A</v>
      </c>
      <c r="AA21" s="135" t="str">
        <f>Q21*$B$9</f>
        <v>#N/A</v>
      </c>
      <c r="AB21" s="135" t="str">
        <f>R21*$B$10</f>
        <v>#N/A</v>
      </c>
      <c r="AC21" s="136" t="str">
        <f>N21*$C$6</f>
        <v>#N/A</v>
      </c>
      <c r="AD21" s="136" t="str">
        <f>O21*$C$7</f>
        <v>#N/A</v>
      </c>
      <c r="AE21" s="136" t="str">
        <f>P21*$C$8</f>
        <v>#N/A</v>
      </c>
      <c r="AF21" s="136" t="str">
        <f>Q21*$C$9</f>
        <v>#N/A</v>
      </c>
      <c r="AG21" s="136" t="str">
        <f>R21*$C$10</f>
        <v>#N/A</v>
      </c>
      <c r="AH21" s="136" t="str">
        <f>(S21*S21+T21*T21+U21*U21+V21*V21+W21*W21)^0.5</f>
        <v>#N/A</v>
      </c>
      <c r="AI21" s="136" t="str">
        <f>AH21*$B$14</f>
        <v>#N/A</v>
      </c>
      <c r="AJ21" s="137" t="str">
        <f>SUM(X21:AB21)</f>
        <v>#N/A</v>
      </c>
      <c r="AK21" s="170" t="str">
        <f>IF(AI21=0,0,AI21/AJ21)</f>
        <v>#N/A</v>
      </c>
      <c r="AL21" s="171" t="str">
        <f>AJ21/$B$2</f>
        <v>#N/A</v>
      </c>
    </row>
    <row r="22" ht="15.75" customHeight="1">
      <c r="A22" s="85"/>
      <c r="B22" s="29"/>
      <c r="N22" s="172"/>
      <c r="O22" s="172"/>
      <c r="P22" s="172"/>
      <c r="Q22" s="173"/>
      <c r="R22" s="173"/>
      <c r="S22" s="56"/>
      <c r="T22" s="56"/>
      <c r="U22" s="56"/>
      <c r="V22" s="56"/>
      <c r="W22" s="56"/>
      <c r="AC22" s="56"/>
      <c r="AD22" s="56"/>
      <c r="AE22" s="56"/>
      <c r="AF22" s="56"/>
      <c r="AG22" s="56"/>
      <c r="AK22" s="168"/>
      <c r="AL22" s="168"/>
    </row>
    <row r="23" ht="15.75" customHeight="1">
      <c r="A23" s="174" t="s">
        <v>296</v>
      </c>
      <c r="B23" s="90" t="str">
        <f t="shared" ref="B23:B24" si="8">IFERROR("$" &amp; SUBSTITUTE(ADDRESS(1, MATCH(A23, INDIRECT("'" &amp; $B$16 &amp; "'!1:1"), 0), 4), "1", ""), "Not Found")
</f>
        <v>$AW</v>
      </c>
      <c r="C23" s="175">
        <f t="shared" ref="C23:G23" si="7">COUNTIFS(INDIRECT("'" &amp; $B$16 &amp; "'!" &amp; $B$17 &amp; ":" &amp; $B$17),C$18,INDIRECT("'" &amp; $B$16 &amp; "'!" &amp; $B$18 &amp; ":" &amp; $B$18),$A23,INDIRECT("'" &amp; $B$16 &amp; "'!" &amp; $B$12 &amp; ":" &amp; $B$12), "*" &amp; $B$4 &amp; "*")</f>
        <v>0</v>
      </c>
      <c r="D23" s="175">
        <f t="shared" si="7"/>
        <v>0</v>
      </c>
      <c r="E23" s="175">
        <f t="shared" si="7"/>
        <v>0</v>
      </c>
      <c r="F23" s="175">
        <f t="shared" si="7"/>
        <v>0</v>
      </c>
      <c r="G23" s="175">
        <f t="shared" si="7"/>
        <v>0</v>
      </c>
      <c r="H23" s="175">
        <f t="shared" ref="H23:H24" si="10">SUM(C23:G23)</f>
        <v>0</v>
      </c>
      <c r="I23" s="176">
        <f>IFERROR(__xludf.DUMMYFUNCTION("IF($D$6=0, 0, 
    VAR.S(
        FILTER(
            INDIRECT(""'"" &amp; $B$16 &amp; ""'!"" &amp; $B23 &amp; "":"" &amp; $B23),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3" s="176" t="str">
        <f>IFERROR(__xludf.DUMMYFUNCTION("VAR.S(FILTER(INDIRECT(""'"" &amp; $B$16 &amp; ""'!"" &amp; $B23 &amp; "":"" &amp; $B23), INDIRECT(""'"" &amp; $B$16 &amp; ""'!"" &amp; $B$17 &amp; "":"" &amp; $B$17) = J$18, ISNUMBER(SEARCH($B$4, INDIRECT(""'"" &amp; $B$16 &amp; ""'!"" &amp; $B$12 &amp; "":"" &amp; $B$12)))))/$D$7
"),"#N/A")</f>
        <v>#N/A</v>
      </c>
      <c r="K23" s="176" t="str">
        <f>IFERROR(__xludf.DUMMYFUNCTION("VAR.S(FILTER(INDIRECT(""'"" &amp; $B$16 &amp; ""'!"" &amp; $B23 &amp; "":"" &amp; $B23), INDIRECT(""'"" &amp; $B$16 &amp; ""'!"" &amp; $B$17 &amp; "":"" &amp; $B$17) = K$18, ISNUMBER(SEARCH($B$4, INDIRECT(""'"" &amp; $B$16 &amp; ""'!"" &amp; $B$12 &amp; "":"" &amp; $B$12)))))/$D$8
"),"#N/A")</f>
        <v>#N/A</v>
      </c>
      <c r="L23" s="176" t="str">
        <f>IFERROR(__xludf.DUMMYFUNCTION("VAR.S(FILTER(INDIRECT(""'"" &amp; $B$16 &amp; ""'!"" &amp; $B23 &amp; "":"" &amp; $B23), INDIRECT(""'"" &amp; $B$16 &amp; ""'!"" &amp; $B$17 &amp; "":"" &amp; $B$17) = L$18, ISNUMBER(SEARCH($B$4, INDIRECT(""'"" &amp; $B$16 &amp; ""'!"" &amp; $B$12 &amp; "":"" &amp; $B$12)))))/$D$9
"),"#N/A")</f>
        <v>#N/A</v>
      </c>
      <c r="M23" s="176" t="str">
        <f>IFERROR(__xludf.DUMMYFUNCTION("VAR.S(FILTER(INDIRECT(""'"" &amp; $B$16 &amp; ""'!"" &amp; $B23 &amp; "":"" &amp; $B23), INDIRECT(""'"" &amp; $B$16 &amp; ""'!"" &amp; $B$17 &amp; "":"" &amp; $B$17) = M$18, ISNUMBER(SEARCH($B$4, INDIRECT(""'"" &amp; $B$16 &amp; ""'!"" &amp; $B$12 &amp; "":"" &amp; $B$12)))))/$D$10
"),"#N/A")</f>
        <v>#N/A</v>
      </c>
      <c r="N23" s="177" t="str">
        <f>IFERROR(__xludf.DUMMYFUNCTION("AVERAGE(
        FILTER(
            INDIRECT(""'"" &amp; $B$16 &amp; ""'!"" &amp; $B23 &amp; "":"" &amp; $B23),
            (INDIRECT(""'"" &amp; $B$16 &amp; ""'!"" &amp; $B$17 &amp; "":"" &amp; $B$17) = I$18) *
            (ISNUMBER(SEARCH($B$4, INDIRECT(""'"" &amp; $B$16 &amp; ""'!"" &amp; $B$12 &amp; "":"""&amp;" &amp; $B$12))))
        )
    )"),"#N/A")</f>
        <v>#N/A</v>
      </c>
      <c r="O23" s="177" t="str">
        <f>IFERROR(__xludf.DUMMYFUNCTION("AVERAGE(
        FILTER(
            INDIRECT(""'"" &amp; $B$16 &amp; ""'!"" &amp; $B23 &amp; "":"" &amp; $B23),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3" s="177" t="str">
        <f>IFERROR(__xludf.DUMMYFUNCTION("AVERAGE(
        FILTER(
            INDIRECT(""'"" &amp; $B$16 &amp; ""'!"" &amp; $B23 &amp; "":"" &amp; $B23),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3" s="177" t="str">
        <f>IFERROR(__xludf.DUMMYFUNCTION("AVERAGE(
        FILTER(
            INDIRECT(""'"" &amp; $B$16 &amp; ""'!"" &amp; $B23 &amp; "":"" &amp; $B23),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3" s="177" t="str">
        <f>IFERROR(__xludf.DUMMYFUNCTION("AVERAGE(
        FILTER(
            INDIRECT(""'"" &amp; $B$16 &amp; ""'!"" &amp; $B23 &amp; "":"" &amp; $B23),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3" s="175">
        <f t="shared" ref="S23:S24" si="11">($B$6^2*I23)^0.5</f>
        <v>0</v>
      </c>
      <c r="T23" s="175" t="str">
        <f t="shared" ref="T23:T24" si="12">($B$7^2*J23)^0.5</f>
        <v>#N/A</v>
      </c>
      <c r="U23" s="175" t="str">
        <f t="shared" ref="U23:U24" si="13">($B$8^2*K23)^0.5</f>
        <v>#N/A</v>
      </c>
      <c r="V23" s="175" t="str">
        <f t="shared" ref="V23:V24" si="14">($B$9^2*L23)^0.5</f>
        <v>#N/A</v>
      </c>
      <c r="W23" s="175" t="str">
        <f t="shared" ref="W23:W24" si="15">($B$10^2*M23)^0.5</f>
        <v>#N/A</v>
      </c>
      <c r="X23" s="177" t="str">
        <f t="shared" ref="X23:X24" si="16">N23*$B$6</f>
        <v>#N/A</v>
      </c>
      <c r="Y23" s="177" t="str">
        <f t="shared" ref="Y23:Y24" si="17">O23*$B$7</f>
        <v>#N/A</v>
      </c>
      <c r="Z23" s="177" t="str">
        <f t="shared" ref="Z23:Z24" si="18">P23*$B$8</f>
        <v>#N/A</v>
      </c>
      <c r="AA23" s="177" t="str">
        <f t="shared" ref="AA23:AA24" si="19">Q23*$B$9</f>
        <v>#N/A</v>
      </c>
      <c r="AB23" s="177" t="str">
        <f t="shared" ref="AB23:AB24" si="20">R23*$B$10</f>
        <v>#N/A</v>
      </c>
      <c r="AC23" s="175" t="str">
        <f t="shared" ref="AC23:AC24" si="21">N23*$C$6</f>
        <v>#N/A</v>
      </c>
      <c r="AD23" s="175" t="str">
        <f t="shared" ref="AD23:AD24" si="22">O23*$C$7</f>
        <v>#N/A</v>
      </c>
      <c r="AE23" s="175" t="str">
        <f t="shared" ref="AE23:AE24" si="23">P23*$C$8</f>
        <v>#N/A</v>
      </c>
      <c r="AF23" s="175" t="str">
        <f t="shared" ref="AF23:AF24" si="24">Q23*$C$9</f>
        <v>#N/A</v>
      </c>
      <c r="AG23" s="175" t="str">
        <f t="shared" ref="AG23:AG24" si="25">R23*$C$10</f>
        <v>#N/A</v>
      </c>
      <c r="AH23" s="175" t="str">
        <f t="shared" ref="AH23:AH24" si="26">(S23*S23+T23*T23+U23*U23+V23*V23+W23*W23)^0.5</f>
        <v>#N/A</v>
      </c>
      <c r="AI23" s="175" t="str">
        <f t="shared" ref="AI23:AI24" si="27">AH23*$B$14</f>
        <v>#N/A</v>
      </c>
      <c r="AJ23" s="178" t="str">
        <f t="shared" ref="AJ23:AJ24" si="28">SUM(X23:AB23)</f>
        <v>#N/A</v>
      </c>
      <c r="AK23" s="179" t="str">
        <f t="shared" ref="AK23:AK24" si="29">IF(AI23=0,0,AI23/AJ23)</f>
        <v>#N/A</v>
      </c>
      <c r="AL23" s="180" t="str">
        <f t="shared" ref="AL23:AL24" si="30">AJ23/$B$2</f>
        <v>#N/A</v>
      </c>
    </row>
    <row r="24" ht="15.75" customHeight="1">
      <c r="A24" s="174" t="s">
        <v>299</v>
      </c>
      <c r="B24" s="90" t="str">
        <f t="shared" si="8"/>
        <v>$AX</v>
      </c>
      <c r="C24" s="175">
        <f t="shared" ref="C24:G24" si="9">COUNTIFS(INDIRECT("'" &amp; $B$16 &amp; "'!" &amp; $B$17 &amp; ":" &amp; $B$17),C$18,INDIRECT("'" &amp; $B$16 &amp; "'!" &amp; $B$18 &amp; ":" &amp; $B$18),$A24,INDIRECT("'" &amp; $B$16 &amp; "'!" &amp; $B$12 &amp; ":" &amp; $B$12), "*" &amp; $B$4 &amp; "*")</f>
        <v>0</v>
      </c>
      <c r="D24" s="175">
        <f t="shared" si="9"/>
        <v>0</v>
      </c>
      <c r="E24" s="175">
        <f t="shared" si="9"/>
        <v>0</v>
      </c>
      <c r="F24" s="175">
        <f t="shared" si="9"/>
        <v>0</v>
      </c>
      <c r="G24" s="175">
        <f t="shared" si="9"/>
        <v>0</v>
      </c>
      <c r="H24" s="175">
        <f t="shared" si="10"/>
        <v>0</v>
      </c>
      <c r="I24" s="176">
        <f>IFERROR(__xludf.DUMMYFUNCTION("IF($D$6=0, 0, 
    VAR.S(
        FILTER(
            INDIRECT(""'"" &amp; $B$16 &amp; ""'!"" &amp; $B24 &amp; "":"" &amp; $B24),
            (INDIRECT(""'"" &amp; $B$16 &amp; ""'!"" &amp; $B$17 &amp; "":"" &amp; $B$17) = I$18) *
            (ISNUMBER(SEARCH($B$4, INDIRECT(""'"" &amp; $B$16 &amp; ""'!"&amp;""" &amp; $B$12 &amp; "":"" &amp; $B$12))))
        )
    ) / $D$6
)
"),0.0)</f>
        <v>0</v>
      </c>
      <c r="J24" s="176" t="str">
        <f>IFERROR(__xludf.DUMMYFUNCTION("VAR.S(FILTER(INDIRECT(""'"" &amp; $B$16 &amp; ""'!"" &amp; $B24 &amp; "":"" &amp; $B24), INDIRECT(""'"" &amp; $B$16 &amp; ""'!"" &amp; $B$17 &amp; "":"" &amp; $B$17) = J$18, ISNUMBER(SEARCH($B$4, INDIRECT(""'"" &amp; $B$16 &amp; ""'!"" &amp; $B$12 &amp; "":"" &amp; $B$12)))))/$D$7
"),"#N/A")</f>
        <v>#N/A</v>
      </c>
      <c r="K24" s="176" t="str">
        <f>IFERROR(__xludf.DUMMYFUNCTION("VAR.S(FILTER(INDIRECT(""'"" &amp; $B$16 &amp; ""'!"" &amp; $B24 &amp; "":"" &amp; $B24), INDIRECT(""'"" &amp; $B$16 &amp; ""'!"" &amp; $B$17 &amp; "":"" &amp; $B$17) = K$18, ISNUMBER(SEARCH($B$4, INDIRECT(""'"" &amp; $B$16 &amp; ""'!"" &amp; $B$12 &amp; "":"" &amp; $B$12)))))/$D$8
"),"#N/A")</f>
        <v>#N/A</v>
      </c>
      <c r="L24" s="176" t="str">
        <f>IFERROR(__xludf.DUMMYFUNCTION("VAR.S(FILTER(INDIRECT(""'"" &amp; $B$16 &amp; ""'!"" &amp; $B24 &amp; "":"" &amp; $B24), INDIRECT(""'"" &amp; $B$16 &amp; ""'!"" &amp; $B$17 &amp; "":"" &amp; $B$17) = L$18, ISNUMBER(SEARCH($B$4, INDIRECT(""'"" &amp; $B$16 &amp; ""'!"" &amp; $B$12 &amp; "":"" &amp; $B$12)))))/$D$9
"),"#N/A")</f>
        <v>#N/A</v>
      </c>
      <c r="M24" s="176" t="str">
        <f>IFERROR(__xludf.DUMMYFUNCTION("VAR.S(FILTER(INDIRECT(""'"" &amp; $B$16 &amp; ""'!"" &amp; $B24 &amp; "":"" &amp; $B24), INDIRECT(""'"" &amp; $B$16 &amp; ""'!"" &amp; $B$17 &amp; "":"" &amp; $B$17) = M$18, ISNUMBER(SEARCH($B$4, INDIRECT(""'"" &amp; $B$16 &amp; ""'!"" &amp; $B$12 &amp; "":"" &amp; $B$12)))))/$D$10
"),"#N/A")</f>
        <v>#N/A</v>
      </c>
      <c r="N24" s="177" t="str">
        <f>IFERROR(__xludf.DUMMYFUNCTION("AVERAGE(
        FILTER(
            INDIRECT(""'"" &amp; $B$16 &amp; ""'!"" &amp; $B24 &amp; "":"" &amp; $B24),
            (INDIRECT(""'"" &amp; $B$16 &amp; ""'!"" &amp; $B$17 &amp; "":"" &amp; $B$17) = I$18) *
            (ISNUMBER(SEARCH($B$4, INDIRECT(""'"" &amp; $B$16 &amp; ""'!"" &amp; $B$12 &amp; "":"""&amp;" &amp; $B$12))))
        )
    )"),"#N/A")</f>
        <v>#N/A</v>
      </c>
      <c r="O24" s="177" t="str">
        <f>IFERROR(__xludf.DUMMYFUNCTION("AVERAGE(
        FILTER(
            INDIRECT(""'"" &amp; $B$16 &amp; ""'!"" &amp; $B24 &amp; "":"" &amp; $B24),
            (INDIRECT(""'"" &amp; $B$16 &amp; ""'!"" &amp; $B$17 &amp; "":"" &amp; $B$17) = J$18) *
            (ISNUMBER(SEARCH($B$4, INDIRECT(""'"" &amp; $B$16 &amp; ""'!"" &amp; $B$12 &amp; "":"""&amp;" &amp; $B$12))))
        )
    )"),"#N/A")</f>
        <v>#N/A</v>
      </c>
      <c r="P24" s="177" t="str">
        <f>IFERROR(__xludf.DUMMYFUNCTION("AVERAGE(
        FILTER(
            INDIRECT(""'"" &amp; $B$16 &amp; ""'!"" &amp; $B24 &amp; "":"" &amp; $B24),
            (INDIRECT(""'"" &amp; $B$16 &amp; ""'!"" &amp; $B$17 &amp; "":"" &amp; $B$17) = K$18) *
            (ISNUMBER(SEARCH($B$4, INDIRECT(""'"" &amp; $B$16 &amp; ""'!"" &amp; $B$12 &amp; "":"""&amp;" &amp; $B$12))))
        )
    )"),"#N/A")</f>
        <v>#N/A</v>
      </c>
      <c r="Q24" s="177" t="str">
        <f>IFERROR(__xludf.DUMMYFUNCTION("AVERAGE(
        FILTER(
            INDIRECT(""'"" &amp; $B$16 &amp; ""'!"" &amp; $B24 &amp; "":"" &amp; $B24),
            (INDIRECT(""'"" &amp; $B$16 &amp; ""'!"" &amp; $B$17 &amp; "":"" &amp; $B$17) = L$18) *
            (ISNUMBER(SEARCH($B$4, INDIRECT(""'"" &amp; $B$16 &amp; ""'!"" &amp; $B$12 &amp; "":"""&amp;" &amp; $B$12))))
        )
    )"),"#N/A")</f>
        <v>#N/A</v>
      </c>
      <c r="R24" s="177" t="str">
        <f>IFERROR(__xludf.DUMMYFUNCTION("AVERAGE(
        FILTER(
            INDIRECT(""'"" &amp; $B$16 &amp; ""'!"" &amp; $B24 &amp; "":"" &amp; $B24),
            (INDIRECT(""'"" &amp; $B$16 &amp; ""'!"" &amp; $B$17 &amp; "":"" &amp; $B$17) = M$18) *
            (ISNUMBER(SEARCH($B$4, INDIRECT(""'"" &amp; $B$16 &amp; ""'!"" &amp; $B$12 &amp; "":"""&amp;" &amp; $B$12))))
        )
    )"),"#N/A")</f>
        <v>#N/A</v>
      </c>
      <c r="S24" s="175">
        <f t="shared" si="11"/>
        <v>0</v>
      </c>
      <c r="T24" s="175" t="str">
        <f t="shared" si="12"/>
        <v>#N/A</v>
      </c>
      <c r="U24" s="175" t="str">
        <f t="shared" si="13"/>
        <v>#N/A</v>
      </c>
      <c r="V24" s="175" t="str">
        <f t="shared" si="14"/>
        <v>#N/A</v>
      </c>
      <c r="W24" s="175" t="str">
        <f t="shared" si="15"/>
        <v>#N/A</v>
      </c>
      <c r="X24" s="177" t="str">
        <f t="shared" si="16"/>
        <v>#N/A</v>
      </c>
      <c r="Y24" s="177" t="str">
        <f t="shared" si="17"/>
        <v>#N/A</v>
      </c>
      <c r="Z24" s="177" t="str">
        <f t="shared" si="18"/>
        <v>#N/A</v>
      </c>
      <c r="AA24" s="177" t="str">
        <f t="shared" si="19"/>
        <v>#N/A</v>
      </c>
      <c r="AB24" s="177" t="str">
        <f t="shared" si="20"/>
        <v>#N/A</v>
      </c>
      <c r="AC24" s="175" t="str">
        <f t="shared" si="21"/>
        <v>#N/A</v>
      </c>
      <c r="AD24" s="175" t="str">
        <f t="shared" si="22"/>
        <v>#N/A</v>
      </c>
      <c r="AE24" s="175" t="str">
        <f t="shared" si="23"/>
        <v>#N/A</v>
      </c>
      <c r="AF24" s="175" t="str">
        <f t="shared" si="24"/>
        <v>#N/A</v>
      </c>
      <c r="AG24" s="175" t="str">
        <f t="shared" si="25"/>
        <v>#N/A</v>
      </c>
      <c r="AH24" s="175" t="str">
        <f t="shared" si="26"/>
        <v>#N/A</v>
      </c>
      <c r="AI24" s="175" t="str">
        <f t="shared" si="27"/>
        <v>#N/A</v>
      </c>
      <c r="AJ24" s="178" t="str">
        <f t="shared" si="28"/>
        <v>#N/A</v>
      </c>
      <c r="AK24" s="179" t="str">
        <f t="shared" si="29"/>
        <v>#N/A</v>
      </c>
      <c r="AL24" s="180" t="str">
        <f t="shared" si="30"/>
        <v>#N/A</v>
      </c>
    </row>
    <row r="25" ht="15.75" customHeight="1">
      <c r="A25" s="155"/>
      <c r="H25" s="55">
        <f>SUM(H19:H24)</f>
        <v>0</v>
      </c>
      <c r="AJ25" s="55" t="str">
        <f>SUM(AJ19:AJ24)</f>
        <v>#N/A</v>
      </c>
    </row>
    <row r="26" ht="15.75" customHeight="1">
      <c r="A26" s="155"/>
    </row>
    <row r="27" ht="15.75" customHeight="1">
      <c r="A27" s="155"/>
    </row>
    <row r="28" ht="15.75" customHeight="1">
      <c r="A28" s="155"/>
    </row>
    <row r="29" ht="15.75" customHeight="1">
      <c r="A29" s="155"/>
    </row>
    <row r="30" ht="15.75" customHeight="1">
      <c r="A30" s="155"/>
    </row>
    <row r="31" ht="15.75" customHeight="1">
      <c r="A31" s="155"/>
    </row>
    <row r="32" ht="15.75" customHeight="1">
      <c r="A32" s="155"/>
    </row>
    <row r="33" ht="15.75" customHeight="1">
      <c r="A33" s="155"/>
    </row>
    <row r="34" ht="15.75" customHeight="1">
      <c r="A34" s="155"/>
    </row>
    <row r="35" ht="15.75" customHeight="1">
      <c r="A35" s="155"/>
    </row>
    <row r="36" ht="15.75" customHeight="1">
      <c r="A36" s="155"/>
    </row>
    <row r="37" ht="15.75" customHeight="1">
      <c r="A37" s="155"/>
    </row>
    <row r="38" ht="15.75" customHeight="1">
      <c r="A38" s="155"/>
    </row>
    <row r="39" ht="15.75" customHeight="1">
      <c r="A39" s="155"/>
    </row>
    <row r="40" ht="15.75" customHeight="1">
      <c r="A40" s="155"/>
    </row>
    <row r="41" ht="15.75" customHeight="1">
      <c r="A41" s="155"/>
    </row>
    <row r="42" ht="15.75" customHeight="1">
      <c r="A42" s="155"/>
    </row>
    <row r="43" ht="15.75" customHeight="1">
      <c r="A43" s="155"/>
    </row>
    <row r="44" ht="15.75" customHeight="1">
      <c r="A44" s="155"/>
    </row>
    <row r="45" ht="15.75" customHeight="1">
      <c r="A45" s="155"/>
    </row>
    <row r="46" ht="15.75" customHeight="1">
      <c r="A46" s="155"/>
    </row>
    <row r="47" ht="15.75" customHeight="1">
      <c r="A47" s="155"/>
    </row>
    <row r="48" ht="15.75" customHeight="1">
      <c r="A48" s="155"/>
    </row>
    <row r="49" ht="15.75" customHeight="1">
      <c r="A49" s="155"/>
    </row>
    <row r="50" ht="15.75" customHeight="1">
      <c r="A50" s="155"/>
    </row>
    <row r="51" ht="15.75" customHeight="1">
      <c r="A51" s="155"/>
    </row>
    <row r="52" ht="15.75" customHeight="1">
      <c r="A52" s="155"/>
    </row>
    <row r="53" ht="15.75" customHeight="1">
      <c r="A53" s="155"/>
    </row>
    <row r="54" ht="15.75" customHeight="1">
      <c r="A54" s="155"/>
    </row>
    <row r="55" ht="15.75" customHeight="1">
      <c r="A55" s="155"/>
    </row>
    <row r="56" ht="15.75" customHeight="1">
      <c r="A56" s="155"/>
    </row>
    <row r="57" ht="15.75" customHeight="1">
      <c r="A57" s="155"/>
    </row>
    <row r="58" ht="15.75" customHeight="1">
      <c r="A58" s="155"/>
    </row>
    <row r="59" ht="15.75" customHeight="1">
      <c r="A59" s="155"/>
    </row>
    <row r="60" ht="15.75" customHeight="1">
      <c r="A60" s="155"/>
    </row>
    <row r="61" ht="15.75" customHeight="1">
      <c r="A61" s="155"/>
    </row>
    <row r="62" ht="15.75" customHeight="1">
      <c r="A62" s="155"/>
    </row>
    <row r="63" ht="15.75" customHeight="1">
      <c r="A63" s="155"/>
    </row>
    <row r="64" ht="15.75" customHeight="1">
      <c r="A64" s="155"/>
    </row>
    <row r="65" ht="15.75" customHeight="1">
      <c r="A65" s="155"/>
    </row>
    <row r="66" ht="15.75" customHeight="1">
      <c r="A66" s="155"/>
    </row>
    <row r="67" ht="15.75" customHeight="1">
      <c r="A67" s="155"/>
    </row>
    <row r="68" ht="15.75" customHeight="1">
      <c r="A68" s="155"/>
    </row>
    <row r="69" ht="15.75" customHeight="1">
      <c r="A69" s="155"/>
    </row>
    <row r="70" ht="15.75" customHeight="1">
      <c r="A70" s="155"/>
    </row>
    <row r="71" ht="15.75" customHeight="1">
      <c r="A71" s="155"/>
    </row>
    <row r="72" ht="15.75" customHeight="1">
      <c r="A72" s="155"/>
    </row>
    <row r="73" ht="15.75" customHeight="1">
      <c r="A73" s="155"/>
    </row>
    <row r="74" ht="15.75" customHeight="1">
      <c r="A74" s="155"/>
    </row>
    <row r="75" ht="15.75" customHeight="1">
      <c r="A75" s="155"/>
    </row>
    <row r="76" ht="15.75" customHeight="1">
      <c r="A76" s="155"/>
    </row>
    <row r="77" ht="15.75" customHeight="1">
      <c r="A77" s="155"/>
    </row>
    <row r="78" ht="15.75" customHeight="1">
      <c r="A78" s="155"/>
    </row>
    <row r="79" ht="15.75" customHeight="1">
      <c r="A79" s="155"/>
    </row>
    <row r="80" ht="15.75" customHeight="1">
      <c r="A80" s="155"/>
    </row>
    <row r="81" ht="15.75" customHeight="1">
      <c r="A81" s="155"/>
    </row>
    <row r="82" ht="15.75" customHeight="1">
      <c r="A82" s="155"/>
    </row>
    <row r="83" ht="15.75" customHeight="1">
      <c r="A83" s="155"/>
    </row>
    <row r="84" ht="15.75" customHeight="1">
      <c r="A84" s="155"/>
    </row>
    <row r="85" ht="15.75" customHeight="1">
      <c r="A85" s="155"/>
    </row>
    <row r="86" ht="15.75" customHeight="1">
      <c r="A86" s="155"/>
    </row>
    <row r="87" ht="15.75" customHeight="1">
      <c r="A87" s="155"/>
    </row>
    <row r="88" ht="15.75" customHeight="1">
      <c r="A88" s="155"/>
    </row>
    <row r="89" ht="15.75" customHeight="1">
      <c r="A89" s="155"/>
    </row>
    <row r="90" ht="15.75" customHeight="1">
      <c r="A90" s="155"/>
    </row>
    <row r="91" ht="15.75" customHeight="1">
      <c r="A91" s="155"/>
    </row>
    <row r="92" ht="15.75" customHeight="1">
      <c r="A92" s="155"/>
    </row>
    <row r="93" ht="15.75" customHeight="1">
      <c r="A93" s="155"/>
    </row>
    <row r="94" ht="15.75" customHeight="1">
      <c r="A94" s="155"/>
    </row>
    <row r="95" ht="15.75" customHeight="1">
      <c r="A95" s="155"/>
    </row>
    <row r="96" ht="15.75" customHeight="1">
      <c r="A96" s="155"/>
    </row>
    <row r="97" ht="15.75" customHeight="1">
      <c r="A97" s="155"/>
    </row>
    <row r="98" ht="15.75" customHeight="1">
      <c r="A98" s="155"/>
    </row>
    <row r="99" ht="15.75" customHeight="1">
      <c r="A99" s="155"/>
    </row>
    <row r="100" ht="15.75" customHeight="1">
      <c r="A100" s="155"/>
    </row>
    <row r="101" ht="15.75" customHeight="1">
      <c r="A101" s="155"/>
    </row>
    <row r="102" ht="15.75" customHeight="1">
      <c r="A102" s="155"/>
    </row>
    <row r="103" ht="15.75" customHeight="1">
      <c r="A103" s="155"/>
    </row>
    <row r="104" ht="15.75" customHeight="1">
      <c r="A104" s="155"/>
    </row>
    <row r="105" ht="15.75" customHeight="1">
      <c r="A105" s="155"/>
    </row>
    <row r="106" ht="15.75" customHeight="1">
      <c r="A106" s="155"/>
    </row>
    <row r="107" ht="15.75" customHeight="1">
      <c r="A107" s="155"/>
    </row>
    <row r="108" ht="15.75" customHeight="1">
      <c r="A108" s="155"/>
    </row>
    <row r="109" ht="15.75" customHeight="1">
      <c r="A109" s="155"/>
    </row>
    <row r="110" ht="15.75" customHeight="1">
      <c r="A110" s="155"/>
    </row>
    <row r="111" ht="15.75" customHeight="1">
      <c r="A111" s="155"/>
    </row>
    <row r="112" ht="15.75" customHeight="1">
      <c r="A112" s="155"/>
    </row>
    <row r="113" ht="15.75" customHeight="1">
      <c r="A113" s="155"/>
    </row>
    <row r="114" ht="15.75" customHeight="1">
      <c r="A114" s="155"/>
    </row>
    <row r="115" ht="15.75" customHeight="1">
      <c r="A115" s="155"/>
    </row>
    <row r="116" ht="15.75" customHeight="1">
      <c r="A116" s="155"/>
    </row>
    <row r="117" ht="15.75" customHeight="1">
      <c r="A117" s="155"/>
    </row>
    <row r="118" ht="15.75" customHeight="1">
      <c r="A118" s="155"/>
    </row>
    <row r="119" ht="15.75" customHeight="1">
      <c r="A119" s="155"/>
    </row>
    <row r="120" ht="15.75" customHeight="1">
      <c r="A120" s="155"/>
    </row>
    <row r="121" ht="15.75" customHeight="1">
      <c r="A121" s="155"/>
    </row>
    <row r="122" ht="15.75" customHeight="1">
      <c r="A122" s="155"/>
    </row>
    <row r="123" ht="15.75" customHeight="1">
      <c r="A123" s="155"/>
    </row>
    <row r="124" ht="15.75" customHeight="1">
      <c r="A124" s="155"/>
    </row>
    <row r="125" ht="15.75" customHeight="1">
      <c r="A125" s="155"/>
    </row>
    <row r="126" ht="15.75" customHeight="1">
      <c r="A126" s="155"/>
    </row>
    <row r="127" ht="15.75" customHeight="1">
      <c r="A127" s="155"/>
    </row>
    <row r="128" ht="15.75" customHeight="1">
      <c r="A128" s="155"/>
    </row>
    <row r="129" ht="15.75" customHeight="1">
      <c r="A129" s="155"/>
    </row>
    <row r="130" ht="15.75" customHeight="1">
      <c r="A130" s="155"/>
    </row>
    <row r="131" ht="15.75" customHeight="1">
      <c r="A131" s="155"/>
    </row>
    <row r="132" ht="15.75" customHeight="1">
      <c r="A132" s="155"/>
    </row>
    <row r="133" ht="15.75" customHeight="1">
      <c r="A133" s="155"/>
    </row>
    <row r="134" ht="15.75" customHeight="1">
      <c r="A134" s="155"/>
    </row>
    <row r="135" ht="15.75" customHeight="1">
      <c r="A135" s="155"/>
    </row>
    <row r="136" ht="15.75" customHeight="1">
      <c r="A136" s="155"/>
    </row>
    <row r="137" ht="15.75" customHeight="1">
      <c r="A137" s="155"/>
    </row>
    <row r="138" ht="15.75" customHeight="1">
      <c r="A138" s="155"/>
    </row>
    <row r="139" ht="15.75" customHeight="1">
      <c r="A139" s="155"/>
    </row>
    <row r="140" ht="15.75" customHeight="1">
      <c r="A140" s="155"/>
    </row>
    <row r="141" ht="15.75" customHeight="1">
      <c r="A141" s="155"/>
    </row>
    <row r="142" ht="15.75" customHeight="1">
      <c r="A142" s="155"/>
    </row>
    <row r="143" ht="15.75" customHeight="1">
      <c r="A143" s="155"/>
    </row>
    <row r="144" ht="15.75" customHeight="1">
      <c r="A144" s="155"/>
    </row>
    <row r="145" ht="15.75" customHeight="1">
      <c r="A145" s="155"/>
    </row>
    <row r="146" ht="15.75" customHeight="1">
      <c r="A146" s="155"/>
    </row>
    <row r="147" ht="15.75" customHeight="1">
      <c r="A147" s="155"/>
    </row>
    <row r="148" ht="15.75" customHeight="1">
      <c r="A148" s="155"/>
    </row>
    <row r="149" ht="15.75" customHeight="1">
      <c r="A149" s="155"/>
    </row>
    <row r="150" ht="15.75" customHeight="1">
      <c r="A150" s="155"/>
    </row>
    <row r="151" ht="15.75" customHeight="1">
      <c r="A151" s="155"/>
    </row>
    <row r="152" ht="15.75" customHeight="1">
      <c r="A152" s="155"/>
    </row>
    <row r="153" ht="15.75" customHeight="1">
      <c r="A153" s="155"/>
    </row>
    <row r="154" ht="15.75" customHeight="1">
      <c r="A154" s="155"/>
    </row>
    <row r="155" ht="15.75" customHeight="1">
      <c r="A155" s="155"/>
    </row>
    <row r="156" ht="15.75" customHeight="1">
      <c r="A156" s="155"/>
    </row>
    <row r="157" ht="15.75" customHeight="1">
      <c r="A157" s="155"/>
    </row>
    <row r="158" ht="15.75" customHeight="1">
      <c r="A158" s="155"/>
    </row>
    <row r="159" ht="15.75" customHeight="1">
      <c r="A159" s="155"/>
    </row>
    <row r="160" ht="15.75" customHeight="1">
      <c r="A160" s="155"/>
    </row>
    <row r="161" ht="15.75" customHeight="1">
      <c r="A161" s="155"/>
    </row>
    <row r="162" ht="15.75" customHeight="1">
      <c r="A162" s="155"/>
    </row>
    <row r="163" ht="15.75" customHeight="1">
      <c r="A163" s="155"/>
    </row>
    <row r="164" ht="15.75" customHeight="1">
      <c r="A164" s="155"/>
    </row>
    <row r="165" ht="15.75" customHeight="1">
      <c r="A165" s="155"/>
    </row>
    <row r="166" ht="15.75" customHeight="1">
      <c r="A166" s="155"/>
    </row>
    <row r="167" ht="15.75" customHeight="1">
      <c r="A167" s="155"/>
    </row>
    <row r="168" ht="15.75" customHeight="1">
      <c r="A168" s="155"/>
    </row>
    <row r="169" ht="15.75" customHeight="1">
      <c r="A169" s="155"/>
    </row>
    <row r="170" ht="15.75" customHeight="1">
      <c r="A170" s="155"/>
    </row>
    <row r="171" ht="15.75" customHeight="1">
      <c r="A171" s="155"/>
    </row>
    <row r="172" ht="15.75" customHeight="1">
      <c r="A172" s="155"/>
    </row>
    <row r="173" ht="15.75" customHeight="1">
      <c r="A173" s="155"/>
    </row>
    <row r="174" ht="15.75" customHeight="1">
      <c r="A174" s="155"/>
    </row>
    <row r="175" ht="15.75" customHeight="1">
      <c r="A175" s="155"/>
    </row>
    <row r="176" ht="15.75" customHeight="1">
      <c r="A176" s="155"/>
    </row>
    <row r="177" ht="15.75" customHeight="1">
      <c r="A177" s="155"/>
    </row>
    <row r="178" ht="15.75" customHeight="1">
      <c r="A178" s="155"/>
    </row>
    <row r="179" ht="15.75" customHeight="1">
      <c r="A179" s="155"/>
    </row>
    <row r="180" ht="15.75" customHeight="1">
      <c r="A180" s="155"/>
    </row>
    <row r="181" ht="15.75" customHeight="1">
      <c r="A181" s="155"/>
    </row>
    <row r="182" ht="15.75" customHeight="1">
      <c r="A182" s="155"/>
    </row>
    <row r="183" ht="15.75" customHeight="1">
      <c r="A183" s="155"/>
    </row>
    <row r="184" ht="15.75" customHeight="1">
      <c r="A184" s="155"/>
    </row>
    <row r="185" ht="15.75" customHeight="1">
      <c r="A185" s="155"/>
    </row>
    <row r="186" ht="15.75" customHeight="1">
      <c r="A186" s="155"/>
    </row>
    <row r="187" ht="15.75" customHeight="1">
      <c r="A187" s="155"/>
    </row>
    <row r="188" ht="15.75" customHeight="1">
      <c r="A188" s="155"/>
    </row>
    <row r="189" ht="15.75" customHeight="1">
      <c r="A189" s="155"/>
    </row>
    <row r="190" ht="15.75" customHeight="1">
      <c r="A190" s="155"/>
    </row>
    <row r="191" ht="15.75" customHeight="1">
      <c r="A191" s="155"/>
    </row>
    <row r="192" ht="15.75" customHeight="1">
      <c r="A192" s="155"/>
    </row>
    <row r="193" ht="15.75" customHeight="1">
      <c r="A193" s="155"/>
    </row>
    <row r="194" ht="15.75" customHeight="1">
      <c r="A194" s="155"/>
    </row>
    <row r="195" ht="15.75" customHeight="1">
      <c r="A195" s="155"/>
    </row>
    <row r="196" ht="15.75" customHeight="1">
      <c r="A196" s="155"/>
    </row>
    <row r="197" ht="15.75" customHeight="1">
      <c r="A197" s="155"/>
    </row>
    <row r="198" ht="15.75" customHeight="1">
      <c r="A198" s="155"/>
    </row>
    <row r="199" ht="15.75" customHeight="1">
      <c r="A199" s="155"/>
    </row>
    <row r="200" ht="15.75" customHeight="1">
      <c r="A200" s="155"/>
    </row>
    <row r="201" ht="15.75" customHeight="1">
      <c r="A201" s="155"/>
    </row>
    <row r="202" ht="15.75" customHeight="1">
      <c r="A202" s="155"/>
    </row>
    <row r="203" ht="15.75" customHeight="1">
      <c r="A203" s="155"/>
    </row>
    <row r="204" ht="15.75" customHeight="1">
      <c r="A204" s="155"/>
    </row>
    <row r="205" ht="15.75" customHeight="1">
      <c r="A205" s="155"/>
    </row>
    <row r="206" ht="15.75" customHeight="1">
      <c r="A206" s="155"/>
    </row>
    <row r="207" ht="15.75" customHeight="1">
      <c r="A207" s="155"/>
    </row>
    <row r="208" ht="15.75" customHeight="1">
      <c r="A208" s="155"/>
    </row>
    <row r="209" ht="15.75" customHeight="1">
      <c r="A209" s="155"/>
    </row>
    <row r="210" ht="15.75" customHeight="1">
      <c r="A210" s="155"/>
    </row>
    <row r="211" ht="15.75" customHeight="1">
      <c r="A211" s="155"/>
    </row>
    <row r="212" ht="15.75" customHeight="1">
      <c r="A212" s="155"/>
    </row>
    <row r="213" ht="15.75" customHeight="1">
      <c r="A213" s="155"/>
    </row>
    <row r="214" ht="15.75" customHeight="1">
      <c r="A214" s="155"/>
    </row>
    <row r="215" ht="15.75" customHeight="1">
      <c r="A215" s="155"/>
    </row>
    <row r="216" ht="15.75" customHeight="1">
      <c r="A216" s="155"/>
    </row>
    <row r="217" ht="15.75" customHeight="1">
      <c r="A217" s="155"/>
    </row>
    <row r="218" ht="15.75" customHeight="1">
      <c r="A218" s="155"/>
    </row>
    <row r="219" ht="15.75" customHeight="1">
      <c r="A219" s="155"/>
    </row>
    <row r="220" ht="15.75" customHeight="1">
      <c r="A220" s="155"/>
    </row>
    <row r="221" ht="15.75" customHeight="1">
      <c r="A221" s="155"/>
    </row>
    <row r="222" ht="15.75" customHeight="1">
      <c r="A222" s="155"/>
    </row>
    <row r="223" ht="15.75" customHeight="1">
      <c r="A223" s="155"/>
    </row>
    <row r="224" ht="15.75" customHeight="1">
      <c r="A224" s="155"/>
    </row>
    <row r="225" ht="15.75" customHeight="1">
      <c r="A225" s="155"/>
    </row>
    <row r="226" ht="15.75" customHeight="1">
      <c r="A226" s="155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D4"/>
    <mergeCell ref="C17:H17"/>
    <mergeCell ref="N17:R17"/>
    <mergeCell ref="S17:W17"/>
    <mergeCell ref="X17:AB17"/>
    <mergeCell ref="AC17:AG17"/>
  </mergeCells>
  <conditionalFormatting sqref="H25">
    <cfRule type="expression" dxfId="0" priority="1">
      <formula>H25=D11</formula>
    </cfRule>
  </conditionalFormatting>
  <conditionalFormatting sqref="H25">
    <cfRule type="expression" dxfId="3" priority="2">
      <formula>H25&lt;&gt;D11</formula>
    </cfRule>
  </conditionalFormatting>
  <conditionalFormatting sqref="AJ25">
    <cfRule type="expression" dxfId="0" priority="3">
      <formula>AJ25=B2</formula>
    </cfRule>
  </conditionalFormatting>
  <conditionalFormatting sqref="AJ25">
    <cfRule type="expression" dxfId="1" priority="4">
      <formula>AJ25&lt;&gt;B2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8.38"/>
    <col customWidth="1" min="3" max="3" width="12.63"/>
    <col customWidth="1" min="4" max="4" width="15.88"/>
    <col customWidth="1" min="5" max="5" width="18.5"/>
    <col customWidth="1" min="6" max="7" width="19.63"/>
    <col customWidth="1" min="8" max="8" width="20.25"/>
    <col customWidth="1" min="9" max="9" width="17.5"/>
    <col customWidth="1" min="10" max="10" width="17.25"/>
    <col customWidth="1" min="11" max="11" width="16.63"/>
    <col customWidth="1" min="12" max="12" width="14.0"/>
  </cols>
  <sheetData>
    <row r="1" ht="15.75" customHeight="1">
      <c r="A1" s="181" t="s">
        <v>429</v>
      </c>
      <c r="B1" s="181" t="s">
        <v>508</v>
      </c>
      <c r="C1" s="181" t="s">
        <v>485</v>
      </c>
      <c r="D1" s="181" t="s">
        <v>509</v>
      </c>
      <c r="E1" s="181" t="s">
        <v>510</v>
      </c>
      <c r="F1" s="182" t="s">
        <v>511</v>
      </c>
      <c r="G1" s="182" t="s">
        <v>512</v>
      </c>
      <c r="H1" s="181" t="s">
        <v>513</v>
      </c>
      <c r="I1" s="183" t="s">
        <v>514</v>
      </c>
      <c r="J1" s="183" t="s">
        <v>515</v>
      </c>
      <c r="K1" s="183" t="s">
        <v>516</v>
      </c>
    </row>
    <row r="2" ht="15.75" customHeight="1">
      <c r="A2" s="184" t="s">
        <v>21</v>
      </c>
      <c r="B2" s="185" t="s">
        <v>486</v>
      </c>
      <c r="C2" s="185">
        <v>2016.0</v>
      </c>
      <c r="D2" s="186" t="str">
        <f>'TNT 2015-2022'!AJ19</f>
        <v>#N/A</v>
      </c>
      <c r="E2" s="186">
        <f>'TNT 2015-2022'!AH19</f>
        <v>0</v>
      </c>
      <c r="F2" s="186" t="str">
        <f t="shared" ref="F2:F37" si="1">D2-E2</f>
        <v>#N/A</v>
      </c>
      <c r="G2" s="186" t="str">
        <f t="shared" ref="G2:G37" si="2">D2+E2</f>
        <v>#N/A</v>
      </c>
      <c r="H2" s="187">
        <f>'TNT 2015-2022'!AK19</f>
        <v>0</v>
      </c>
      <c r="I2" s="188" t="str">
        <f t="shared" ref="I2:I10" si="3">D2/D20</f>
        <v>#N/A</v>
      </c>
      <c r="J2" s="188" t="str">
        <f>D2/'TNT 2015-2022'!$B$2</f>
        <v>#N/A</v>
      </c>
      <c r="K2" s="189" t="str">
        <f t="shared" ref="K2:K9" si="4">LN(D21/D20)</f>
        <v>#N/A</v>
      </c>
    </row>
    <row r="3" ht="15.75" customHeight="1">
      <c r="A3" s="184" t="s">
        <v>21</v>
      </c>
      <c r="B3" s="185" t="s">
        <v>486</v>
      </c>
      <c r="C3" s="185">
        <v>2017.0</v>
      </c>
      <c r="D3" s="186" t="str">
        <f>'TNT 2015-2022'!AJ20</f>
        <v>#N/A</v>
      </c>
      <c r="E3" s="186">
        <f>'TNT 2015-2022'!AH20</f>
        <v>16705569.33</v>
      </c>
      <c r="F3" s="186" t="str">
        <f t="shared" si="1"/>
        <v>#N/A</v>
      </c>
      <c r="G3" s="186" t="str">
        <f t="shared" si="2"/>
        <v>#N/A</v>
      </c>
      <c r="H3" s="187" t="str">
        <f>'TNT 2015-2022'!AK20</f>
        <v>#N/A</v>
      </c>
      <c r="I3" s="190" t="str">
        <f t="shared" si="3"/>
        <v>#N/A</v>
      </c>
      <c r="J3" s="190" t="str">
        <f>D3/'TNT 2015-2022'!$B$2</f>
        <v>#N/A</v>
      </c>
      <c r="K3" s="191" t="str">
        <f t="shared" si="4"/>
        <v>#N/A</v>
      </c>
    </row>
    <row r="4" ht="15.75" customHeight="1">
      <c r="A4" s="184" t="s">
        <v>21</v>
      </c>
      <c r="B4" s="185" t="s">
        <v>486</v>
      </c>
      <c r="C4" s="185">
        <v>2018.0</v>
      </c>
      <c r="D4" s="186" t="str">
        <f>'TNT 2015-2022'!AJ21</f>
        <v>#N/A</v>
      </c>
      <c r="E4" s="186">
        <f>'TNT 2015-2022'!AH21</f>
        <v>0</v>
      </c>
      <c r="F4" s="186" t="str">
        <f t="shared" si="1"/>
        <v>#N/A</v>
      </c>
      <c r="G4" s="186" t="str">
        <f t="shared" si="2"/>
        <v>#N/A</v>
      </c>
      <c r="H4" s="187">
        <f>'TNT 2015-2022'!AK21</f>
        <v>0</v>
      </c>
      <c r="I4" s="188" t="str">
        <f t="shared" si="3"/>
        <v>#N/A</v>
      </c>
      <c r="J4" s="188" t="str">
        <f>D4/'TNT 2015-2022'!$B$2</f>
        <v>#N/A</v>
      </c>
      <c r="K4" s="189" t="str">
        <f t="shared" si="4"/>
        <v>#N/A</v>
      </c>
    </row>
    <row r="5" ht="15.75" customHeight="1">
      <c r="A5" s="184" t="s">
        <v>21</v>
      </c>
      <c r="B5" s="185" t="s">
        <v>486</v>
      </c>
      <c r="C5" s="185">
        <v>2019.0</v>
      </c>
      <c r="D5" s="186" t="str">
        <f>'TNT 2015-2022'!AJ22</f>
        <v>#N/A</v>
      </c>
      <c r="E5" s="186">
        <f>'TNT 2015-2022'!AH22</f>
        <v>0</v>
      </c>
      <c r="F5" s="186" t="str">
        <f t="shared" si="1"/>
        <v>#N/A</v>
      </c>
      <c r="G5" s="186" t="str">
        <f t="shared" si="2"/>
        <v>#N/A</v>
      </c>
      <c r="H5" s="187">
        <f>'TNT 2015-2022'!AK22</f>
        <v>0</v>
      </c>
      <c r="I5" s="190" t="str">
        <f t="shared" si="3"/>
        <v>#N/A</v>
      </c>
      <c r="J5" s="190" t="str">
        <f>D5/'TNT 2015-2022'!$B$2</f>
        <v>#N/A</v>
      </c>
      <c r="K5" s="191" t="str">
        <f t="shared" si="4"/>
        <v>#N/A</v>
      </c>
    </row>
    <row r="6" ht="15.75" customHeight="1">
      <c r="A6" s="184" t="s">
        <v>21</v>
      </c>
      <c r="B6" s="185" t="s">
        <v>486</v>
      </c>
      <c r="C6" s="185">
        <v>2020.0</v>
      </c>
      <c r="D6" s="186" t="str">
        <f>'TNT 2015-2022'!AJ23</f>
        <v>#N/A</v>
      </c>
      <c r="E6" s="186">
        <f>'TNT 2015-2022'!AH23</f>
        <v>0</v>
      </c>
      <c r="F6" s="186" t="str">
        <f t="shared" si="1"/>
        <v>#N/A</v>
      </c>
      <c r="G6" s="186" t="str">
        <f t="shared" si="2"/>
        <v>#N/A</v>
      </c>
      <c r="H6" s="187">
        <f>'TNT 2015-2022'!AK23</f>
        <v>0</v>
      </c>
      <c r="I6" s="188" t="str">
        <f t="shared" si="3"/>
        <v>#N/A</v>
      </c>
      <c r="J6" s="188" t="str">
        <f>D6/'TNT 2015-2022'!$B$2</f>
        <v>#N/A</v>
      </c>
      <c r="K6" s="189" t="str">
        <f t="shared" si="4"/>
        <v>#N/A</v>
      </c>
    </row>
    <row r="7" ht="15.75" customHeight="1">
      <c r="A7" s="184" t="s">
        <v>21</v>
      </c>
      <c r="B7" s="185" t="s">
        <v>486</v>
      </c>
      <c r="C7" s="185">
        <v>2021.0</v>
      </c>
      <c r="D7" s="186" t="str">
        <f>'TNT 2015-2022'!AJ24</f>
        <v>#N/A</v>
      </c>
      <c r="E7" s="186">
        <f>'TNT 2015-2022'!AH24</f>
        <v>0</v>
      </c>
      <c r="F7" s="186" t="str">
        <f t="shared" si="1"/>
        <v>#N/A</v>
      </c>
      <c r="G7" s="186" t="str">
        <f t="shared" si="2"/>
        <v>#N/A</v>
      </c>
      <c r="H7" s="187">
        <f>'TNT 2015-2022'!AK24</f>
        <v>0</v>
      </c>
      <c r="I7" s="190" t="str">
        <f t="shared" si="3"/>
        <v>#N/A</v>
      </c>
      <c r="J7" s="190" t="str">
        <f>D7/'TNT 2015-2022'!$B$2</f>
        <v>#N/A</v>
      </c>
      <c r="K7" s="191" t="str">
        <f t="shared" si="4"/>
        <v>#N/A</v>
      </c>
    </row>
    <row r="8" ht="15.75" customHeight="1">
      <c r="A8" s="184" t="s">
        <v>21</v>
      </c>
      <c r="B8" s="185" t="s">
        <v>486</v>
      </c>
      <c r="C8" s="185">
        <v>2022.0</v>
      </c>
      <c r="D8" s="186" t="str">
        <f>'TNT 2015-2022'!AJ25</f>
        <v>#N/A</v>
      </c>
      <c r="E8" s="186">
        <f>'TNT 2015-2022'!AH25</f>
        <v>0</v>
      </c>
      <c r="F8" s="186" t="str">
        <f t="shared" si="1"/>
        <v>#N/A</v>
      </c>
      <c r="G8" s="186" t="str">
        <f t="shared" si="2"/>
        <v>#N/A</v>
      </c>
      <c r="H8" s="187">
        <f>'TNT 2015-2022'!AK25</f>
        <v>0</v>
      </c>
      <c r="I8" s="188" t="str">
        <f t="shared" si="3"/>
        <v>#N/A</v>
      </c>
      <c r="J8" s="188" t="str">
        <f>D8/'TNT 2015-2022'!$B$2</f>
        <v>#N/A</v>
      </c>
      <c r="K8" s="189" t="str">
        <f t="shared" si="4"/>
        <v>#N/A</v>
      </c>
    </row>
    <row r="9" ht="15.75" customHeight="1">
      <c r="A9" s="184" t="s">
        <v>21</v>
      </c>
      <c r="B9" s="185" t="s">
        <v>486</v>
      </c>
      <c r="C9" s="185">
        <v>2023.0</v>
      </c>
      <c r="D9" s="186" t="str">
        <f>'TNT 2023'!AJ19</f>
        <v>#N/A</v>
      </c>
      <c r="E9" s="186" t="str">
        <f>'TNT 2023'!AI19</f>
        <v>#N/A</v>
      </c>
      <c r="F9" s="186" t="str">
        <f t="shared" si="1"/>
        <v>#N/A</v>
      </c>
      <c r="G9" s="186" t="str">
        <f t="shared" si="2"/>
        <v>#N/A</v>
      </c>
      <c r="H9" s="187" t="str">
        <f>'TNT 2023'!AK19</f>
        <v>#N/A</v>
      </c>
      <c r="I9" s="190" t="str">
        <f t="shared" si="3"/>
        <v>#N/A</v>
      </c>
      <c r="J9" s="190" t="str">
        <f>D9/'TNT 2015-2022'!$B$2</f>
        <v>#N/A</v>
      </c>
      <c r="K9" s="191" t="str">
        <f t="shared" si="4"/>
        <v>#N/A</v>
      </c>
    </row>
    <row r="10" ht="15.75" customHeight="1">
      <c r="A10" s="184" t="s">
        <v>21</v>
      </c>
      <c r="B10" s="192" t="s">
        <v>517</v>
      </c>
      <c r="C10" s="193"/>
      <c r="D10" s="194" t="str">
        <f>SUM(D2:D9)</f>
        <v>#N/A</v>
      </c>
      <c r="E10" s="194" t="str">
        <f>H10/100*D10</f>
        <v>#N/A</v>
      </c>
      <c r="F10" s="186" t="str">
        <f t="shared" si="1"/>
        <v>#N/A</v>
      </c>
      <c r="G10" s="194" t="str">
        <f t="shared" si="2"/>
        <v>#N/A</v>
      </c>
      <c r="H10" s="195" t="str">
        <f>SQRT((('TNT 2015-2022'!AJ36*'TNT 2015-2022'!AK36)^2)+((D9*H9)^2))/('TNT 2015-2022'!AJ36+'TNT 2023'!AJ19)</f>
        <v>#N/A</v>
      </c>
      <c r="I10" s="196" t="str">
        <f t="shared" si="3"/>
        <v>#N/A</v>
      </c>
      <c r="J10" s="188" t="str">
        <f>D10/'TNT 2015-2022'!$B$2</f>
        <v>#N/A</v>
      </c>
      <c r="K10" s="197" t="str">
        <f>1/(2023-2015)*LN(D28/D20)</f>
        <v>#N/A</v>
      </c>
      <c r="M10" s="198" t="s">
        <v>518</v>
      </c>
    </row>
    <row r="11" ht="15.75" customHeight="1">
      <c r="A11" s="184" t="s">
        <v>21</v>
      </c>
      <c r="B11" s="185" t="s">
        <v>487</v>
      </c>
      <c r="C11" s="185">
        <v>2016.0</v>
      </c>
      <c r="D11" s="186" t="str">
        <f>'TNT 2015-2022'!AJ27</f>
        <v>#N/A</v>
      </c>
      <c r="E11" s="186">
        <f>'TNT 2015-2022'!AH27</f>
        <v>0</v>
      </c>
      <c r="F11" s="186" t="str">
        <f t="shared" si="1"/>
        <v>#N/A</v>
      </c>
      <c r="G11" s="186" t="str">
        <f t="shared" si="2"/>
        <v>#N/A</v>
      </c>
      <c r="H11" s="187">
        <f>'TNT 2015-2022'!AK27</f>
        <v>0</v>
      </c>
      <c r="I11" s="190" t="str">
        <f t="shared" ref="I11:I18" si="5">D11/D20</f>
        <v>#N/A</v>
      </c>
      <c r="J11" s="190" t="str">
        <f>D11/'TNT 2015-2022'!$B$2</f>
        <v>#N/A</v>
      </c>
      <c r="K11" s="199">
        <v>0.0</v>
      </c>
    </row>
    <row r="12" ht="15.75" customHeight="1">
      <c r="A12" s="184" t="s">
        <v>21</v>
      </c>
      <c r="B12" s="185" t="s">
        <v>487</v>
      </c>
      <c r="C12" s="185">
        <v>2017.0</v>
      </c>
      <c r="D12" s="186" t="str">
        <f>'TNT 2015-2022'!AJ28</f>
        <v>#N/A</v>
      </c>
      <c r="E12" s="186">
        <f>'TNT 2015-2022'!AH28</f>
        <v>0</v>
      </c>
      <c r="F12" s="186" t="str">
        <f t="shared" si="1"/>
        <v>#N/A</v>
      </c>
      <c r="G12" s="186" t="str">
        <f t="shared" si="2"/>
        <v>#N/A</v>
      </c>
      <c r="H12" s="187">
        <f>'TNT 2015-2022'!AK28</f>
        <v>0</v>
      </c>
      <c r="I12" s="188" t="str">
        <f t="shared" si="5"/>
        <v>#N/A</v>
      </c>
      <c r="J12" s="188" t="str">
        <f>D12/'TNT 2015-2022'!$B$2</f>
        <v>#N/A</v>
      </c>
      <c r="K12" s="189" t="str">
        <f t="shared" ref="K12:K18" si="6">LN((D22-D12)/(D21-D11))</f>
        <v>#N/A</v>
      </c>
    </row>
    <row r="13" ht="15.75" customHeight="1">
      <c r="A13" s="184" t="s">
        <v>21</v>
      </c>
      <c r="B13" s="185" t="s">
        <v>487</v>
      </c>
      <c r="C13" s="185">
        <v>2018.0</v>
      </c>
      <c r="D13" s="186" t="str">
        <f>'TNT 2015-2022'!AJ29</f>
        <v>#N/A</v>
      </c>
      <c r="E13" s="186">
        <f>'TNT 2015-2022'!AH29</f>
        <v>0</v>
      </c>
      <c r="F13" s="186" t="str">
        <f t="shared" si="1"/>
        <v>#N/A</v>
      </c>
      <c r="G13" s="186" t="str">
        <f t="shared" si="2"/>
        <v>#N/A</v>
      </c>
      <c r="H13" s="187">
        <f>'TNT 2015-2022'!AK29</f>
        <v>0</v>
      </c>
      <c r="I13" s="190" t="str">
        <f t="shared" si="5"/>
        <v>#N/A</v>
      </c>
      <c r="J13" s="190" t="str">
        <f>D13/'TNT 2015-2022'!$B$2</f>
        <v>#N/A</v>
      </c>
      <c r="K13" s="191" t="str">
        <f t="shared" si="6"/>
        <v>#N/A</v>
      </c>
    </row>
    <row r="14" ht="15.75" customHeight="1">
      <c r="A14" s="184" t="s">
        <v>21</v>
      </c>
      <c r="B14" s="185" t="s">
        <v>487</v>
      </c>
      <c r="C14" s="185">
        <v>2019.0</v>
      </c>
      <c r="D14" s="186" t="str">
        <f>'TNT 2015-2022'!AJ30</f>
        <v>#N/A</v>
      </c>
      <c r="E14" s="186">
        <f>'TNT 2015-2022'!AH30</f>
        <v>0</v>
      </c>
      <c r="F14" s="186" t="str">
        <f t="shared" si="1"/>
        <v>#N/A</v>
      </c>
      <c r="G14" s="186" t="str">
        <f t="shared" si="2"/>
        <v>#N/A</v>
      </c>
      <c r="H14" s="187">
        <f>'TNT 2015-2022'!AK30</f>
        <v>0</v>
      </c>
      <c r="I14" s="188" t="str">
        <f t="shared" si="5"/>
        <v>#N/A</v>
      </c>
      <c r="J14" s="188" t="str">
        <f>D14/'TNT 2015-2022'!$B$2</f>
        <v>#N/A</v>
      </c>
      <c r="K14" s="189" t="str">
        <f t="shared" si="6"/>
        <v>#N/A</v>
      </c>
    </row>
    <row r="15" ht="15.75" customHeight="1">
      <c r="A15" s="184" t="s">
        <v>21</v>
      </c>
      <c r="B15" s="185" t="s">
        <v>487</v>
      </c>
      <c r="C15" s="185">
        <v>2020.0</v>
      </c>
      <c r="D15" s="186" t="str">
        <f>'TNT 2015-2022'!AJ31</f>
        <v>#N/A</v>
      </c>
      <c r="E15" s="186">
        <f>'TNT 2015-2022'!AH31</f>
        <v>0</v>
      </c>
      <c r="F15" s="186" t="str">
        <f t="shared" si="1"/>
        <v>#N/A</v>
      </c>
      <c r="G15" s="186" t="str">
        <f t="shared" si="2"/>
        <v>#N/A</v>
      </c>
      <c r="H15" s="187">
        <f>'TNT 2015-2022'!AK31</f>
        <v>0</v>
      </c>
      <c r="I15" s="190" t="str">
        <f t="shared" si="5"/>
        <v>#N/A</v>
      </c>
      <c r="J15" s="190" t="str">
        <f>D15/'TNT 2015-2022'!$B$2</f>
        <v>#N/A</v>
      </c>
      <c r="K15" s="191" t="str">
        <f t="shared" si="6"/>
        <v>#N/A</v>
      </c>
    </row>
    <row r="16" ht="15.75" customHeight="1">
      <c r="A16" s="184" t="s">
        <v>21</v>
      </c>
      <c r="B16" s="185" t="s">
        <v>487</v>
      </c>
      <c r="C16" s="185">
        <v>2021.0</v>
      </c>
      <c r="D16" s="186" t="str">
        <f>'TNT 2015-2022'!AJ32</f>
        <v>#N/A</v>
      </c>
      <c r="E16" s="186">
        <f>'TNT 2015-2022'!AH32</f>
        <v>0</v>
      </c>
      <c r="F16" s="186" t="str">
        <f t="shared" si="1"/>
        <v>#N/A</v>
      </c>
      <c r="G16" s="186" t="str">
        <f t="shared" si="2"/>
        <v>#N/A</v>
      </c>
      <c r="H16" s="187">
        <f>'TNT 2015-2022'!AK32</f>
        <v>0</v>
      </c>
      <c r="I16" s="188" t="str">
        <f t="shared" si="5"/>
        <v>#N/A</v>
      </c>
      <c r="J16" s="188" t="str">
        <f>D16/'TNT 2015-2022'!$B$2</f>
        <v>#N/A</v>
      </c>
      <c r="K16" s="189" t="str">
        <f t="shared" si="6"/>
        <v>#N/A</v>
      </c>
      <c r="T16" s="168"/>
    </row>
    <row r="17" ht="15.75" customHeight="1">
      <c r="A17" s="184" t="s">
        <v>21</v>
      </c>
      <c r="B17" s="185" t="s">
        <v>487</v>
      </c>
      <c r="C17" s="185">
        <v>2022.0</v>
      </c>
      <c r="D17" s="186" t="str">
        <f>'TNT 2015-2022'!AJ33</f>
        <v>#N/A</v>
      </c>
      <c r="E17" s="186">
        <f>'TNT 2015-2022'!AH33</f>
        <v>0</v>
      </c>
      <c r="F17" s="186" t="str">
        <f t="shared" si="1"/>
        <v>#N/A</v>
      </c>
      <c r="G17" s="186" t="str">
        <f t="shared" si="2"/>
        <v>#N/A</v>
      </c>
      <c r="H17" s="187">
        <f>'TNT 2015-2022'!AK33</f>
        <v>0</v>
      </c>
      <c r="I17" s="190" t="str">
        <f t="shared" si="5"/>
        <v>#N/A</v>
      </c>
      <c r="J17" s="190" t="str">
        <f>D17/'TNT 2015-2022'!$B$2</f>
        <v>#N/A</v>
      </c>
      <c r="K17" s="191" t="str">
        <f t="shared" si="6"/>
        <v>#N/A</v>
      </c>
      <c r="L17" s="52" t="s">
        <v>519</v>
      </c>
      <c r="M17" s="52" t="s">
        <v>519</v>
      </c>
    </row>
    <row r="18" ht="15.75" customHeight="1">
      <c r="A18" s="184" t="s">
        <v>21</v>
      </c>
      <c r="B18" s="185" t="s">
        <v>487</v>
      </c>
      <c r="C18" s="185">
        <v>2023.0</v>
      </c>
      <c r="D18" s="186" t="str">
        <f>'TNT 2023'!AJ21</f>
        <v>#N/A</v>
      </c>
      <c r="E18" s="186" t="str">
        <f>'TNT 2023'!AI21</f>
        <v>#N/A</v>
      </c>
      <c r="F18" s="186" t="str">
        <f t="shared" si="1"/>
        <v>#N/A</v>
      </c>
      <c r="G18" s="186" t="str">
        <f t="shared" si="2"/>
        <v>#N/A</v>
      </c>
      <c r="H18" s="187" t="str">
        <f>'TNT 2023'!AK21</f>
        <v>#N/A</v>
      </c>
      <c r="I18" s="188" t="str">
        <f t="shared" si="5"/>
        <v>#N/A</v>
      </c>
      <c r="J18" s="188" t="str">
        <f>D18/'TNT 2015-2022'!$B$2</f>
        <v>#N/A</v>
      </c>
      <c r="K18" s="189" t="str">
        <f t="shared" si="6"/>
        <v>#N/A</v>
      </c>
      <c r="L18" s="52" t="s">
        <v>519</v>
      </c>
    </row>
    <row r="19" ht="15.75" customHeight="1">
      <c r="A19" s="184" t="s">
        <v>21</v>
      </c>
      <c r="B19" s="192" t="s">
        <v>520</v>
      </c>
      <c r="C19" s="193"/>
      <c r="D19" s="194" t="str">
        <f>SUM(D11:D18)</f>
        <v>#N/A</v>
      </c>
      <c r="E19" s="194" t="str">
        <f>H19/100*D19</f>
        <v>#N/A</v>
      </c>
      <c r="F19" s="186" t="str">
        <f t="shared" si="1"/>
        <v>#N/A</v>
      </c>
      <c r="G19" s="194" t="str">
        <f t="shared" si="2"/>
        <v>#N/A</v>
      </c>
      <c r="H19" s="195" t="str">
        <f>SQRT((('TNT 2015-2022'!AJ37*'TNT 2015-2022'!AK37)^2)+((D18*H18)^2))/('TNT 2015-2022'!AJ37+D18)</f>
        <v>#N/A</v>
      </c>
      <c r="I19" s="200" t="str">
        <f>D19/D20</f>
        <v>#N/A</v>
      </c>
      <c r="J19" s="190" t="str">
        <f>D19/'TNT 2015-2022'!$B$2</f>
        <v>#N/A</v>
      </c>
      <c r="K19" s="197" t="str">
        <f>1/(2023-2015)*LN((D28-D19)/(D20))</f>
        <v>#N/A</v>
      </c>
      <c r="M19" s="52" t="s">
        <v>519</v>
      </c>
    </row>
    <row r="20" ht="15.75" customHeight="1">
      <c r="A20" s="184" t="s">
        <v>21</v>
      </c>
      <c r="B20" s="185" t="s">
        <v>521</v>
      </c>
      <c r="C20" s="185">
        <v>2015.0</v>
      </c>
      <c r="D20" s="186" t="str">
        <f>'TNT 2015-2022'!AJ39+SUM(D2:D8)+SUM(D11:D17)</f>
        <v>#N/A</v>
      </c>
      <c r="E20" s="186">
        <f>'TNT 2015-2022'!AH39</f>
        <v>0</v>
      </c>
      <c r="F20" s="186" t="str">
        <f t="shared" si="1"/>
        <v>#N/A</v>
      </c>
      <c r="G20" s="186" t="str">
        <f t="shared" si="2"/>
        <v>#N/A</v>
      </c>
      <c r="H20" s="187" t="str">
        <f t="shared" ref="H20:H37" si="7">E20/D20</f>
        <v>#N/A</v>
      </c>
      <c r="I20" s="201"/>
      <c r="J20" s="188" t="str">
        <f>D20/'TNT 2015-2022'!$B$2</f>
        <v>#N/A</v>
      </c>
      <c r="K20" s="202"/>
    </row>
    <row r="21" ht="15.75" customHeight="1">
      <c r="A21" s="184" t="s">
        <v>21</v>
      </c>
      <c r="B21" s="185" t="s">
        <v>521</v>
      </c>
      <c r="C21" s="185">
        <v>2016.0</v>
      </c>
      <c r="D21" s="186" t="str">
        <f t="shared" ref="D21:D28" si="8">D20-D2</f>
        <v>#N/A</v>
      </c>
      <c r="E21" s="186">
        <f t="shared" ref="E21:E28" si="9">$E$20+E2</f>
        <v>0</v>
      </c>
      <c r="F21" s="186" t="str">
        <f t="shared" si="1"/>
        <v>#N/A</v>
      </c>
      <c r="G21" s="186" t="str">
        <f t="shared" si="2"/>
        <v>#N/A</v>
      </c>
      <c r="H21" s="187" t="str">
        <f t="shared" si="7"/>
        <v>#N/A</v>
      </c>
      <c r="I21" s="203"/>
      <c r="J21" s="190" t="str">
        <f>D21/'TNT 2015-2022'!$B$2</f>
        <v>#N/A</v>
      </c>
      <c r="K21" s="202"/>
    </row>
    <row r="22" ht="15.75" customHeight="1">
      <c r="A22" s="184" t="s">
        <v>21</v>
      </c>
      <c r="B22" s="185" t="s">
        <v>521</v>
      </c>
      <c r="C22" s="185">
        <v>2017.0</v>
      </c>
      <c r="D22" s="186" t="str">
        <f t="shared" si="8"/>
        <v>#N/A</v>
      </c>
      <c r="E22" s="186">
        <f t="shared" si="9"/>
        <v>16705569.33</v>
      </c>
      <c r="F22" s="186" t="str">
        <f t="shared" si="1"/>
        <v>#N/A</v>
      </c>
      <c r="G22" s="186" t="str">
        <f t="shared" si="2"/>
        <v>#N/A</v>
      </c>
      <c r="H22" s="187" t="str">
        <f t="shared" si="7"/>
        <v>#N/A</v>
      </c>
      <c r="I22" s="201"/>
      <c r="J22" s="188" t="str">
        <f>D22/'TNT 2015-2022'!$B$2</f>
        <v>#N/A</v>
      </c>
      <c r="K22" s="202"/>
    </row>
    <row r="23" ht="15.75" customHeight="1">
      <c r="A23" s="184" t="s">
        <v>21</v>
      </c>
      <c r="B23" s="185" t="s">
        <v>521</v>
      </c>
      <c r="C23" s="185">
        <v>2018.0</v>
      </c>
      <c r="D23" s="186" t="str">
        <f t="shared" si="8"/>
        <v>#N/A</v>
      </c>
      <c r="E23" s="186">
        <f t="shared" si="9"/>
        <v>0</v>
      </c>
      <c r="F23" s="186" t="str">
        <f t="shared" si="1"/>
        <v>#N/A</v>
      </c>
      <c r="G23" s="186" t="str">
        <f t="shared" si="2"/>
        <v>#N/A</v>
      </c>
      <c r="H23" s="187" t="str">
        <f t="shared" si="7"/>
        <v>#N/A</v>
      </c>
      <c r="I23" s="203"/>
      <c r="J23" s="190" t="str">
        <f>D23/'TNT 2015-2022'!$B$2</f>
        <v>#N/A</v>
      </c>
      <c r="K23" s="202"/>
    </row>
    <row r="24" ht="15.75" customHeight="1">
      <c r="A24" s="184" t="s">
        <v>21</v>
      </c>
      <c r="B24" s="185" t="s">
        <v>521</v>
      </c>
      <c r="C24" s="185">
        <v>2019.0</v>
      </c>
      <c r="D24" s="186" t="str">
        <f t="shared" si="8"/>
        <v>#N/A</v>
      </c>
      <c r="E24" s="186">
        <f t="shared" si="9"/>
        <v>0</v>
      </c>
      <c r="F24" s="186" t="str">
        <f t="shared" si="1"/>
        <v>#N/A</v>
      </c>
      <c r="G24" s="186" t="str">
        <f t="shared" si="2"/>
        <v>#N/A</v>
      </c>
      <c r="H24" s="187" t="str">
        <f t="shared" si="7"/>
        <v>#N/A</v>
      </c>
      <c r="I24" s="201"/>
      <c r="J24" s="188" t="str">
        <f>D24/'TNT 2015-2022'!$B$2</f>
        <v>#N/A</v>
      </c>
      <c r="K24" s="202"/>
    </row>
    <row r="25" ht="15.75" customHeight="1">
      <c r="A25" s="184" t="s">
        <v>21</v>
      </c>
      <c r="B25" s="185" t="s">
        <v>521</v>
      </c>
      <c r="C25" s="185">
        <v>2020.0</v>
      </c>
      <c r="D25" s="186" t="str">
        <f t="shared" si="8"/>
        <v>#N/A</v>
      </c>
      <c r="E25" s="186">
        <f t="shared" si="9"/>
        <v>0</v>
      </c>
      <c r="F25" s="186" t="str">
        <f t="shared" si="1"/>
        <v>#N/A</v>
      </c>
      <c r="G25" s="186" t="str">
        <f t="shared" si="2"/>
        <v>#N/A</v>
      </c>
      <c r="H25" s="187" t="str">
        <f t="shared" si="7"/>
        <v>#N/A</v>
      </c>
      <c r="I25" s="203"/>
      <c r="J25" s="190" t="str">
        <f>D25/'TNT 2015-2022'!$B$2</f>
        <v>#N/A</v>
      </c>
      <c r="K25" s="202"/>
    </row>
    <row r="26" ht="15.75" customHeight="1">
      <c r="A26" s="184" t="s">
        <v>21</v>
      </c>
      <c r="B26" s="185" t="s">
        <v>521</v>
      </c>
      <c r="C26" s="185">
        <v>2021.0</v>
      </c>
      <c r="D26" s="186" t="str">
        <f t="shared" si="8"/>
        <v>#N/A</v>
      </c>
      <c r="E26" s="186">
        <f t="shared" si="9"/>
        <v>0</v>
      </c>
      <c r="F26" s="186" t="str">
        <f t="shared" si="1"/>
        <v>#N/A</v>
      </c>
      <c r="G26" s="186" t="str">
        <f t="shared" si="2"/>
        <v>#N/A</v>
      </c>
      <c r="H26" s="187" t="str">
        <f t="shared" si="7"/>
        <v>#N/A</v>
      </c>
      <c r="I26" s="201"/>
      <c r="J26" s="188" t="str">
        <f>D26/'TNT 2015-2022'!$B$2</f>
        <v>#N/A</v>
      </c>
      <c r="K26" s="202"/>
    </row>
    <row r="27" ht="15.75" customHeight="1">
      <c r="A27" s="184" t="s">
        <v>21</v>
      </c>
      <c r="B27" s="185" t="s">
        <v>521</v>
      </c>
      <c r="C27" s="185">
        <v>2022.0</v>
      </c>
      <c r="D27" s="186" t="str">
        <f t="shared" si="8"/>
        <v>#N/A</v>
      </c>
      <c r="E27" s="186">
        <f t="shared" si="9"/>
        <v>0</v>
      </c>
      <c r="F27" s="186" t="str">
        <f t="shared" si="1"/>
        <v>#N/A</v>
      </c>
      <c r="G27" s="186" t="str">
        <f t="shared" si="2"/>
        <v>#N/A</v>
      </c>
      <c r="H27" s="187" t="str">
        <f t="shared" si="7"/>
        <v>#N/A</v>
      </c>
      <c r="I27" s="203"/>
      <c r="J27" s="190" t="str">
        <f>D27/'TNT 2015-2022'!$B$2</f>
        <v>#N/A</v>
      </c>
      <c r="K27" s="202"/>
    </row>
    <row r="28" ht="15.75" customHeight="1">
      <c r="A28" s="184" t="s">
        <v>21</v>
      </c>
      <c r="B28" s="185" t="s">
        <v>521</v>
      </c>
      <c r="C28" s="185">
        <v>2023.0</v>
      </c>
      <c r="D28" s="186" t="str">
        <f t="shared" si="8"/>
        <v>#N/A</v>
      </c>
      <c r="E28" s="186" t="str">
        <f t="shared" si="9"/>
        <v>#N/A</v>
      </c>
      <c r="F28" s="186" t="str">
        <f t="shared" si="1"/>
        <v>#N/A</v>
      </c>
      <c r="G28" s="186" t="str">
        <f t="shared" si="2"/>
        <v>#N/A</v>
      </c>
      <c r="H28" s="187" t="str">
        <f t="shared" si="7"/>
        <v>#N/A</v>
      </c>
      <c r="I28" s="201"/>
      <c r="J28" s="188" t="str">
        <f>D28/'TNT 2015-2022'!$B$2</f>
        <v>#N/A</v>
      </c>
      <c r="K28" s="202"/>
    </row>
    <row r="29" ht="15.75" customHeight="1">
      <c r="A29" s="184" t="s">
        <v>21</v>
      </c>
      <c r="B29" s="185" t="s">
        <v>522</v>
      </c>
      <c r="C29" s="185">
        <v>2015.0</v>
      </c>
      <c r="D29" s="186" t="str">
        <f>'TNT 2015-2022'!AJ40</f>
        <v>#N/A</v>
      </c>
      <c r="E29" s="186">
        <f>'TNT 2015-2022'!AH40</f>
        <v>16705569.33</v>
      </c>
      <c r="F29" s="186" t="str">
        <f t="shared" si="1"/>
        <v>#N/A</v>
      </c>
      <c r="G29" s="186" t="str">
        <f t="shared" si="2"/>
        <v>#N/A</v>
      </c>
      <c r="H29" s="187" t="str">
        <f t="shared" si="7"/>
        <v>#N/A</v>
      </c>
      <c r="I29" s="203"/>
      <c r="J29" s="190" t="str">
        <f>D29/'TNT 2015-2022'!$B$2</f>
        <v>#N/A</v>
      </c>
      <c r="K29" s="202"/>
    </row>
    <row r="30" ht="15.75" customHeight="1">
      <c r="A30" s="184" t="s">
        <v>21</v>
      </c>
      <c r="B30" s="185" t="s">
        <v>522</v>
      </c>
      <c r="C30" s="185">
        <v>2016.0</v>
      </c>
      <c r="D30" s="186" t="str">
        <f t="shared" ref="D30:D37" si="10">D29+D2</f>
        <v>#N/A</v>
      </c>
      <c r="E30" s="186">
        <f t="shared" ref="E30:E37" si="11">$E$29+E11</f>
        <v>16705569.33</v>
      </c>
      <c r="F30" s="186" t="str">
        <f t="shared" si="1"/>
        <v>#N/A</v>
      </c>
      <c r="G30" s="186" t="str">
        <f t="shared" si="2"/>
        <v>#N/A</v>
      </c>
      <c r="H30" s="187" t="str">
        <f t="shared" si="7"/>
        <v>#N/A</v>
      </c>
      <c r="I30" s="201"/>
      <c r="J30" s="188" t="str">
        <f>D30/'TNT 2015-2022'!$B$2</f>
        <v>#N/A</v>
      </c>
      <c r="K30" s="202"/>
    </row>
    <row r="31" ht="15.75" customHeight="1">
      <c r="A31" s="184" t="s">
        <v>21</v>
      </c>
      <c r="B31" s="185" t="s">
        <v>522</v>
      </c>
      <c r="C31" s="185">
        <v>2017.0</v>
      </c>
      <c r="D31" s="186" t="str">
        <f t="shared" si="10"/>
        <v>#N/A</v>
      </c>
      <c r="E31" s="186">
        <f t="shared" si="11"/>
        <v>16705569.33</v>
      </c>
      <c r="F31" s="186" t="str">
        <f t="shared" si="1"/>
        <v>#N/A</v>
      </c>
      <c r="G31" s="186" t="str">
        <f t="shared" si="2"/>
        <v>#N/A</v>
      </c>
      <c r="H31" s="187" t="str">
        <f t="shared" si="7"/>
        <v>#N/A</v>
      </c>
      <c r="I31" s="203"/>
      <c r="J31" s="190" t="str">
        <f>D31/'TNT 2015-2022'!$B$2</f>
        <v>#N/A</v>
      </c>
      <c r="K31" s="202"/>
    </row>
    <row r="32" ht="15.75" customHeight="1">
      <c r="A32" s="184" t="s">
        <v>21</v>
      </c>
      <c r="B32" s="185" t="s">
        <v>522</v>
      </c>
      <c r="C32" s="185">
        <v>2018.0</v>
      </c>
      <c r="D32" s="186" t="str">
        <f t="shared" si="10"/>
        <v>#N/A</v>
      </c>
      <c r="E32" s="186">
        <f t="shared" si="11"/>
        <v>16705569.33</v>
      </c>
      <c r="F32" s="186" t="str">
        <f t="shared" si="1"/>
        <v>#N/A</v>
      </c>
      <c r="G32" s="186" t="str">
        <f t="shared" si="2"/>
        <v>#N/A</v>
      </c>
      <c r="H32" s="187" t="str">
        <f t="shared" si="7"/>
        <v>#N/A</v>
      </c>
      <c r="I32" s="201"/>
      <c r="J32" s="188" t="str">
        <f>D32/'TNT 2015-2022'!$B$2</f>
        <v>#N/A</v>
      </c>
      <c r="K32" s="202"/>
    </row>
    <row r="33" ht="15.75" customHeight="1">
      <c r="A33" s="184" t="s">
        <v>21</v>
      </c>
      <c r="B33" s="185" t="s">
        <v>522</v>
      </c>
      <c r="C33" s="185">
        <v>2019.0</v>
      </c>
      <c r="D33" s="186" t="str">
        <f t="shared" si="10"/>
        <v>#N/A</v>
      </c>
      <c r="E33" s="186">
        <f t="shared" si="11"/>
        <v>16705569.33</v>
      </c>
      <c r="F33" s="186" t="str">
        <f t="shared" si="1"/>
        <v>#N/A</v>
      </c>
      <c r="G33" s="186" t="str">
        <f t="shared" si="2"/>
        <v>#N/A</v>
      </c>
      <c r="H33" s="187" t="str">
        <f t="shared" si="7"/>
        <v>#N/A</v>
      </c>
      <c r="I33" s="203"/>
      <c r="J33" s="190" t="str">
        <f>D33/'TNT 2015-2022'!$B$2</f>
        <v>#N/A</v>
      </c>
      <c r="K33" s="202"/>
    </row>
    <row r="34" ht="15.75" customHeight="1">
      <c r="A34" s="184" t="s">
        <v>21</v>
      </c>
      <c r="B34" s="185" t="s">
        <v>522</v>
      </c>
      <c r="C34" s="185">
        <v>2020.0</v>
      </c>
      <c r="D34" s="186" t="str">
        <f t="shared" si="10"/>
        <v>#N/A</v>
      </c>
      <c r="E34" s="186">
        <f t="shared" si="11"/>
        <v>16705569.33</v>
      </c>
      <c r="F34" s="186" t="str">
        <f t="shared" si="1"/>
        <v>#N/A</v>
      </c>
      <c r="G34" s="186" t="str">
        <f t="shared" si="2"/>
        <v>#N/A</v>
      </c>
      <c r="H34" s="187" t="str">
        <f t="shared" si="7"/>
        <v>#N/A</v>
      </c>
      <c r="I34" s="201"/>
      <c r="J34" s="188" t="str">
        <f>D34/'TNT 2015-2022'!$B$2</f>
        <v>#N/A</v>
      </c>
      <c r="K34" s="202"/>
    </row>
    <row r="35" ht="15.75" customHeight="1">
      <c r="A35" s="184" t="s">
        <v>21</v>
      </c>
      <c r="B35" s="185" t="s">
        <v>522</v>
      </c>
      <c r="C35" s="185">
        <v>2021.0</v>
      </c>
      <c r="D35" s="186" t="str">
        <f t="shared" si="10"/>
        <v>#N/A</v>
      </c>
      <c r="E35" s="186">
        <f t="shared" si="11"/>
        <v>16705569.33</v>
      </c>
      <c r="F35" s="186" t="str">
        <f t="shared" si="1"/>
        <v>#N/A</v>
      </c>
      <c r="G35" s="186" t="str">
        <f t="shared" si="2"/>
        <v>#N/A</v>
      </c>
      <c r="H35" s="187" t="str">
        <f t="shared" si="7"/>
        <v>#N/A</v>
      </c>
      <c r="I35" s="203"/>
      <c r="J35" s="190" t="str">
        <f>D35/'TNT 2015-2022'!$B$2</f>
        <v>#N/A</v>
      </c>
      <c r="K35" s="202"/>
    </row>
    <row r="36" ht="15.75" customHeight="1">
      <c r="A36" s="184" t="s">
        <v>21</v>
      </c>
      <c r="B36" s="185" t="s">
        <v>522</v>
      </c>
      <c r="C36" s="185">
        <v>2022.0</v>
      </c>
      <c r="D36" s="186" t="str">
        <f t="shared" si="10"/>
        <v>#N/A</v>
      </c>
      <c r="E36" s="186">
        <f t="shared" si="11"/>
        <v>16705569.33</v>
      </c>
      <c r="F36" s="186" t="str">
        <f t="shared" si="1"/>
        <v>#N/A</v>
      </c>
      <c r="G36" s="186" t="str">
        <f t="shared" si="2"/>
        <v>#N/A</v>
      </c>
      <c r="H36" s="187" t="str">
        <f t="shared" si="7"/>
        <v>#N/A</v>
      </c>
      <c r="I36" s="201"/>
      <c r="J36" s="188" t="str">
        <f>D36/'TNT 2015-2022'!$B$2</f>
        <v>#N/A</v>
      </c>
      <c r="K36" s="202"/>
    </row>
    <row r="37" ht="15.75" customHeight="1">
      <c r="A37" s="184" t="s">
        <v>21</v>
      </c>
      <c r="B37" s="185" t="s">
        <v>522</v>
      </c>
      <c r="C37" s="185">
        <v>2023.0</v>
      </c>
      <c r="D37" s="186" t="str">
        <f t="shared" si="10"/>
        <v>#N/A</v>
      </c>
      <c r="E37" s="186" t="str">
        <f t="shared" si="11"/>
        <v>#N/A</v>
      </c>
      <c r="F37" s="186" t="str">
        <f t="shared" si="1"/>
        <v>#N/A</v>
      </c>
      <c r="G37" s="186" t="str">
        <f t="shared" si="2"/>
        <v>#N/A</v>
      </c>
      <c r="H37" s="187" t="str">
        <f t="shared" si="7"/>
        <v>#N/A</v>
      </c>
      <c r="I37" s="204"/>
      <c r="J37" s="205" t="str">
        <f>D37/'TNT 2015-2022'!$B$2</f>
        <v>#N/A</v>
      </c>
      <c r="K37" s="202"/>
    </row>
    <row r="38" ht="15.75" customHeight="1">
      <c r="G38" s="206"/>
    </row>
    <row r="39" ht="15.75" customHeight="1">
      <c r="G39" s="206"/>
    </row>
    <row r="40" ht="15.75" customHeight="1">
      <c r="G40" s="206"/>
    </row>
    <row r="41" ht="15.75" customHeight="1">
      <c r="G41" s="206"/>
    </row>
    <row r="42" ht="15.75" customHeight="1">
      <c r="G42" s="206"/>
    </row>
    <row r="43" ht="15.75" customHeight="1">
      <c r="G43" s="206"/>
    </row>
    <row r="44" ht="15.75" customHeight="1">
      <c r="G44" s="206"/>
    </row>
    <row r="45" ht="15.75" customHeight="1">
      <c r="G45" s="206"/>
    </row>
    <row r="46" ht="15.75" customHeight="1">
      <c r="G46" s="206"/>
    </row>
    <row r="47" ht="15.75" customHeight="1">
      <c r="G47" s="206"/>
    </row>
    <row r="48" ht="15.75" customHeight="1">
      <c r="G48" s="206"/>
    </row>
    <row r="49" ht="15.75" customHeight="1">
      <c r="G49" s="206"/>
    </row>
    <row r="50" ht="15.75" customHeight="1">
      <c r="G50" s="206"/>
    </row>
    <row r="51" ht="15.75" customHeight="1">
      <c r="G51" s="206"/>
    </row>
    <row r="52" ht="15.75" customHeight="1">
      <c r="G52" s="206"/>
    </row>
    <row r="53" ht="15.75" customHeight="1">
      <c r="G53" s="206"/>
    </row>
    <row r="54" ht="15.75" customHeight="1">
      <c r="G54" s="206"/>
    </row>
    <row r="55" ht="15.75" customHeight="1">
      <c r="G55" s="206"/>
    </row>
    <row r="56" ht="15.75" customHeight="1">
      <c r="G56" s="206"/>
    </row>
    <row r="57" ht="15.75" customHeight="1">
      <c r="G57" s="206"/>
    </row>
    <row r="58" ht="15.75" customHeight="1">
      <c r="G58" s="206"/>
    </row>
    <row r="59" ht="15.75" customHeight="1">
      <c r="G59" s="206"/>
    </row>
    <row r="60" ht="15.75" customHeight="1">
      <c r="G60" s="206"/>
    </row>
    <row r="61" ht="15.75" customHeight="1">
      <c r="G61" s="206"/>
    </row>
    <row r="62" ht="15.75" customHeight="1">
      <c r="G62" s="206"/>
    </row>
    <row r="63" ht="15.75" customHeight="1">
      <c r="G63" s="206"/>
    </row>
    <row r="64" ht="15.75" customHeight="1">
      <c r="G64" s="206"/>
    </row>
    <row r="65" ht="15.75" customHeight="1">
      <c r="G65" s="206"/>
    </row>
    <row r="66" ht="15.75" customHeight="1">
      <c r="G66" s="206"/>
    </row>
    <row r="67" ht="15.75" customHeight="1">
      <c r="G67" s="206"/>
    </row>
    <row r="68" ht="15.75" customHeight="1">
      <c r="G68" s="206"/>
    </row>
    <row r="69" ht="15.75" customHeight="1">
      <c r="G69" s="206"/>
    </row>
    <row r="70" ht="15.75" customHeight="1">
      <c r="G70" s="206"/>
    </row>
    <row r="71" ht="15.75" customHeight="1">
      <c r="G71" s="206"/>
    </row>
    <row r="72" ht="15.75" customHeight="1">
      <c r="G72" s="206"/>
    </row>
    <row r="73" ht="15.75" customHeight="1">
      <c r="G73" s="206"/>
    </row>
    <row r="74" ht="15.75" customHeight="1">
      <c r="G74" s="206"/>
    </row>
    <row r="75" ht="15.75" customHeight="1">
      <c r="G75" s="206"/>
    </row>
    <row r="76" ht="15.75" customHeight="1">
      <c r="G76" s="206"/>
    </row>
    <row r="77" ht="15.75" customHeight="1">
      <c r="G77" s="206"/>
    </row>
    <row r="78" ht="15.75" customHeight="1">
      <c r="G78" s="206"/>
    </row>
    <row r="79" ht="15.75" customHeight="1">
      <c r="G79" s="206"/>
    </row>
    <row r="80" ht="15.75" customHeight="1">
      <c r="G80" s="206"/>
    </row>
    <row r="81" ht="15.75" customHeight="1">
      <c r="G81" s="206"/>
    </row>
    <row r="82" ht="15.75" customHeight="1">
      <c r="G82" s="206"/>
    </row>
    <row r="83" ht="15.75" customHeight="1">
      <c r="G83" s="206"/>
    </row>
    <row r="84" ht="15.75" customHeight="1">
      <c r="G84" s="206"/>
    </row>
    <row r="85" ht="15.75" customHeight="1">
      <c r="G85" s="206"/>
    </row>
    <row r="86" ht="15.75" customHeight="1">
      <c r="G86" s="206"/>
    </row>
    <row r="87" ht="15.75" customHeight="1">
      <c r="G87" s="206"/>
    </row>
    <row r="88" ht="15.75" customHeight="1">
      <c r="G88" s="206"/>
    </row>
    <row r="89" ht="15.75" customHeight="1">
      <c r="G89" s="206"/>
    </row>
    <row r="90" ht="15.75" customHeight="1">
      <c r="G90" s="206"/>
    </row>
    <row r="91" ht="15.75" customHeight="1">
      <c r="G91" s="206"/>
    </row>
    <row r="92" ht="15.75" customHeight="1">
      <c r="G92" s="206"/>
    </row>
    <row r="93" ht="15.75" customHeight="1">
      <c r="G93" s="206"/>
    </row>
    <row r="94" ht="15.75" customHeight="1">
      <c r="G94" s="206"/>
    </row>
    <row r="95" ht="15.75" customHeight="1">
      <c r="G95" s="206"/>
    </row>
    <row r="96" ht="15.75" customHeight="1">
      <c r="G96" s="206"/>
    </row>
    <row r="97" ht="15.75" customHeight="1">
      <c r="G97" s="206"/>
    </row>
    <row r="98" ht="15.75" customHeight="1">
      <c r="G98" s="206"/>
    </row>
    <row r="99" ht="15.75" customHeight="1">
      <c r="G99" s="206"/>
    </row>
    <row r="100" ht="15.75" customHeight="1">
      <c r="G100" s="206"/>
    </row>
    <row r="101" ht="15.75" customHeight="1">
      <c r="G101" s="206"/>
    </row>
    <row r="102" ht="15.75" customHeight="1">
      <c r="G102" s="206"/>
    </row>
    <row r="103" ht="15.75" customHeight="1">
      <c r="G103" s="206"/>
    </row>
    <row r="104" ht="15.75" customHeight="1">
      <c r="G104" s="206"/>
    </row>
    <row r="105" ht="15.75" customHeight="1">
      <c r="G105" s="206"/>
    </row>
    <row r="106" ht="15.75" customHeight="1">
      <c r="G106" s="206"/>
    </row>
    <row r="107" ht="15.75" customHeight="1">
      <c r="G107" s="206"/>
    </row>
    <row r="108" ht="15.75" customHeight="1">
      <c r="G108" s="206"/>
    </row>
    <row r="109" ht="15.75" customHeight="1">
      <c r="G109" s="206"/>
    </row>
    <row r="110" ht="15.75" customHeight="1">
      <c r="G110" s="206"/>
    </row>
    <row r="111" ht="15.75" customHeight="1">
      <c r="G111" s="206"/>
    </row>
    <row r="112" ht="15.75" customHeight="1">
      <c r="G112" s="206"/>
    </row>
    <row r="113" ht="15.75" customHeight="1">
      <c r="G113" s="206"/>
    </row>
    <row r="114" ht="15.75" customHeight="1">
      <c r="G114" s="206"/>
    </row>
    <row r="115" ht="15.75" customHeight="1">
      <c r="G115" s="206"/>
    </row>
    <row r="116" ht="15.75" customHeight="1">
      <c r="G116" s="206"/>
    </row>
    <row r="117" ht="15.75" customHeight="1">
      <c r="G117" s="206"/>
    </row>
    <row r="118" ht="15.75" customHeight="1">
      <c r="G118" s="206"/>
    </row>
    <row r="119" ht="15.75" customHeight="1">
      <c r="G119" s="206"/>
    </row>
    <row r="120" ht="15.75" customHeight="1">
      <c r="G120" s="206"/>
    </row>
    <row r="121" ht="15.75" customHeight="1">
      <c r="G121" s="206"/>
    </row>
    <row r="122" ht="15.75" customHeight="1">
      <c r="G122" s="206"/>
    </row>
    <row r="123" ht="15.75" customHeight="1">
      <c r="G123" s="206"/>
    </row>
    <row r="124" ht="15.75" customHeight="1">
      <c r="G124" s="206"/>
    </row>
    <row r="125" ht="15.75" customHeight="1">
      <c r="G125" s="206"/>
    </row>
    <row r="126" ht="15.75" customHeight="1">
      <c r="G126" s="206"/>
    </row>
    <row r="127" ht="15.75" customHeight="1">
      <c r="G127" s="206"/>
    </row>
    <row r="128" ht="15.75" customHeight="1">
      <c r="G128" s="206"/>
    </row>
    <row r="129" ht="15.75" customHeight="1">
      <c r="G129" s="206"/>
    </row>
    <row r="130" ht="15.75" customHeight="1">
      <c r="G130" s="206"/>
    </row>
    <row r="131" ht="15.75" customHeight="1">
      <c r="G131" s="206"/>
    </row>
    <row r="132" ht="15.75" customHeight="1">
      <c r="G132" s="206"/>
    </row>
    <row r="133" ht="15.75" customHeight="1">
      <c r="G133" s="206"/>
    </row>
    <row r="134" ht="15.75" customHeight="1">
      <c r="G134" s="206"/>
    </row>
    <row r="135" ht="15.75" customHeight="1">
      <c r="G135" s="206"/>
    </row>
    <row r="136" ht="15.75" customHeight="1">
      <c r="G136" s="206"/>
    </row>
    <row r="137" ht="15.75" customHeight="1">
      <c r="G137" s="206"/>
    </row>
    <row r="138" ht="15.75" customHeight="1">
      <c r="G138" s="206"/>
    </row>
    <row r="139" ht="15.75" customHeight="1">
      <c r="G139" s="206"/>
    </row>
    <row r="140" ht="15.75" customHeight="1">
      <c r="G140" s="206"/>
    </row>
    <row r="141" ht="15.75" customHeight="1">
      <c r="G141" s="206"/>
    </row>
    <row r="142" ht="15.75" customHeight="1">
      <c r="G142" s="206"/>
    </row>
    <row r="143" ht="15.75" customHeight="1">
      <c r="G143" s="206"/>
    </row>
    <row r="144" ht="15.75" customHeight="1">
      <c r="G144" s="206"/>
    </row>
    <row r="145" ht="15.75" customHeight="1">
      <c r="G145" s="206"/>
    </row>
    <row r="146" ht="15.75" customHeight="1">
      <c r="G146" s="206"/>
    </row>
    <row r="147" ht="15.75" customHeight="1">
      <c r="G147" s="206"/>
    </row>
    <row r="148" ht="15.75" customHeight="1">
      <c r="G148" s="206"/>
    </row>
    <row r="149" ht="15.75" customHeight="1">
      <c r="G149" s="206"/>
    </row>
    <row r="150" ht="15.75" customHeight="1">
      <c r="G150" s="206"/>
    </row>
    <row r="151" ht="15.75" customHeight="1">
      <c r="G151" s="206"/>
    </row>
    <row r="152" ht="15.75" customHeight="1">
      <c r="G152" s="206"/>
    </row>
    <row r="153" ht="15.75" customHeight="1">
      <c r="G153" s="206"/>
    </row>
    <row r="154" ht="15.75" customHeight="1">
      <c r="G154" s="206"/>
    </row>
    <row r="155" ht="15.75" customHeight="1">
      <c r="G155" s="206"/>
    </row>
    <row r="156" ht="15.75" customHeight="1">
      <c r="G156" s="206"/>
    </row>
    <row r="157" ht="15.75" customHeight="1">
      <c r="G157" s="206"/>
    </row>
    <row r="158" ht="15.75" customHeight="1">
      <c r="G158" s="206"/>
    </row>
    <row r="159" ht="15.75" customHeight="1">
      <c r="G159" s="206"/>
    </row>
    <row r="160" ht="15.75" customHeight="1">
      <c r="G160" s="206"/>
    </row>
    <row r="161" ht="15.75" customHeight="1">
      <c r="G161" s="206"/>
    </row>
    <row r="162" ht="15.75" customHeight="1">
      <c r="G162" s="206"/>
    </row>
    <row r="163" ht="15.75" customHeight="1">
      <c r="G163" s="206"/>
    </row>
    <row r="164" ht="15.75" customHeight="1">
      <c r="G164" s="206"/>
    </row>
    <row r="165" ht="15.75" customHeight="1">
      <c r="G165" s="206"/>
    </row>
    <row r="166" ht="15.75" customHeight="1">
      <c r="G166" s="206"/>
    </row>
    <row r="167" ht="15.75" customHeight="1">
      <c r="G167" s="206"/>
    </row>
    <row r="168" ht="15.75" customHeight="1">
      <c r="G168" s="206"/>
    </row>
    <row r="169" ht="15.75" customHeight="1">
      <c r="G169" s="206"/>
    </row>
    <row r="170" ht="15.75" customHeight="1">
      <c r="G170" s="206"/>
    </row>
    <row r="171" ht="15.75" customHeight="1">
      <c r="G171" s="206"/>
    </row>
    <row r="172" ht="15.75" customHeight="1">
      <c r="G172" s="206"/>
    </row>
    <row r="173" ht="15.75" customHeight="1">
      <c r="G173" s="206"/>
    </row>
    <row r="174" ht="15.75" customHeight="1">
      <c r="G174" s="206"/>
    </row>
    <row r="175" ht="15.75" customHeight="1">
      <c r="G175" s="206"/>
    </row>
    <row r="176" ht="15.75" customHeight="1">
      <c r="G176" s="206"/>
    </row>
    <row r="177" ht="15.75" customHeight="1">
      <c r="G177" s="206"/>
    </row>
    <row r="178" ht="15.75" customHeight="1">
      <c r="G178" s="206"/>
    </row>
    <row r="179" ht="15.75" customHeight="1">
      <c r="G179" s="206"/>
    </row>
    <row r="180" ht="15.75" customHeight="1">
      <c r="G180" s="206"/>
    </row>
    <row r="181" ht="15.75" customHeight="1">
      <c r="G181" s="206"/>
    </row>
    <row r="182" ht="15.75" customHeight="1">
      <c r="G182" s="206"/>
    </row>
    <row r="183" ht="15.75" customHeight="1">
      <c r="G183" s="206"/>
    </row>
    <row r="184" ht="15.75" customHeight="1">
      <c r="G184" s="206"/>
    </row>
    <row r="185" ht="15.75" customHeight="1">
      <c r="G185" s="206"/>
    </row>
    <row r="186" ht="15.75" customHeight="1">
      <c r="G186" s="206"/>
    </row>
    <row r="187" ht="15.75" customHeight="1">
      <c r="G187" s="206"/>
    </row>
    <row r="188" ht="15.75" customHeight="1">
      <c r="G188" s="206"/>
    </row>
    <row r="189" ht="15.75" customHeight="1">
      <c r="G189" s="206"/>
    </row>
    <row r="190" ht="15.75" customHeight="1">
      <c r="G190" s="206"/>
    </row>
    <row r="191" ht="15.75" customHeight="1">
      <c r="G191" s="206"/>
    </row>
    <row r="192" ht="15.75" customHeight="1">
      <c r="G192" s="206"/>
    </row>
    <row r="193" ht="15.75" customHeight="1">
      <c r="G193" s="206"/>
    </row>
    <row r="194" ht="15.75" customHeight="1">
      <c r="G194" s="206"/>
    </row>
    <row r="195" ht="15.75" customHeight="1">
      <c r="G195" s="206"/>
    </row>
    <row r="196" ht="15.75" customHeight="1">
      <c r="G196" s="206"/>
    </row>
    <row r="197" ht="15.75" customHeight="1">
      <c r="G197" s="206"/>
    </row>
    <row r="198" ht="15.75" customHeight="1">
      <c r="G198" s="206"/>
    </row>
    <row r="199" ht="15.75" customHeight="1">
      <c r="G199" s="206"/>
    </row>
    <row r="200" ht="15.75" customHeight="1">
      <c r="G200" s="206"/>
    </row>
    <row r="201" ht="15.75" customHeight="1">
      <c r="G201" s="206"/>
    </row>
    <row r="202" ht="15.75" customHeight="1">
      <c r="G202" s="206"/>
    </row>
    <row r="203" ht="15.75" customHeight="1">
      <c r="G203" s="206"/>
    </row>
    <row r="204" ht="15.75" customHeight="1">
      <c r="G204" s="206"/>
    </row>
    <row r="205" ht="15.75" customHeight="1">
      <c r="G205" s="206"/>
    </row>
    <row r="206" ht="15.75" customHeight="1">
      <c r="G206" s="206"/>
    </row>
    <row r="207" ht="15.75" customHeight="1">
      <c r="G207" s="206"/>
    </row>
    <row r="208" ht="15.75" customHeight="1">
      <c r="G208" s="206"/>
    </row>
    <row r="209" ht="15.75" customHeight="1">
      <c r="G209" s="206"/>
    </row>
    <row r="210" ht="15.75" customHeight="1">
      <c r="G210" s="206"/>
    </row>
    <row r="211" ht="15.75" customHeight="1">
      <c r="G211" s="206"/>
    </row>
    <row r="212" ht="15.75" customHeight="1">
      <c r="G212" s="206"/>
    </row>
    <row r="213" ht="15.75" customHeight="1">
      <c r="G213" s="206"/>
    </row>
    <row r="214" ht="15.75" customHeight="1">
      <c r="G214" s="206"/>
    </row>
    <row r="215" ht="15.75" customHeight="1">
      <c r="G215" s="206"/>
    </row>
    <row r="216" ht="15.75" customHeight="1">
      <c r="G216" s="206"/>
    </row>
    <row r="217" ht="15.75" customHeight="1">
      <c r="G217" s="206"/>
    </row>
    <row r="218" ht="15.75" customHeight="1">
      <c r="G218" s="206"/>
    </row>
    <row r="219" ht="15.75" customHeight="1">
      <c r="G219" s="206"/>
    </row>
    <row r="220" ht="15.75" customHeight="1">
      <c r="G220" s="206"/>
    </row>
    <row r="221" ht="15.75" customHeight="1">
      <c r="G221" s="206"/>
    </row>
    <row r="222" ht="15.75" customHeight="1">
      <c r="G222" s="206"/>
    </row>
    <row r="223" ht="15.75" customHeight="1">
      <c r="G223" s="206"/>
    </row>
    <row r="224" ht="15.75" customHeight="1">
      <c r="G224" s="206"/>
    </row>
    <row r="225" ht="15.75" customHeight="1">
      <c r="G225" s="206"/>
    </row>
    <row r="226" ht="15.75" customHeight="1">
      <c r="G226" s="206"/>
    </row>
    <row r="227" ht="15.75" customHeight="1">
      <c r="G227" s="206"/>
    </row>
    <row r="228" ht="15.75" customHeight="1">
      <c r="G228" s="206"/>
    </row>
    <row r="229" ht="15.75" customHeight="1">
      <c r="G229" s="206"/>
    </row>
    <row r="230" ht="15.75" customHeight="1">
      <c r="G230" s="206"/>
    </row>
    <row r="231" ht="15.75" customHeight="1">
      <c r="G231" s="206"/>
    </row>
    <row r="232" ht="15.75" customHeight="1">
      <c r="G232" s="206"/>
    </row>
    <row r="233" ht="15.75" customHeight="1">
      <c r="G233" s="206"/>
    </row>
    <row r="234" ht="15.75" customHeight="1">
      <c r="G234" s="206"/>
    </row>
    <row r="235" ht="15.75" customHeight="1">
      <c r="G235" s="206"/>
    </row>
    <row r="236" ht="15.75" customHeight="1">
      <c r="G236" s="206"/>
    </row>
    <row r="237" ht="15.75" customHeight="1">
      <c r="G237" s="206"/>
    </row>
    <row r="238" ht="15.75" customHeight="1">
      <c r="G238" s="206"/>
    </row>
    <row r="239" ht="15.75" customHeight="1">
      <c r="G239" s="206"/>
    </row>
    <row r="240" ht="15.75" customHeight="1">
      <c r="G240" s="206"/>
    </row>
    <row r="241" ht="15.75" customHeight="1">
      <c r="G241" s="206"/>
    </row>
    <row r="242" ht="15.75" customHeight="1">
      <c r="G242" s="206"/>
    </row>
    <row r="243" ht="15.75" customHeight="1">
      <c r="G243" s="206"/>
    </row>
    <row r="244" ht="15.75" customHeight="1">
      <c r="G244" s="206"/>
    </row>
    <row r="245" ht="15.75" customHeight="1">
      <c r="G245" s="206"/>
    </row>
    <row r="246" ht="15.75" customHeight="1">
      <c r="G246" s="206"/>
    </row>
    <row r="247" ht="15.75" customHeight="1">
      <c r="G247" s="206"/>
    </row>
    <row r="248" ht="15.75" customHeight="1">
      <c r="G248" s="206"/>
    </row>
    <row r="249" ht="15.75" customHeight="1">
      <c r="G249" s="206"/>
    </row>
    <row r="250" ht="15.75" customHeight="1">
      <c r="G250" s="206"/>
    </row>
    <row r="251" ht="15.75" customHeight="1">
      <c r="G251" s="206"/>
    </row>
    <row r="252" ht="15.75" customHeight="1">
      <c r="G252" s="206"/>
    </row>
    <row r="253" ht="15.75" customHeight="1">
      <c r="G253" s="206"/>
    </row>
    <row r="254" ht="15.75" customHeight="1">
      <c r="G254" s="206"/>
    </row>
    <row r="255" ht="15.75" customHeight="1">
      <c r="G255" s="206"/>
    </row>
    <row r="256" ht="15.75" customHeight="1">
      <c r="G256" s="206"/>
    </row>
    <row r="257" ht="15.75" customHeight="1">
      <c r="G257" s="206"/>
    </row>
    <row r="258" ht="15.75" customHeight="1">
      <c r="G258" s="206"/>
    </row>
    <row r="259" ht="15.75" customHeight="1">
      <c r="G259" s="206"/>
    </row>
    <row r="260" ht="15.75" customHeight="1">
      <c r="G260" s="206"/>
    </row>
    <row r="261" ht="15.75" customHeight="1">
      <c r="G261" s="206"/>
    </row>
    <row r="262" ht="15.75" customHeight="1">
      <c r="G262" s="206"/>
    </row>
    <row r="263" ht="15.75" customHeight="1">
      <c r="G263" s="206"/>
    </row>
    <row r="264" ht="15.75" customHeight="1">
      <c r="G264" s="206"/>
    </row>
    <row r="265" ht="15.75" customHeight="1">
      <c r="G265" s="206"/>
    </row>
    <row r="266" ht="15.75" customHeight="1">
      <c r="G266" s="206"/>
    </row>
    <row r="267" ht="15.75" customHeight="1">
      <c r="G267" s="206"/>
    </row>
    <row r="268" ht="15.75" customHeight="1">
      <c r="G268" s="206"/>
    </row>
    <row r="269" ht="15.75" customHeight="1">
      <c r="G269" s="206"/>
    </row>
    <row r="270" ht="15.75" customHeight="1">
      <c r="G270" s="206"/>
    </row>
    <row r="271" ht="15.75" customHeight="1">
      <c r="G271" s="206"/>
    </row>
    <row r="272" ht="15.75" customHeight="1">
      <c r="G272" s="206"/>
    </row>
    <row r="273" ht="15.75" customHeight="1">
      <c r="G273" s="206"/>
    </row>
    <row r="274" ht="15.75" customHeight="1">
      <c r="G274" s="206"/>
    </row>
    <row r="275" ht="15.75" customHeight="1">
      <c r="G275" s="206"/>
    </row>
    <row r="276" ht="15.75" customHeight="1">
      <c r="G276" s="206"/>
    </row>
    <row r="277" ht="15.75" customHeight="1">
      <c r="G277" s="206"/>
    </row>
    <row r="278" ht="15.75" customHeight="1">
      <c r="G278" s="206"/>
    </row>
    <row r="279" ht="15.75" customHeight="1">
      <c r="G279" s="206"/>
    </row>
    <row r="280" ht="15.75" customHeight="1">
      <c r="G280" s="206"/>
    </row>
    <row r="281" ht="15.75" customHeight="1">
      <c r="G281" s="206"/>
    </row>
    <row r="282" ht="15.75" customHeight="1">
      <c r="G282" s="206"/>
    </row>
    <row r="283" ht="15.75" customHeight="1">
      <c r="G283" s="206"/>
    </row>
    <row r="284" ht="15.75" customHeight="1">
      <c r="G284" s="206"/>
    </row>
    <row r="285" ht="15.75" customHeight="1">
      <c r="G285" s="206"/>
    </row>
    <row r="286" ht="15.75" customHeight="1">
      <c r="G286" s="206"/>
    </row>
    <row r="287" ht="15.75" customHeight="1">
      <c r="G287" s="206"/>
    </row>
    <row r="288" ht="15.75" customHeight="1">
      <c r="G288" s="206"/>
    </row>
    <row r="289" ht="15.75" customHeight="1">
      <c r="G289" s="206"/>
    </row>
    <row r="290" ht="15.75" customHeight="1">
      <c r="G290" s="206"/>
    </row>
    <row r="291" ht="15.75" customHeight="1">
      <c r="G291" s="206"/>
    </row>
    <row r="292" ht="15.75" customHeight="1">
      <c r="G292" s="206"/>
    </row>
    <row r="293" ht="15.75" customHeight="1">
      <c r="G293" s="206"/>
    </row>
    <row r="294" ht="15.75" customHeight="1">
      <c r="G294" s="206"/>
    </row>
    <row r="295" ht="15.75" customHeight="1">
      <c r="G295" s="206"/>
    </row>
    <row r="296" ht="15.75" customHeight="1">
      <c r="G296" s="206"/>
    </row>
    <row r="297" ht="15.75" customHeight="1">
      <c r="G297" s="206"/>
    </row>
    <row r="298" ht="15.75" customHeight="1">
      <c r="G298" s="206"/>
    </row>
    <row r="299" ht="15.75" customHeight="1">
      <c r="G299" s="206"/>
    </row>
    <row r="300" ht="15.75" customHeight="1">
      <c r="G300" s="206"/>
    </row>
    <row r="301" ht="15.75" customHeight="1">
      <c r="G301" s="206"/>
    </row>
    <row r="302" ht="15.75" customHeight="1">
      <c r="G302" s="206"/>
    </row>
    <row r="303" ht="15.75" customHeight="1">
      <c r="G303" s="206"/>
    </row>
    <row r="304" ht="15.75" customHeight="1">
      <c r="G304" s="206"/>
    </row>
    <row r="305" ht="15.75" customHeight="1">
      <c r="G305" s="206"/>
    </row>
    <row r="306" ht="15.75" customHeight="1">
      <c r="G306" s="206"/>
    </row>
    <row r="307" ht="15.75" customHeight="1">
      <c r="G307" s="206"/>
    </row>
    <row r="308" ht="15.75" customHeight="1">
      <c r="G308" s="206"/>
    </row>
    <row r="309" ht="15.75" customHeight="1">
      <c r="G309" s="206"/>
    </row>
    <row r="310" ht="15.75" customHeight="1">
      <c r="G310" s="206"/>
    </row>
    <row r="311" ht="15.75" customHeight="1">
      <c r="G311" s="206"/>
    </row>
    <row r="312" ht="15.75" customHeight="1">
      <c r="G312" s="206"/>
    </row>
    <row r="313" ht="15.75" customHeight="1">
      <c r="G313" s="206"/>
    </row>
    <row r="314" ht="15.75" customHeight="1">
      <c r="G314" s="206"/>
    </row>
    <row r="315" ht="15.75" customHeight="1">
      <c r="G315" s="206"/>
    </row>
    <row r="316" ht="15.75" customHeight="1">
      <c r="G316" s="206"/>
    </row>
    <row r="317" ht="15.75" customHeight="1">
      <c r="G317" s="206"/>
    </row>
    <row r="318" ht="15.75" customHeight="1">
      <c r="G318" s="206"/>
    </row>
    <row r="319" ht="15.75" customHeight="1">
      <c r="G319" s="206"/>
    </row>
    <row r="320" ht="15.75" customHeight="1">
      <c r="G320" s="206"/>
    </row>
    <row r="321" ht="15.75" customHeight="1">
      <c r="G321" s="206"/>
    </row>
    <row r="322" ht="15.75" customHeight="1">
      <c r="G322" s="206"/>
    </row>
    <row r="323" ht="15.75" customHeight="1">
      <c r="G323" s="206"/>
    </row>
    <row r="324" ht="15.75" customHeight="1">
      <c r="G324" s="206"/>
    </row>
    <row r="325" ht="15.75" customHeight="1">
      <c r="G325" s="206"/>
    </row>
    <row r="326" ht="15.75" customHeight="1">
      <c r="G326" s="206"/>
    </row>
    <row r="327" ht="15.75" customHeight="1">
      <c r="G327" s="206"/>
    </row>
    <row r="328" ht="15.75" customHeight="1">
      <c r="G328" s="206"/>
    </row>
    <row r="329" ht="15.75" customHeight="1">
      <c r="G329" s="206"/>
    </row>
    <row r="330" ht="15.75" customHeight="1">
      <c r="G330" s="206"/>
    </row>
    <row r="331" ht="15.75" customHeight="1">
      <c r="G331" s="206"/>
    </row>
    <row r="332" ht="15.75" customHeight="1">
      <c r="G332" s="206"/>
    </row>
    <row r="333" ht="15.75" customHeight="1">
      <c r="G333" s="206"/>
    </row>
    <row r="334" ht="15.75" customHeight="1">
      <c r="G334" s="206"/>
    </row>
    <row r="335" ht="15.75" customHeight="1">
      <c r="G335" s="206"/>
    </row>
    <row r="336" ht="15.75" customHeight="1">
      <c r="G336" s="206"/>
    </row>
    <row r="337" ht="15.75" customHeight="1">
      <c r="G337" s="206"/>
    </row>
    <row r="338" ht="15.75" customHeight="1">
      <c r="G338" s="206"/>
    </row>
    <row r="339" ht="15.75" customHeight="1">
      <c r="G339" s="206"/>
    </row>
    <row r="340" ht="15.75" customHeight="1">
      <c r="G340" s="206"/>
    </row>
    <row r="341" ht="15.75" customHeight="1">
      <c r="G341" s="206"/>
    </row>
    <row r="342" ht="15.75" customHeight="1">
      <c r="G342" s="206"/>
    </row>
    <row r="343" ht="15.75" customHeight="1">
      <c r="G343" s="206"/>
    </row>
    <row r="344" ht="15.75" customHeight="1">
      <c r="G344" s="206"/>
    </row>
    <row r="345" ht="15.75" customHeight="1">
      <c r="G345" s="206"/>
    </row>
    <row r="346" ht="15.75" customHeight="1">
      <c r="G346" s="206"/>
    </row>
    <row r="347" ht="15.75" customHeight="1">
      <c r="G347" s="206"/>
    </row>
    <row r="348" ht="15.75" customHeight="1">
      <c r="G348" s="206"/>
    </row>
    <row r="349" ht="15.75" customHeight="1">
      <c r="G349" s="206"/>
    </row>
    <row r="350" ht="15.75" customHeight="1">
      <c r="G350" s="206"/>
    </row>
    <row r="351" ht="15.75" customHeight="1">
      <c r="G351" s="206"/>
    </row>
    <row r="352" ht="15.75" customHeight="1">
      <c r="G352" s="206"/>
    </row>
    <row r="353" ht="15.75" customHeight="1">
      <c r="G353" s="206"/>
    </row>
    <row r="354" ht="15.75" customHeight="1">
      <c r="G354" s="206"/>
    </row>
    <row r="355" ht="15.75" customHeight="1">
      <c r="G355" s="206"/>
    </row>
    <row r="356" ht="15.75" customHeight="1">
      <c r="G356" s="206"/>
    </row>
    <row r="357" ht="15.75" customHeight="1">
      <c r="G357" s="206"/>
    </row>
    <row r="358" ht="15.75" customHeight="1">
      <c r="G358" s="206"/>
    </row>
    <row r="359" ht="15.75" customHeight="1">
      <c r="G359" s="206"/>
    </row>
    <row r="360" ht="15.75" customHeight="1">
      <c r="G360" s="206"/>
    </row>
    <row r="361" ht="15.75" customHeight="1">
      <c r="G361" s="206"/>
    </row>
    <row r="362" ht="15.75" customHeight="1">
      <c r="G362" s="206"/>
    </row>
    <row r="363" ht="15.75" customHeight="1">
      <c r="G363" s="206"/>
    </row>
    <row r="364" ht="15.75" customHeight="1">
      <c r="G364" s="206"/>
    </row>
    <row r="365" ht="15.75" customHeight="1">
      <c r="G365" s="206"/>
    </row>
    <row r="366" ht="15.75" customHeight="1">
      <c r="G366" s="206"/>
    </row>
    <row r="367" ht="15.75" customHeight="1">
      <c r="G367" s="206"/>
    </row>
    <row r="368" ht="15.75" customHeight="1">
      <c r="G368" s="206"/>
    </row>
    <row r="369" ht="15.75" customHeight="1">
      <c r="G369" s="206"/>
    </row>
    <row r="370" ht="15.75" customHeight="1">
      <c r="G370" s="206"/>
    </row>
    <row r="371" ht="15.75" customHeight="1">
      <c r="G371" s="206"/>
    </row>
    <row r="372" ht="15.75" customHeight="1">
      <c r="G372" s="206"/>
    </row>
    <row r="373" ht="15.75" customHeight="1">
      <c r="G373" s="206"/>
    </row>
    <row r="374" ht="15.75" customHeight="1">
      <c r="G374" s="206"/>
    </row>
    <row r="375" ht="15.75" customHeight="1">
      <c r="G375" s="206"/>
    </row>
    <row r="376" ht="15.75" customHeight="1">
      <c r="G376" s="206"/>
    </row>
    <row r="377" ht="15.75" customHeight="1">
      <c r="G377" s="206"/>
    </row>
    <row r="378" ht="15.75" customHeight="1">
      <c r="G378" s="206"/>
    </row>
    <row r="379" ht="15.75" customHeight="1">
      <c r="G379" s="206"/>
    </row>
    <row r="380" ht="15.75" customHeight="1">
      <c r="G380" s="206"/>
    </row>
    <row r="381" ht="15.75" customHeight="1">
      <c r="G381" s="206"/>
    </row>
    <row r="382" ht="15.75" customHeight="1">
      <c r="G382" s="206"/>
    </row>
    <row r="383" ht="15.75" customHeight="1">
      <c r="G383" s="206"/>
    </row>
    <row r="384" ht="15.75" customHeight="1">
      <c r="G384" s="206"/>
    </row>
    <row r="385" ht="15.75" customHeight="1">
      <c r="G385" s="206"/>
    </row>
    <row r="386" ht="15.75" customHeight="1">
      <c r="G386" s="206"/>
    </row>
    <row r="387" ht="15.75" customHeight="1">
      <c r="G387" s="206"/>
    </row>
    <row r="388" ht="15.75" customHeight="1">
      <c r="G388" s="206"/>
    </row>
    <row r="389" ht="15.75" customHeight="1">
      <c r="G389" s="206"/>
    </row>
    <row r="390" ht="15.75" customHeight="1">
      <c r="G390" s="206"/>
    </row>
    <row r="391" ht="15.75" customHeight="1">
      <c r="G391" s="206"/>
    </row>
    <row r="392" ht="15.75" customHeight="1">
      <c r="G392" s="206"/>
    </row>
    <row r="393" ht="15.75" customHeight="1">
      <c r="G393" s="206"/>
    </row>
    <row r="394" ht="15.75" customHeight="1">
      <c r="G394" s="206"/>
    </row>
    <row r="395" ht="15.75" customHeight="1">
      <c r="G395" s="206"/>
    </row>
    <row r="396" ht="15.75" customHeight="1">
      <c r="G396" s="206"/>
    </row>
    <row r="397" ht="15.75" customHeight="1">
      <c r="G397" s="206"/>
    </row>
    <row r="398" ht="15.75" customHeight="1">
      <c r="G398" s="206"/>
    </row>
    <row r="399" ht="15.75" customHeight="1">
      <c r="G399" s="206"/>
    </row>
    <row r="400" ht="15.75" customHeight="1">
      <c r="G400" s="206"/>
    </row>
    <row r="401" ht="15.75" customHeight="1">
      <c r="G401" s="206"/>
    </row>
    <row r="402" ht="15.75" customHeight="1">
      <c r="G402" s="206"/>
    </row>
    <row r="403" ht="15.75" customHeight="1">
      <c r="G403" s="206"/>
    </row>
    <row r="404" ht="15.75" customHeight="1">
      <c r="G404" s="206"/>
    </row>
    <row r="405" ht="15.75" customHeight="1">
      <c r="G405" s="206"/>
    </row>
    <row r="406" ht="15.75" customHeight="1">
      <c r="G406" s="206"/>
    </row>
    <row r="407" ht="15.75" customHeight="1">
      <c r="G407" s="206"/>
    </row>
    <row r="408" ht="15.75" customHeight="1">
      <c r="G408" s="206"/>
    </row>
    <row r="409" ht="15.75" customHeight="1">
      <c r="G409" s="206"/>
    </row>
    <row r="410" ht="15.75" customHeight="1">
      <c r="G410" s="206"/>
    </row>
    <row r="411" ht="15.75" customHeight="1">
      <c r="G411" s="206"/>
    </row>
    <row r="412" ht="15.75" customHeight="1">
      <c r="G412" s="206"/>
    </row>
    <row r="413" ht="15.75" customHeight="1">
      <c r="G413" s="206"/>
    </row>
    <row r="414" ht="15.75" customHeight="1">
      <c r="G414" s="206"/>
    </row>
    <row r="415" ht="15.75" customHeight="1">
      <c r="G415" s="206"/>
    </row>
    <row r="416" ht="15.75" customHeight="1">
      <c r="G416" s="206"/>
    </row>
    <row r="417" ht="15.75" customHeight="1">
      <c r="G417" s="206"/>
    </row>
    <row r="418" ht="15.75" customHeight="1">
      <c r="G418" s="206"/>
    </row>
    <row r="419" ht="15.75" customHeight="1">
      <c r="G419" s="206"/>
    </row>
    <row r="420" ht="15.75" customHeight="1">
      <c r="G420" s="206"/>
    </row>
    <row r="421" ht="15.75" customHeight="1">
      <c r="G421" s="206"/>
    </row>
    <row r="422" ht="15.75" customHeight="1">
      <c r="G422" s="206"/>
    </row>
    <row r="423" ht="15.75" customHeight="1">
      <c r="G423" s="206"/>
    </row>
    <row r="424" ht="15.75" customHeight="1">
      <c r="G424" s="206"/>
    </row>
    <row r="425" ht="15.75" customHeight="1">
      <c r="G425" s="206"/>
    </row>
    <row r="426" ht="15.75" customHeight="1">
      <c r="G426" s="206"/>
    </row>
    <row r="427" ht="15.75" customHeight="1">
      <c r="G427" s="206"/>
    </row>
    <row r="428" ht="15.75" customHeight="1">
      <c r="G428" s="206"/>
    </row>
    <row r="429" ht="15.75" customHeight="1">
      <c r="G429" s="206"/>
    </row>
    <row r="430" ht="15.75" customHeight="1">
      <c r="G430" s="206"/>
    </row>
    <row r="431" ht="15.75" customHeight="1">
      <c r="G431" s="206"/>
    </row>
    <row r="432" ht="15.75" customHeight="1">
      <c r="G432" s="206"/>
    </row>
    <row r="433" ht="15.75" customHeight="1">
      <c r="G433" s="206"/>
    </row>
    <row r="434" ht="15.75" customHeight="1">
      <c r="G434" s="206"/>
    </row>
    <row r="435" ht="15.75" customHeight="1">
      <c r="G435" s="206"/>
    </row>
    <row r="436" ht="15.75" customHeight="1">
      <c r="G436" s="206"/>
    </row>
    <row r="437" ht="15.75" customHeight="1">
      <c r="G437" s="206"/>
    </row>
    <row r="438" ht="15.75" customHeight="1">
      <c r="G438" s="206"/>
    </row>
    <row r="439" ht="15.75" customHeight="1">
      <c r="G439" s="206"/>
    </row>
    <row r="440" ht="15.75" customHeight="1">
      <c r="G440" s="206"/>
    </row>
    <row r="441" ht="15.75" customHeight="1">
      <c r="G441" s="206"/>
    </row>
    <row r="442" ht="15.75" customHeight="1">
      <c r="G442" s="206"/>
    </row>
    <row r="443" ht="15.75" customHeight="1">
      <c r="G443" s="206"/>
    </row>
    <row r="444" ht="15.75" customHeight="1">
      <c r="G444" s="206"/>
    </row>
    <row r="445" ht="15.75" customHeight="1">
      <c r="G445" s="206"/>
    </row>
    <row r="446" ht="15.75" customHeight="1">
      <c r="G446" s="206"/>
    </row>
    <row r="447" ht="15.75" customHeight="1">
      <c r="G447" s="206"/>
    </row>
    <row r="448" ht="15.75" customHeight="1">
      <c r="G448" s="206"/>
    </row>
    <row r="449" ht="15.75" customHeight="1">
      <c r="G449" s="206"/>
    </row>
    <row r="450" ht="15.75" customHeight="1">
      <c r="G450" s="206"/>
    </row>
    <row r="451" ht="15.75" customHeight="1">
      <c r="G451" s="206"/>
    </row>
    <row r="452" ht="15.75" customHeight="1">
      <c r="G452" s="206"/>
    </row>
    <row r="453" ht="15.75" customHeight="1">
      <c r="G453" s="206"/>
    </row>
    <row r="454" ht="15.75" customHeight="1">
      <c r="G454" s="206"/>
    </row>
    <row r="455" ht="15.75" customHeight="1">
      <c r="G455" s="206"/>
    </row>
    <row r="456" ht="15.75" customHeight="1">
      <c r="G456" s="206"/>
    </row>
    <row r="457" ht="15.75" customHeight="1">
      <c r="G457" s="206"/>
    </row>
    <row r="458" ht="15.75" customHeight="1">
      <c r="G458" s="206"/>
    </row>
    <row r="459" ht="15.75" customHeight="1">
      <c r="G459" s="206"/>
    </row>
    <row r="460" ht="15.75" customHeight="1">
      <c r="G460" s="206"/>
    </row>
    <row r="461" ht="15.75" customHeight="1">
      <c r="G461" s="206"/>
    </row>
    <row r="462" ht="15.75" customHeight="1">
      <c r="G462" s="206"/>
    </row>
    <row r="463" ht="15.75" customHeight="1">
      <c r="G463" s="206"/>
    </row>
    <row r="464" ht="15.75" customHeight="1">
      <c r="G464" s="206"/>
    </row>
    <row r="465" ht="15.75" customHeight="1">
      <c r="G465" s="206"/>
    </row>
    <row r="466" ht="15.75" customHeight="1">
      <c r="G466" s="206"/>
    </row>
    <row r="467" ht="15.75" customHeight="1">
      <c r="G467" s="206"/>
    </row>
    <row r="468" ht="15.75" customHeight="1">
      <c r="G468" s="206"/>
    </row>
    <row r="469" ht="15.75" customHeight="1">
      <c r="G469" s="206"/>
    </row>
    <row r="470" ht="15.75" customHeight="1">
      <c r="G470" s="206"/>
    </row>
    <row r="471" ht="15.75" customHeight="1">
      <c r="G471" s="206"/>
    </row>
    <row r="472" ht="15.75" customHeight="1">
      <c r="G472" s="206"/>
    </row>
    <row r="473" ht="15.75" customHeight="1">
      <c r="G473" s="206"/>
    </row>
    <row r="474" ht="15.75" customHeight="1">
      <c r="G474" s="206"/>
    </row>
    <row r="475" ht="15.75" customHeight="1">
      <c r="G475" s="206"/>
    </row>
    <row r="476" ht="15.75" customHeight="1">
      <c r="G476" s="206"/>
    </row>
    <row r="477" ht="15.75" customHeight="1">
      <c r="G477" s="206"/>
    </row>
    <row r="478" ht="15.75" customHeight="1">
      <c r="G478" s="206"/>
    </row>
    <row r="479" ht="15.75" customHeight="1">
      <c r="G479" s="206"/>
    </row>
    <row r="480" ht="15.75" customHeight="1">
      <c r="G480" s="206"/>
    </row>
    <row r="481" ht="15.75" customHeight="1">
      <c r="G481" s="206"/>
    </row>
    <row r="482" ht="15.75" customHeight="1">
      <c r="G482" s="206"/>
    </row>
    <row r="483" ht="15.75" customHeight="1">
      <c r="G483" s="206"/>
    </row>
    <row r="484" ht="15.75" customHeight="1">
      <c r="G484" s="206"/>
    </row>
    <row r="485" ht="15.75" customHeight="1">
      <c r="G485" s="206"/>
    </row>
    <row r="486" ht="15.75" customHeight="1">
      <c r="G486" s="206"/>
    </row>
    <row r="487" ht="15.75" customHeight="1">
      <c r="G487" s="206"/>
    </row>
    <row r="488" ht="15.75" customHeight="1">
      <c r="G488" s="206"/>
    </row>
    <row r="489" ht="15.75" customHeight="1">
      <c r="G489" s="206"/>
    </row>
    <row r="490" ht="15.75" customHeight="1">
      <c r="G490" s="206"/>
    </row>
    <row r="491" ht="15.75" customHeight="1">
      <c r="G491" s="206"/>
    </row>
    <row r="492" ht="15.75" customHeight="1">
      <c r="G492" s="206"/>
    </row>
    <row r="493" ht="15.75" customHeight="1">
      <c r="G493" s="206"/>
    </row>
    <row r="494" ht="15.75" customHeight="1">
      <c r="G494" s="206"/>
    </row>
    <row r="495" ht="15.75" customHeight="1">
      <c r="G495" s="206"/>
    </row>
    <row r="496" ht="15.75" customHeight="1">
      <c r="G496" s="206"/>
    </row>
    <row r="497" ht="15.75" customHeight="1">
      <c r="G497" s="206"/>
    </row>
    <row r="498" ht="15.75" customHeight="1">
      <c r="G498" s="206"/>
    </row>
    <row r="499" ht="15.75" customHeight="1">
      <c r="G499" s="206"/>
    </row>
    <row r="500" ht="15.75" customHeight="1">
      <c r="G500" s="206"/>
    </row>
    <row r="501" ht="15.75" customHeight="1">
      <c r="G501" s="206"/>
    </row>
    <row r="502" ht="15.75" customHeight="1">
      <c r="G502" s="206"/>
    </row>
    <row r="503" ht="15.75" customHeight="1">
      <c r="G503" s="206"/>
    </row>
    <row r="504" ht="15.75" customHeight="1">
      <c r="G504" s="206"/>
    </row>
    <row r="505" ht="15.75" customHeight="1">
      <c r="G505" s="206"/>
    </row>
    <row r="506" ht="15.75" customHeight="1">
      <c r="G506" s="206"/>
    </row>
    <row r="507" ht="15.75" customHeight="1">
      <c r="G507" s="206"/>
    </row>
    <row r="508" ht="15.75" customHeight="1">
      <c r="G508" s="206"/>
    </row>
    <row r="509" ht="15.75" customHeight="1">
      <c r="G509" s="206"/>
    </row>
    <row r="510" ht="15.75" customHeight="1">
      <c r="G510" s="206"/>
    </row>
    <row r="511" ht="15.75" customHeight="1">
      <c r="G511" s="206"/>
    </row>
    <row r="512" ht="15.75" customHeight="1">
      <c r="G512" s="206"/>
    </row>
    <row r="513" ht="15.75" customHeight="1">
      <c r="G513" s="206"/>
    </row>
    <row r="514" ht="15.75" customHeight="1">
      <c r="G514" s="206"/>
    </row>
    <row r="515" ht="15.75" customHeight="1">
      <c r="G515" s="206"/>
    </row>
    <row r="516" ht="15.75" customHeight="1">
      <c r="G516" s="206"/>
    </row>
    <row r="517" ht="15.75" customHeight="1">
      <c r="G517" s="206"/>
    </row>
    <row r="518" ht="15.75" customHeight="1">
      <c r="G518" s="206"/>
    </row>
    <row r="519" ht="15.75" customHeight="1">
      <c r="G519" s="206"/>
    </row>
    <row r="520" ht="15.75" customHeight="1">
      <c r="G520" s="206"/>
    </row>
    <row r="521" ht="15.75" customHeight="1">
      <c r="G521" s="206"/>
    </row>
    <row r="522" ht="15.75" customHeight="1">
      <c r="G522" s="206"/>
    </row>
    <row r="523" ht="15.75" customHeight="1">
      <c r="G523" s="206"/>
    </row>
    <row r="524" ht="15.75" customHeight="1">
      <c r="G524" s="206"/>
    </row>
    <row r="525" ht="15.75" customHeight="1">
      <c r="G525" s="206"/>
    </row>
    <row r="526" ht="15.75" customHeight="1">
      <c r="G526" s="206"/>
    </row>
    <row r="527" ht="15.75" customHeight="1">
      <c r="G527" s="206"/>
    </row>
    <row r="528" ht="15.75" customHeight="1">
      <c r="G528" s="206"/>
    </row>
    <row r="529" ht="15.75" customHeight="1">
      <c r="G529" s="206"/>
    </row>
    <row r="530" ht="15.75" customHeight="1">
      <c r="G530" s="206"/>
    </row>
    <row r="531" ht="15.75" customHeight="1">
      <c r="G531" s="206"/>
    </row>
    <row r="532" ht="15.75" customHeight="1">
      <c r="G532" s="206"/>
    </row>
    <row r="533" ht="15.75" customHeight="1">
      <c r="G533" s="206"/>
    </row>
    <row r="534" ht="15.75" customHeight="1">
      <c r="G534" s="206"/>
    </row>
    <row r="535" ht="15.75" customHeight="1">
      <c r="G535" s="206"/>
    </row>
    <row r="536" ht="15.75" customHeight="1">
      <c r="G536" s="206"/>
    </row>
    <row r="537" ht="15.75" customHeight="1">
      <c r="G537" s="206"/>
    </row>
    <row r="538" ht="15.75" customHeight="1">
      <c r="G538" s="206"/>
    </row>
    <row r="539" ht="15.75" customHeight="1">
      <c r="G539" s="206"/>
    </row>
    <row r="540" ht="15.75" customHeight="1">
      <c r="G540" s="206"/>
    </row>
    <row r="541" ht="15.75" customHeight="1">
      <c r="G541" s="206"/>
    </row>
    <row r="542" ht="15.75" customHeight="1">
      <c r="G542" s="206"/>
    </row>
    <row r="543" ht="15.75" customHeight="1">
      <c r="G543" s="206"/>
    </row>
    <row r="544" ht="15.75" customHeight="1">
      <c r="G544" s="206"/>
    </row>
    <row r="545" ht="15.75" customHeight="1">
      <c r="G545" s="206"/>
    </row>
    <row r="546" ht="15.75" customHeight="1">
      <c r="G546" s="206"/>
    </row>
    <row r="547" ht="15.75" customHeight="1">
      <c r="G547" s="206"/>
    </row>
    <row r="548" ht="15.75" customHeight="1">
      <c r="G548" s="206"/>
    </row>
    <row r="549" ht="15.75" customHeight="1">
      <c r="G549" s="206"/>
    </row>
    <row r="550" ht="15.75" customHeight="1">
      <c r="G550" s="206"/>
    </row>
    <row r="551" ht="15.75" customHeight="1">
      <c r="G551" s="206"/>
    </row>
    <row r="552" ht="15.75" customHeight="1">
      <c r="G552" s="206"/>
    </row>
    <row r="553" ht="15.75" customHeight="1">
      <c r="G553" s="206"/>
    </row>
    <row r="554" ht="15.75" customHeight="1">
      <c r="G554" s="206"/>
    </row>
    <row r="555" ht="15.75" customHeight="1">
      <c r="G555" s="206"/>
    </row>
    <row r="556" ht="15.75" customHeight="1">
      <c r="G556" s="206"/>
    </row>
    <row r="557" ht="15.75" customHeight="1">
      <c r="G557" s="206"/>
    </row>
    <row r="558" ht="15.75" customHeight="1">
      <c r="G558" s="206"/>
    </row>
    <row r="559" ht="15.75" customHeight="1">
      <c r="G559" s="206"/>
    </row>
    <row r="560" ht="15.75" customHeight="1">
      <c r="G560" s="206"/>
    </row>
    <row r="561" ht="15.75" customHeight="1">
      <c r="G561" s="206"/>
    </row>
    <row r="562" ht="15.75" customHeight="1">
      <c r="G562" s="206"/>
    </row>
    <row r="563" ht="15.75" customHeight="1">
      <c r="G563" s="206"/>
    </row>
    <row r="564" ht="15.75" customHeight="1">
      <c r="G564" s="206"/>
    </row>
    <row r="565" ht="15.75" customHeight="1">
      <c r="G565" s="206"/>
    </row>
    <row r="566" ht="15.75" customHeight="1">
      <c r="G566" s="206"/>
    </row>
    <row r="567" ht="15.75" customHeight="1">
      <c r="G567" s="206"/>
    </row>
    <row r="568" ht="15.75" customHeight="1">
      <c r="G568" s="206"/>
    </row>
    <row r="569" ht="15.75" customHeight="1">
      <c r="G569" s="206"/>
    </row>
    <row r="570" ht="15.75" customHeight="1">
      <c r="G570" s="206"/>
    </row>
    <row r="571" ht="15.75" customHeight="1">
      <c r="G571" s="206"/>
    </row>
    <row r="572" ht="15.75" customHeight="1">
      <c r="G572" s="206"/>
    </row>
    <row r="573" ht="15.75" customHeight="1">
      <c r="G573" s="206"/>
    </row>
    <row r="574" ht="15.75" customHeight="1">
      <c r="G574" s="206"/>
    </row>
    <row r="575" ht="15.75" customHeight="1">
      <c r="G575" s="206"/>
    </row>
    <row r="576" ht="15.75" customHeight="1">
      <c r="G576" s="206"/>
    </row>
    <row r="577" ht="15.75" customHeight="1">
      <c r="G577" s="206"/>
    </row>
    <row r="578" ht="15.75" customHeight="1">
      <c r="G578" s="206"/>
    </row>
    <row r="579" ht="15.75" customHeight="1">
      <c r="G579" s="206"/>
    </row>
    <row r="580" ht="15.75" customHeight="1">
      <c r="G580" s="206"/>
    </row>
    <row r="581" ht="15.75" customHeight="1">
      <c r="G581" s="206"/>
    </row>
    <row r="582" ht="15.75" customHeight="1">
      <c r="G582" s="206"/>
    </row>
    <row r="583" ht="15.75" customHeight="1">
      <c r="G583" s="206"/>
    </row>
    <row r="584" ht="15.75" customHeight="1">
      <c r="G584" s="206"/>
    </row>
    <row r="585" ht="15.75" customHeight="1">
      <c r="G585" s="206"/>
    </row>
    <row r="586" ht="15.75" customHeight="1">
      <c r="G586" s="206"/>
    </row>
    <row r="587" ht="15.75" customHeight="1">
      <c r="G587" s="206"/>
    </row>
    <row r="588" ht="15.75" customHeight="1">
      <c r="G588" s="206"/>
    </row>
    <row r="589" ht="15.75" customHeight="1">
      <c r="G589" s="206"/>
    </row>
    <row r="590" ht="15.75" customHeight="1">
      <c r="G590" s="206"/>
    </row>
    <row r="591" ht="15.75" customHeight="1">
      <c r="G591" s="206"/>
    </row>
    <row r="592" ht="15.75" customHeight="1">
      <c r="G592" s="206"/>
    </row>
    <row r="593" ht="15.75" customHeight="1">
      <c r="G593" s="206"/>
    </row>
    <row r="594" ht="15.75" customHeight="1">
      <c r="G594" s="206"/>
    </row>
    <row r="595" ht="15.75" customHeight="1">
      <c r="G595" s="206"/>
    </row>
    <row r="596" ht="15.75" customHeight="1">
      <c r="G596" s="206"/>
    </row>
    <row r="597" ht="15.75" customHeight="1">
      <c r="G597" s="206"/>
    </row>
    <row r="598" ht="15.75" customHeight="1">
      <c r="G598" s="206"/>
    </row>
    <row r="599" ht="15.75" customHeight="1">
      <c r="G599" s="206"/>
    </row>
    <row r="600" ht="15.75" customHeight="1">
      <c r="G600" s="206"/>
    </row>
    <row r="601" ht="15.75" customHeight="1">
      <c r="G601" s="206"/>
    </row>
    <row r="602" ht="15.75" customHeight="1">
      <c r="G602" s="206"/>
    </row>
    <row r="603" ht="15.75" customHeight="1">
      <c r="G603" s="206"/>
    </row>
    <row r="604" ht="15.75" customHeight="1">
      <c r="G604" s="206"/>
    </row>
    <row r="605" ht="15.75" customHeight="1">
      <c r="G605" s="206"/>
    </row>
    <row r="606" ht="15.75" customHeight="1">
      <c r="G606" s="206"/>
    </row>
    <row r="607" ht="15.75" customHeight="1">
      <c r="G607" s="206"/>
    </row>
    <row r="608" ht="15.75" customHeight="1">
      <c r="G608" s="206"/>
    </row>
    <row r="609" ht="15.75" customHeight="1">
      <c r="G609" s="206"/>
    </row>
    <row r="610" ht="15.75" customHeight="1">
      <c r="G610" s="206"/>
    </row>
    <row r="611" ht="15.75" customHeight="1">
      <c r="G611" s="206"/>
    </row>
    <row r="612" ht="15.75" customHeight="1">
      <c r="G612" s="206"/>
    </row>
    <row r="613" ht="15.75" customHeight="1">
      <c r="G613" s="206"/>
    </row>
    <row r="614" ht="15.75" customHeight="1">
      <c r="G614" s="206"/>
    </row>
    <row r="615" ht="15.75" customHeight="1">
      <c r="G615" s="206"/>
    </row>
    <row r="616" ht="15.75" customHeight="1">
      <c r="G616" s="206"/>
    </row>
    <row r="617" ht="15.75" customHeight="1">
      <c r="G617" s="206"/>
    </row>
    <row r="618" ht="15.75" customHeight="1">
      <c r="G618" s="206"/>
    </row>
    <row r="619" ht="15.75" customHeight="1">
      <c r="G619" s="206"/>
    </row>
    <row r="620" ht="15.75" customHeight="1">
      <c r="G620" s="206"/>
    </row>
    <row r="621" ht="15.75" customHeight="1">
      <c r="G621" s="206"/>
    </row>
    <row r="622" ht="15.75" customHeight="1">
      <c r="G622" s="206"/>
    </row>
    <row r="623" ht="15.75" customHeight="1">
      <c r="G623" s="206"/>
    </row>
    <row r="624" ht="15.75" customHeight="1">
      <c r="G624" s="206"/>
    </row>
    <row r="625" ht="15.75" customHeight="1">
      <c r="G625" s="206"/>
    </row>
    <row r="626" ht="15.75" customHeight="1">
      <c r="G626" s="206"/>
    </row>
    <row r="627" ht="15.75" customHeight="1">
      <c r="G627" s="206"/>
    </row>
    <row r="628" ht="15.75" customHeight="1">
      <c r="G628" s="206"/>
    </row>
    <row r="629" ht="15.75" customHeight="1">
      <c r="G629" s="206"/>
    </row>
    <row r="630" ht="15.75" customHeight="1">
      <c r="G630" s="206"/>
    </row>
    <row r="631" ht="15.75" customHeight="1">
      <c r="G631" s="206"/>
    </row>
    <row r="632" ht="15.75" customHeight="1">
      <c r="G632" s="206"/>
    </row>
    <row r="633" ht="15.75" customHeight="1">
      <c r="G633" s="206"/>
    </row>
    <row r="634" ht="15.75" customHeight="1">
      <c r="G634" s="206"/>
    </row>
    <row r="635" ht="15.75" customHeight="1">
      <c r="G635" s="206"/>
    </row>
    <row r="636" ht="15.75" customHeight="1">
      <c r="G636" s="206"/>
    </row>
    <row r="637" ht="15.75" customHeight="1">
      <c r="G637" s="206"/>
    </row>
    <row r="638" ht="15.75" customHeight="1">
      <c r="G638" s="206"/>
    </row>
    <row r="639" ht="15.75" customHeight="1">
      <c r="G639" s="206"/>
    </row>
    <row r="640" ht="15.75" customHeight="1">
      <c r="G640" s="206"/>
    </row>
    <row r="641" ht="15.75" customHeight="1">
      <c r="G641" s="206"/>
    </row>
    <row r="642" ht="15.75" customHeight="1">
      <c r="G642" s="206"/>
    </row>
    <row r="643" ht="15.75" customHeight="1">
      <c r="G643" s="206"/>
    </row>
    <row r="644" ht="15.75" customHeight="1">
      <c r="G644" s="206"/>
    </row>
    <row r="645" ht="15.75" customHeight="1">
      <c r="G645" s="206"/>
    </row>
    <row r="646" ht="15.75" customHeight="1">
      <c r="G646" s="206"/>
    </row>
    <row r="647" ht="15.75" customHeight="1">
      <c r="G647" s="206"/>
    </row>
    <row r="648" ht="15.75" customHeight="1">
      <c r="G648" s="206"/>
    </row>
    <row r="649" ht="15.75" customHeight="1">
      <c r="G649" s="206"/>
    </row>
    <row r="650" ht="15.75" customHeight="1">
      <c r="G650" s="206"/>
    </row>
    <row r="651" ht="15.75" customHeight="1">
      <c r="G651" s="206"/>
    </row>
    <row r="652" ht="15.75" customHeight="1">
      <c r="G652" s="206"/>
    </row>
    <row r="653" ht="15.75" customHeight="1">
      <c r="G653" s="206"/>
    </row>
    <row r="654" ht="15.75" customHeight="1">
      <c r="G654" s="206"/>
    </row>
    <row r="655" ht="15.75" customHeight="1">
      <c r="G655" s="206"/>
    </row>
    <row r="656" ht="15.75" customHeight="1">
      <c r="G656" s="206"/>
    </row>
    <row r="657" ht="15.75" customHeight="1">
      <c r="G657" s="206"/>
    </row>
    <row r="658" ht="15.75" customHeight="1">
      <c r="G658" s="206"/>
    </row>
    <row r="659" ht="15.75" customHeight="1">
      <c r="G659" s="206"/>
    </row>
    <row r="660" ht="15.75" customHeight="1">
      <c r="G660" s="206"/>
    </row>
    <row r="661" ht="15.75" customHeight="1">
      <c r="G661" s="206"/>
    </row>
    <row r="662" ht="15.75" customHeight="1">
      <c r="G662" s="206"/>
    </row>
    <row r="663" ht="15.75" customHeight="1">
      <c r="G663" s="206"/>
    </row>
    <row r="664" ht="15.75" customHeight="1">
      <c r="G664" s="206"/>
    </row>
    <row r="665" ht="15.75" customHeight="1">
      <c r="G665" s="206"/>
    </row>
    <row r="666" ht="15.75" customHeight="1">
      <c r="G666" s="206"/>
    </row>
    <row r="667" ht="15.75" customHeight="1">
      <c r="G667" s="206"/>
    </row>
    <row r="668" ht="15.75" customHeight="1">
      <c r="G668" s="206"/>
    </row>
    <row r="669" ht="15.75" customHeight="1">
      <c r="G669" s="206"/>
    </row>
    <row r="670" ht="15.75" customHeight="1">
      <c r="G670" s="206"/>
    </row>
    <row r="671" ht="15.75" customHeight="1">
      <c r="G671" s="206"/>
    </row>
    <row r="672" ht="15.75" customHeight="1">
      <c r="G672" s="206"/>
    </row>
    <row r="673" ht="15.75" customHeight="1">
      <c r="G673" s="206"/>
    </row>
    <row r="674" ht="15.75" customHeight="1">
      <c r="G674" s="206"/>
    </row>
    <row r="675" ht="15.75" customHeight="1">
      <c r="G675" s="206"/>
    </row>
    <row r="676" ht="15.75" customHeight="1">
      <c r="G676" s="206"/>
    </row>
    <row r="677" ht="15.75" customHeight="1">
      <c r="G677" s="206"/>
    </row>
    <row r="678" ht="15.75" customHeight="1">
      <c r="G678" s="206"/>
    </row>
    <row r="679" ht="15.75" customHeight="1">
      <c r="G679" s="206"/>
    </row>
    <row r="680" ht="15.75" customHeight="1">
      <c r="G680" s="206"/>
    </row>
    <row r="681" ht="15.75" customHeight="1">
      <c r="G681" s="206"/>
    </row>
    <row r="682" ht="15.75" customHeight="1">
      <c r="G682" s="206"/>
    </row>
    <row r="683" ht="15.75" customHeight="1">
      <c r="G683" s="206"/>
    </row>
    <row r="684" ht="15.75" customHeight="1">
      <c r="G684" s="206"/>
    </row>
    <row r="685" ht="15.75" customHeight="1">
      <c r="G685" s="206"/>
    </row>
    <row r="686" ht="15.75" customHeight="1">
      <c r="G686" s="206"/>
    </row>
    <row r="687" ht="15.75" customHeight="1">
      <c r="G687" s="206"/>
    </row>
    <row r="688" ht="15.75" customHeight="1">
      <c r="G688" s="206"/>
    </row>
    <row r="689" ht="15.75" customHeight="1">
      <c r="G689" s="206"/>
    </row>
    <row r="690" ht="15.75" customHeight="1">
      <c r="G690" s="206"/>
    </row>
    <row r="691" ht="15.75" customHeight="1">
      <c r="G691" s="206"/>
    </row>
    <row r="692" ht="15.75" customHeight="1">
      <c r="G692" s="206"/>
    </row>
    <row r="693" ht="15.75" customHeight="1">
      <c r="G693" s="206"/>
    </row>
    <row r="694" ht="15.75" customHeight="1">
      <c r="G694" s="206"/>
    </row>
    <row r="695" ht="15.75" customHeight="1">
      <c r="G695" s="206"/>
    </row>
    <row r="696" ht="15.75" customHeight="1">
      <c r="G696" s="206"/>
    </row>
    <row r="697" ht="15.75" customHeight="1">
      <c r="G697" s="206"/>
    </row>
    <row r="698" ht="15.75" customHeight="1">
      <c r="G698" s="206"/>
    </row>
    <row r="699" ht="15.75" customHeight="1">
      <c r="G699" s="206"/>
    </row>
    <row r="700" ht="15.75" customHeight="1">
      <c r="G700" s="206"/>
    </row>
    <row r="701" ht="15.75" customHeight="1">
      <c r="G701" s="206"/>
    </row>
    <row r="702" ht="15.75" customHeight="1">
      <c r="G702" s="206"/>
    </row>
    <row r="703" ht="15.75" customHeight="1">
      <c r="G703" s="206"/>
    </row>
    <row r="704" ht="15.75" customHeight="1">
      <c r="G704" s="206"/>
    </row>
    <row r="705" ht="15.75" customHeight="1">
      <c r="G705" s="206"/>
    </row>
    <row r="706" ht="15.75" customHeight="1">
      <c r="G706" s="206"/>
    </row>
    <row r="707" ht="15.75" customHeight="1">
      <c r="G707" s="206"/>
    </row>
    <row r="708" ht="15.75" customHeight="1">
      <c r="G708" s="206"/>
    </row>
    <row r="709" ht="15.75" customHeight="1">
      <c r="G709" s="206"/>
    </row>
    <row r="710" ht="15.75" customHeight="1">
      <c r="G710" s="206"/>
    </row>
    <row r="711" ht="15.75" customHeight="1">
      <c r="G711" s="206"/>
    </row>
    <row r="712" ht="15.75" customHeight="1">
      <c r="G712" s="206"/>
    </row>
    <row r="713" ht="15.75" customHeight="1">
      <c r="G713" s="206"/>
    </row>
    <row r="714" ht="15.75" customHeight="1">
      <c r="G714" s="206"/>
    </row>
    <row r="715" ht="15.75" customHeight="1">
      <c r="G715" s="206"/>
    </row>
    <row r="716" ht="15.75" customHeight="1">
      <c r="G716" s="206"/>
    </row>
    <row r="717" ht="15.75" customHeight="1">
      <c r="G717" s="206"/>
    </row>
    <row r="718" ht="15.75" customHeight="1">
      <c r="G718" s="206"/>
    </row>
    <row r="719" ht="15.75" customHeight="1">
      <c r="G719" s="206"/>
    </row>
    <row r="720" ht="15.75" customHeight="1">
      <c r="G720" s="206"/>
    </row>
    <row r="721" ht="15.75" customHeight="1">
      <c r="G721" s="206"/>
    </row>
    <row r="722" ht="15.75" customHeight="1">
      <c r="G722" s="206"/>
    </row>
    <row r="723" ht="15.75" customHeight="1">
      <c r="G723" s="206"/>
    </row>
    <row r="724" ht="15.75" customHeight="1">
      <c r="G724" s="206"/>
    </row>
    <row r="725" ht="15.75" customHeight="1">
      <c r="G725" s="206"/>
    </row>
    <row r="726" ht="15.75" customHeight="1">
      <c r="G726" s="206"/>
    </row>
    <row r="727" ht="15.75" customHeight="1">
      <c r="G727" s="206"/>
    </row>
    <row r="728" ht="15.75" customHeight="1">
      <c r="G728" s="206"/>
    </row>
    <row r="729" ht="15.75" customHeight="1">
      <c r="G729" s="206"/>
    </row>
    <row r="730" ht="15.75" customHeight="1">
      <c r="G730" s="206"/>
    </row>
    <row r="731" ht="15.75" customHeight="1">
      <c r="G731" s="206"/>
    </row>
    <row r="732" ht="15.75" customHeight="1">
      <c r="G732" s="206"/>
    </row>
    <row r="733" ht="15.75" customHeight="1">
      <c r="G733" s="206"/>
    </row>
    <row r="734" ht="15.75" customHeight="1">
      <c r="G734" s="206"/>
    </row>
    <row r="735" ht="15.75" customHeight="1">
      <c r="G735" s="206"/>
    </row>
    <row r="736" ht="15.75" customHeight="1">
      <c r="G736" s="206"/>
    </row>
    <row r="737" ht="15.75" customHeight="1">
      <c r="G737" s="206"/>
    </row>
    <row r="738" ht="15.75" customHeight="1">
      <c r="G738" s="206"/>
    </row>
    <row r="739" ht="15.75" customHeight="1">
      <c r="G739" s="206"/>
    </row>
    <row r="740" ht="15.75" customHeight="1">
      <c r="G740" s="206"/>
    </row>
    <row r="741" ht="15.75" customHeight="1">
      <c r="G741" s="206"/>
    </row>
    <row r="742" ht="15.75" customHeight="1">
      <c r="G742" s="206"/>
    </row>
    <row r="743" ht="15.75" customHeight="1">
      <c r="G743" s="206"/>
    </row>
    <row r="744" ht="15.75" customHeight="1">
      <c r="G744" s="206"/>
    </row>
    <row r="745" ht="15.75" customHeight="1">
      <c r="G745" s="206"/>
    </row>
    <row r="746" ht="15.75" customHeight="1">
      <c r="G746" s="206"/>
    </row>
    <row r="747" ht="15.75" customHeight="1">
      <c r="G747" s="206"/>
    </row>
    <row r="748" ht="15.75" customHeight="1">
      <c r="G748" s="206"/>
    </row>
    <row r="749" ht="15.75" customHeight="1">
      <c r="G749" s="206"/>
    </row>
    <row r="750" ht="15.75" customHeight="1">
      <c r="G750" s="206"/>
    </row>
    <row r="751" ht="15.75" customHeight="1">
      <c r="G751" s="206"/>
    </row>
    <row r="752" ht="15.75" customHeight="1">
      <c r="G752" s="206"/>
    </row>
    <row r="753" ht="15.75" customHeight="1">
      <c r="G753" s="206"/>
    </row>
    <row r="754" ht="15.75" customHeight="1">
      <c r="G754" s="206"/>
    </row>
    <row r="755" ht="15.75" customHeight="1">
      <c r="G755" s="206"/>
    </row>
    <row r="756" ht="15.75" customHeight="1">
      <c r="G756" s="206"/>
    </row>
    <row r="757" ht="15.75" customHeight="1">
      <c r="G757" s="206"/>
    </row>
    <row r="758" ht="15.75" customHeight="1">
      <c r="G758" s="206"/>
    </row>
    <row r="759" ht="15.75" customHeight="1">
      <c r="G759" s="206"/>
    </row>
    <row r="760" ht="15.75" customHeight="1">
      <c r="G760" s="206"/>
    </row>
    <row r="761" ht="15.75" customHeight="1">
      <c r="G761" s="206"/>
    </row>
    <row r="762" ht="15.75" customHeight="1">
      <c r="G762" s="206"/>
    </row>
    <row r="763" ht="15.75" customHeight="1">
      <c r="G763" s="206"/>
    </row>
    <row r="764" ht="15.75" customHeight="1">
      <c r="G764" s="206"/>
    </row>
    <row r="765" ht="15.75" customHeight="1">
      <c r="G765" s="206"/>
    </row>
    <row r="766" ht="15.75" customHeight="1">
      <c r="G766" s="206"/>
    </row>
    <row r="767" ht="15.75" customHeight="1">
      <c r="G767" s="206"/>
    </row>
    <row r="768" ht="15.75" customHeight="1">
      <c r="G768" s="206"/>
    </row>
    <row r="769" ht="15.75" customHeight="1">
      <c r="G769" s="206"/>
    </row>
    <row r="770" ht="15.75" customHeight="1">
      <c r="G770" s="206"/>
    </row>
    <row r="771" ht="15.75" customHeight="1">
      <c r="G771" s="206"/>
    </row>
    <row r="772" ht="15.75" customHeight="1">
      <c r="G772" s="206"/>
    </row>
    <row r="773" ht="15.75" customHeight="1">
      <c r="G773" s="206"/>
    </row>
    <row r="774" ht="15.75" customHeight="1">
      <c r="G774" s="206"/>
    </row>
    <row r="775" ht="15.75" customHeight="1">
      <c r="G775" s="206"/>
    </row>
    <row r="776" ht="15.75" customHeight="1">
      <c r="G776" s="206"/>
    </row>
    <row r="777" ht="15.75" customHeight="1">
      <c r="G777" s="206"/>
    </row>
    <row r="778" ht="15.75" customHeight="1">
      <c r="G778" s="206"/>
    </row>
    <row r="779" ht="15.75" customHeight="1">
      <c r="G779" s="206"/>
    </row>
    <row r="780" ht="15.75" customHeight="1">
      <c r="G780" s="206"/>
    </row>
    <row r="781" ht="15.75" customHeight="1">
      <c r="G781" s="206"/>
    </row>
    <row r="782" ht="15.75" customHeight="1">
      <c r="G782" s="206"/>
    </row>
    <row r="783" ht="15.75" customHeight="1">
      <c r="G783" s="206"/>
    </row>
    <row r="784" ht="15.75" customHeight="1">
      <c r="G784" s="206"/>
    </row>
    <row r="785" ht="15.75" customHeight="1">
      <c r="G785" s="206"/>
    </row>
    <row r="786" ht="15.75" customHeight="1">
      <c r="G786" s="206"/>
    </row>
    <row r="787" ht="15.75" customHeight="1">
      <c r="G787" s="206"/>
    </row>
    <row r="788" ht="15.75" customHeight="1">
      <c r="G788" s="206"/>
    </row>
    <row r="789" ht="15.75" customHeight="1">
      <c r="G789" s="206"/>
    </row>
    <row r="790" ht="15.75" customHeight="1">
      <c r="G790" s="206"/>
    </row>
    <row r="791" ht="15.75" customHeight="1">
      <c r="G791" s="206"/>
    </row>
    <row r="792" ht="15.75" customHeight="1">
      <c r="G792" s="206"/>
    </row>
    <row r="793" ht="15.75" customHeight="1">
      <c r="G793" s="206"/>
    </row>
    <row r="794" ht="15.75" customHeight="1">
      <c r="G794" s="206"/>
    </row>
    <row r="795" ht="15.75" customHeight="1">
      <c r="G795" s="206"/>
    </row>
    <row r="796" ht="15.75" customHeight="1">
      <c r="G796" s="206"/>
    </row>
    <row r="797" ht="15.75" customHeight="1">
      <c r="G797" s="206"/>
    </row>
    <row r="798" ht="15.75" customHeight="1">
      <c r="G798" s="206"/>
    </row>
    <row r="799" ht="15.75" customHeight="1">
      <c r="G799" s="206"/>
    </row>
    <row r="800" ht="15.75" customHeight="1">
      <c r="G800" s="206"/>
    </row>
    <row r="801" ht="15.75" customHeight="1">
      <c r="G801" s="206"/>
    </row>
    <row r="802" ht="15.75" customHeight="1">
      <c r="G802" s="206"/>
    </row>
    <row r="803" ht="15.75" customHeight="1">
      <c r="G803" s="206"/>
    </row>
    <row r="804" ht="15.75" customHeight="1">
      <c r="G804" s="206"/>
    </row>
    <row r="805" ht="15.75" customHeight="1">
      <c r="G805" s="206"/>
    </row>
    <row r="806" ht="15.75" customHeight="1">
      <c r="G806" s="206"/>
    </row>
    <row r="807" ht="15.75" customHeight="1">
      <c r="G807" s="206"/>
    </row>
    <row r="808" ht="15.75" customHeight="1">
      <c r="G808" s="206"/>
    </row>
    <row r="809" ht="15.75" customHeight="1">
      <c r="G809" s="206"/>
    </row>
    <row r="810" ht="15.75" customHeight="1">
      <c r="G810" s="206"/>
    </row>
    <row r="811" ht="15.75" customHeight="1">
      <c r="G811" s="206"/>
    </row>
    <row r="812" ht="15.75" customHeight="1">
      <c r="G812" s="206"/>
    </row>
    <row r="813" ht="15.75" customHeight="1">
      <c r="G813" s="206"/>
    </row>
    <row r="814" ht="15.75" customHeight="1">
      <c r="G814" s="206"/>
    </row>
    <row r="815" ht="15.75" customHeight="1">
      <c r="G815" s="206"/>
    </row>
    <row r="816" ht="15.75" customHeight="1">
      <c r="G816" s="206"/>
    </row>
    <row r="817" ht="15.75" customHeight="1">
      <c r="G817" s="206"/>
    </row>
    <row r="818" ht="15.75" customHeight="1">
      <c r="G818" s="206"/>
    </row>
    <row r="819" ht="15.75" customHeight="1">
      <c r="G819" s="206"/>
    </row>
    <row r="820" ht="15.75" customHeight="1">
      <c r="G820" s="206"/>
    </row>
    <row r="821" ht="15.75" customHeight="1">
      <c r="G821" s="206"/>
    </row>
    <row r="822" ht="15.75" customHeight="1">
      <c r="G822" s="206"/>
    </row>
    <row r="823" ht="15.75" customHeight="1">
      <c r="G823" s="206"/>
    </row>
    <row r="824" ht="15.75" customHeight="1">
      <c r="G824" s="206"/>
    </row>
    <row r="825" ht="15.75" customHeight="1">
      <c r="G825" s="206"/>
    </row>
    <row r="826" ht="15.75" customHeight="1">
      <c r="G826" s="206"/>
    </row>
    <row r="827" ht="15.75" customHeight="1">
      <c r="G827" s="206"/>
    </row>
    <row r="828" ht="15.75" customHeight="1">
      <c r="G828" s="206"/>
    </row>
    <row r="829" ht="15.75" customHeight="1">
      <c r="G829" s="206"/>
    </row>
    <row r="830" ht="15.75" customHeight="1">
      <c r="G830" s="206"/>
    </row>
    <row r="831" ht="15.75" customHeight="1">
      <c r="G831" s="206"/>
    </row>
    <row r="832" ht="15.75" customHeight="1">
      <c r="G832" s="206"/>
    </row>
    <row r="833" ht="15.75" customHeight="1">
      <c r="G833" s="206"/>
    </row>
    <row r="834" ht="15.75" customHeight="1">
      <c r="G834" s="206"/>
    </row>
    <row r="835" ht="15.75" customHeight="1">
      <c r="G835" s="206"/>
    </row>
    <row r="836" ht="15.75" customHeight="1">
      <c r="G836" s="206"/>
    </row>
    <row r="837" ht="15.75" customHeight="1">
      <c r="G837" s="206"/>
    </row>
    <row r="838" ht="15.75" customHeight="1">
      <c r="G838" s="206"/>
    </row>
    <row r="839" ht="15.75" customHeight="1">
      <c r="G839" s="206"/>
    </row>
    <row r="840" ht="15.75" customHeight="1">
      <c r="G840" s="206"/>
    </row>
    <row r="841" ht="15.75" customHeight="1">
      <c r="G841" s="206"/>
    </row>
    <row r="842" ht="15.75" customHeight="1">
      <c r="G842" s="206"/>
    </row>
    <row r="843" ht="15.75" customHeight="1">
      <c r="G843" s="206"/>
    </row>
    <row r="844" ht="15.75" customHeight="1">
      <c r="G844" s="206"/>
    </row>
    <row r="845" ht="15.75" customHeight="1">
      <c r="G845" s="206"/>
    </row>
    <row r="846" ht="15.75" customHeight="1">
      <c r="G846" s="206"/>
    </row>
    <row r="847" ht="15.75" customHeight="1">
      <c r="G847" s="206"/>
    </row>
    <row r="848" ht="15.75" customHeight="1">
      <c r="G848" s="206"/>
    </row>
    <row r="849" ht="15.75" customHeight="1">
      <c r="G849" s="206"/>
    </row>
    <row r="850" ht="15.75" customHeight="1">
      <c r="G850" s="206"/>
    </row>
    <row r="851" ht="15.75" customHeight="1">
      <c r="G851" s="206"/>
    </row>
    <row r="852" ht="15.75" customHeight="1">
      <c r="G852" s="206"/>
    </row>
    <row r="853" ht="15.75" customHeight="1">
      <c r="G853" s="206"/>
    </row>
    <row r="854" ht="15.75" customHeight="1">
      <c r="G854" s="206"/>
    </row>
    <row r="855" ht="15.75" customHeight="1">
      <c r="G855" s="206"/>
    </row>
    <row r="856" ht="15.75" customHeight="1">
      <c r="G856" s="206"/>
    </row>
    <row r="857" ht="15.75" customHeight="1">
      <c r="G857" s="206"/>
    </row>
    <row r="858" ht="15.75" customHeight="1">
      <c r="G858" s="206"/>
    </row>
    <row r="859" ht="15.75" customHeight="1">
      <c r="G859" s="206"/>
    </row>
    <row r="860" ht="15.75" customHeight="1">
      <c r="G860" s="206"/>
    </row>
    <row r="861" ht="15.75" customHeight="1">
      <c r="G861" s="206"/>
    </row>
    <row r="862" ht="15.75" customHeight="1">
      <c r="G862" s="206"/>
    </row>
    <row r="863" ht="15.75" customHeight="1">
      <c r="G863" s="206"/>
    </row>
    <row r="864" ht="15.75" customHeight="1">
      <c r="G864" s="206"/>
    </row>
    <row r="865" ht="15.75" customHeight="1">
      <c r="G865" s="206"/>
    </row>
    <row r="866" ht="15.75" customHeight="1">
      <c r="G866" s="206"/>
    </row>
    <row r="867" ht="15.75" customHeight="1">
      <c r="G867" s="206"/>
    </row>
    <row r="868" ht="15.75" customHeight="1">
      <c r="G868" s="206"/>
    </row>
    <row r="869" ht="15.75" customHeight="1">
      <c r="G869" s="206"/>
    </row>
    <row r="870" ht="15.75" customHeight="1">
      <c r="G870" s="206"/>
    </row>
    <row r="871" ht="15.75" customHeight="1">
      <c r="G871" s="206"/>
    </row>
    <row r="872" ht="15.75" customHeight="1">
      <c r="G872" s="206"/>
    </row>
    <row r="873" ht="15.75" customHeight="1">
      <c r="G873" s="206"/>
    </row>
    <row r="874" ht="15.75" customHeight="1">
      <c r="G874" s="206"/>
    </row>
    <row r="875" ht="15.75" customHeight="1">
      <c r="G875" s="206"/>
    </row>
    <row r="876" ht="15.75" customHeight="1">
      <c r="G876" s="206"/>
    </row>
    <row r="877" ht="15.75" customHeight="1">
      <c r="G877" s="206"/>
    </row>
    <row r="878" ht="15.75" customHeight="1">
      <c r="G878" s="206"/>
    </row>
    <row r="879" ht="15.75" customHeight="1">
      <c r="G879" s="206"/>
    </row>
    <row r="880" ht="15.75" customHeight="1">
      <c r="G880" s="206"/>
    </row>
    <row r="881" ht="15.75" customHeight="1">
      <c r="G881" s="206"/>
    </row>
    <row r="882" ht="15.75" customHeight="1">
      <c r="G882" s="206"/>
    </row>
    <row r="883" ht="15.75" customHeight="1">
      <c r="G883" s="206"/>
    </row>
    <row r="884" ht="15.75" customHeight="1">
      <c r="G884" s="206"/>
    </row>
    <row r="885" ht="15.75" customHeight="1">
      <c r="G885" s="206"/>
    </row>
    <row r="886" ht="15.75" customHeight="1">
      <c r="G886" s="206"/>
    </row>
    <row r="887" ht="15.75" customHeight="1">
      <c r="G887" s="206"/>
    </row>
    <row r="888" ht="15.75" customHeight="1">
      <c r="G888" s="206"/>
    </row>
    <row r="889" ht="15.75" customHeight="1">
      <c r="G889" s="206"/>
    </row>
    <row r="890" ht="15.75" customHeight="1">
      <c r="G890" s="206"/>
    </row>
    <row r="891" ht="15.75" customHeight="1">
      <c r="G891" s="206"/>
    </row>
    <row r="892" ht="15.75" customHeight="1">
      <c r="G892" s="206"/>
    </row>
    <row r="893" ht="15.75" customHeight="1">
      <c r="G893" s="206"/>
    </row>
    <row r="894" ht="15.75" customHeight="1">
      <c r="G894" s="206"/>
    </row>
    <row r="895" ht="15.75" customHeight="1">
      <c r="G895" s="206"/>
    </row>
    <row r="896" ht="15.75" customHeight="1">
      <c r="G896" s="206"/>
    </row>
    <row r="897" ht="15.75" customHeight="1">
      <c r="G897" s="206"/>
    </row>
    <row r="898" ht="15.75" customHeight="1">
      <c r="G898" s="206"/>
    </row>
    <row r="899" ht="15.75" customHeight="1">
      <c r="G899" s="206"/>
    </row>
    <row r="900" ht="15.75" customHeight="1">
      <c r="G900" s="206"/>
    </row>
    <row r="901" ht="15.75" customHeight="1">
      <c r="G901" s="206"/>
    </row>
    <row r="902" ht="15.75" customHeight="1">
      <c r="G902" s="206"/>
    </row>
    <row r="903" ht="15.75" customHeight="1">
      <c r="G903" s="206"/>
    </row>
    <row r="904" ht="15.75" customHeight="1">
      <c r="G904" s="206"/>
    </row>
    <row r="905" ht="15.75" customHeight="1">
      <c r="G905" s="206"/>
    </row>
    <row r="906" ht="15.75" customHeight="1">
      <c r="G906" s="206"/>
    </row>
    <row r="907" ht="15.75" customHeight="1">
      <c r="G907" s="206"/>
    </row>
    <row r="908" ht="15.75" customHeight="1">
      <c r="G908" s="206"/>
    </row>
    <row r="909" ht="15.75" customHeight="1">
      <c r="G909" s="206"/>
    </row>
    <row r="910" ht="15.75" customHeight="1">
      <c r="G910" s="206"/>
    </row>
    <row r="911" ht="15.75" customHeight="1">
      <c r="G911" s="206"/>
    </row>
    <row r="912" ht="15.75" customHeight="1">
      <c r="G912" s="206"/>
    </row>
    <row r="913" ht="15.75" customHeight="1">
      <c r="G913" s="206"/>
    </row>
    <row r="914" ht="15.75" customHeight="1">
      <c r="G914" s="206"/>
    </row>
    <row r="915" ht="15.75" customHeight="1">
      <c r="G915" s="206"/>
    </row>
    <row r="916" ht="15.75" customHeight="1">
      <c r="G916" s="206"/>
    </row>
    <row r="917" ht="15.75" customHeight="1">
      <c r="G917" s="206"/>
    </row>
    <row r="918" ht="15.75" customHeight="1">
      <c r="G918" s="206"/>
    </row>
    <row r="919" ht="15.75" customHeight="1">
      <c r="G919" s="206"/>
    </row>
    <row r="920" ht="15.75" customHeight="1">
      <c r="G920" s="206"/>
    </row>
    <row r="921" ht="15.75" customHeight="1">
      <c r="G921" s="206"/>
    </row>
    <row r="922" ht="15.75" customHeight="1">
      <c r="G922" s="206"/>
    </row>
    <row r="923" ht="15.75" customHeight="1">
      <c r="G923" s="206"/>
    </row>
    <row r="924" ht="15.75" customHeight="1">
      <c r="G924" s="206"/>
    </row>
    <row r="925" ht="15.75" customHeight="1">
      <c r="G925" s="206"/>
    </row>
    <row r="926" ht="15.75" customHeight="1">
      <c r="G926" s="206"/>
    </row>
    <row r="927" ht="15.75" customHeight="1">
      <c r="G927" s="206"/>
    </row>
    <row r="928" ht="15.75" customHeight="1">
      <c r="G928" s="206"/>
    </row>
    <row r="929" ht="15.75" customHeight="1">
      <c r="G929" s="206"/>
    </row>
    <row r="930" ht="15.75" customHeight="1">
      <c r="G930" s="206"/>
    </row>
    <row r="931" ht="15.75" customHeight="1">
      <c r="G931" s="206"/>
    </row>
    <row r="932" ht="15.75" customHeight="1">
      <c r="G932" s="206"/>
    </row>
    <row r="933" ht="15.75" customHeight="1">
      <c r="G933" s="206"/>
    </row>
    <row r="934" ht="15.75" customHeight="1">
      <c r="G934" s="206"/>
    </row>
    <row r="935" ht="15.75" customHeight="1">
      <c r="G935" s="206"/>
    </row>
    <row r="936" ht="15.75" customHeight="1">
      <c r="G936" s="206"/>
    </row>
    <row r="937" ht="15.75" customHeight="1">
      <c r="G937" s="206"/>
    </row>
    <row r="938" ht="15.75" customHeight="1">
      <c r="G938" s="206"/>
    </row>
    <row r="939" ht="15.75" customHeight="1">
      <c r="G939" s="206"/>
    </row>
    <row r="940" ht="15.75" customHeight="1">
      <c r="G940" s="206"/>
    </row>
    <row r="941" ht="15.75" customHeight="1">
      <c r="G941" s="206"/>
    </row>
    <row r="942" ht="15.75" customHeight="1">
      <c r="G942" s="206"/>
    </row>
    <row r="943" ht="15.75" customHeight="1">
      <c r="G943" s="206"/>
    </row>
    <row r="944" ht="15.75" customHeight="1">
      <c r="G944" s="206"/>
    </row>
    <row r="945" ht="15.75" customHeight="1">
      <c r="G945" s="206"/>
    </row>
    <row r="946" ht="15.75" customHeight="1">
      <c r="G946" s="206"/>
    </row>
    <row r="947" ht="15.75" customHeight="1">
      <c r="G947" s="206"/>
    </row>
    <row r="948" ht="15.75" customHeight="1">
      <c r="G948" s="206"/>
    </row>
    <row r="949" ht="15.75" customHeight="1">
      <c r="G949" s="206"/>
    </row>
    <row r="950" ht="15.75" customHeight="1">
      <c r="G950" s="206"/>
    </row>
    <row r="951" ht="15.75" customHeight="1">
      <c r="G951" s="206"/>
    </row>
    <row r="952" ht="15.75" customHeight="1">
      <c r="G952" s="206"/>
    </row>
    <row r="953" ht="15.75" customHeight="1">
      <c r="G953" s="206"/>
    </row>
    <row r="954" ht="15.75" customHeight="1">
      <c r="G954" s="206"/>
    </row>
    <row r="955" ht="15.75" customHeight="1">
      <c r="G955" s="206"/>
    </row>
    <row r="956" ht="15.75" customHeight="1">
      <c r="G956" s="206"/>
    </row>
    <row r="957" ht="15.75" customHeight="1">
      <c r="G957" s="206"/>
    </row>
    <row r="958" ht="15.75" customHeight="1">
      <c r="G958" s="206"/>
    </row>
    <row r="959" ht="15.75" customHeight="1">
      <c r="G959" s="206"/>
    </row>
    <row r="960" ht="15.75" customHeight="1">
      <c r="G960" s="206"/>
    </row>
    <row r="961" ht="15.75" customHeight="1">
      <c r="G961" s="206"/>
    </row>
    <row r="962" ht="15.75" customHeight="1">
      <c r="G962" s="206"/>
    </row>
    <row r="963" ht="15.75" customHeight="1">
      <c r="G963" s="206"/>
    </row>
    <row r="964" ht="15.75" customHeight="1">
      <c r="G964" s="206"/>
    </row>
    <row r="965" ht="15.75" customHeight="1">
      <c r="G965" s="206"/>
    </row>
    <row r="966" ht="15.75" customHeight="1">
      <c r="G966" s="206"/>
    </row>
    <row r="967" ht="15.75" customHeight="1">
      <c r="G967" s="206"/>
    </row>
    <row r="968" ht="15.75" customHeight="1">
      <c r="G968" s="206"/>
    </row>
    <row r="969" ht="15.75" customHeight="1">
      <c r="G969" s="206"/>
    </row>
    <row r="970" ht="15.75" customHeight="1">
      <c r="G970" s="206"/>
    </row>
    <row r="971" ht="15.75" customHeight="1">
      <c r="G971" s="206"/>
    </row>
    <row r="972" ht="15.75" customHeight="1">
      <c r="G972" s="206"/>
    </row>
    <row r="973" ht="15.75" customHeight="1">
      <c r="G973" s="206"/>
    </row>
    <row r="974" ht="15.75" customHeight="1">
      <c r="G974" s="206"/>
    </row>
    <row r="975" ht="15.75" customHeight="1">
      <c r="G975" s="206"/>
    </row>
    <row r="976" ht="15.75" customHeight="1">
      <c r="G976" s="206"/>
    </row>
    <row r="977" ht="15.75" customHeight="1">
      <c r="G977" s="206"/>
    </row>
    <row r="978" ht="15.75" customHeight="1">
      <c r="G978" s="206"/>
    </row>
    <row r="979" ht="15.75" customHeight="1">
      <c r="G979" s="206"/>
    </row>
    <row r="980" ht="15.75" customHeight="1">
      <c r="G980" s="206"/>
    </row>
    <row r="981" ht="15.75" customHeight="1">
      <c r="G981" s="206"/>
    </row>
    <row r="982" ht="15.75" customHeight="1">
      <c r="G982" s="206"/>
    </row>
    <row r="983" ht="15.75" customHeight="1">
      <c r="G983" s="206"/>
    </row>
    <row r="984" ht="15.75" customHeight="1">
      <c r="G984" s="206"/>
    </row>
    <row r="985" ht="15.75" customHeight="1">
      <c r="G985" s="206"/>
    </row>
    <row r="986" ht="15.75" customHeight="1">
      <c r="G986" s="206"/>
    </row>
    <row r="987" ht="15.75" customHeight="1">
      <c r="G987" s="206"/>
    </row>
    <row r="988" ht="15.75" customHeight="1">
      <c r="G988" s="206"/>
    </row>
    <row r="989" ht="15.75" customHeight="1">
      <c r="G989" s="206"/>
    </row>
    <row r="990" ht="15.75" customHeight="1">
      <c r="G990" s="206"/>
    </row>
    <row r="991" ht="15.75" customHeight="1">
      <c r="G991" s="206"/>
    </row>
    <row r="992" ht="15.75" customHeight="1">
      <c r="G992" s="206"/>
    </row>
    <row r="993" ht="15.75" customHeight="1">
      <c r="G993" s="206"/>
    </row>
  </sheetData>
  <dataValidations>
    <dataValidation type="custom" allowBlank="1" showDropDown="1" sqref="C2:H37 K2:K3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207" t="s">
        <v>523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1840155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09">
        <f>VLOOKUP($A$1,'Prefecture Summary 2015-2023'!$A$1:$G$18,(A6+2),FALSE)</f>
        <v>1469598</v>
      </c>
      <c r="C6" s="73">
        <f t="shared" ref="C6:C10" si="3">B6/$B$11</f>
        <v>0.7986272895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09">
        <f>VLOOKUP($A$1,'Prefecture Summary 2015-2023'!$A$1:$G$18,(A7+2),FALSE)</f>
        <v>141197</v>
      </c>
      <c r="C7" s="73">
        <f t="shared" si="3"/>
        <v>0.07673103624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09">
        <f>VLOOKUP($A$1,'Prefecture Summary 2015-2023'!$A$1:$G$18,(A8+2),FALSE)</f>
        <v>128451</v>
      </c>
      <c r="C8" s="73">
        <f t="shared" si="3"/>
        <v>0.06980444582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09">
        <f>VLOOKUP($A$1,'Prefecture Summary 2015-2023'!$A$1:$G$18,(A9+2),FALSE)</f>
        <v>76129</v>
      </c>
      <c r="C9" s="73">
        <f t="shared" si="3"/>
        <v>0.04137097147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09">
        <f>VLOOKUP($A$1,'Prefecture Summary 2015-2023'!$A$1:$G$18,(A10+2),FALSE)</f>
        <v>24780</v>
      </c>
      <c r="C10" s="73">
        <f t="shared" si="3"/>
        <v>0.01346625692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210">
        <f t="shared" ref="B11:D11" si="5">SUM(B6:B10)</f>
        <v>1840155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211" t="s">
        <v>525</v>
      </c>
      <c r="B12" s="164" t="str">
        <f t="shared" ref="B12:B13" si="6">IFERROR("$" &amp; SUBSTITUTE(ADDRESS(1, MATCH(A12, INDIRECT("'" &amp; $B$17 &amp; "'!1:1"), 0), 4), "1", ""), "Not Found")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211" t="s">
        <v>469</v>
      </c>
      <c r="B13" s="83" t="str">
        <f t="shared" si="6"/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7"/>
        <v>0</v>
      </c>
      <c r="E20" s="103">
        <f t="shared" si="7"/>
        <v>0</v>
      </c>
      <c r="F20" s="103">
        <f t="shared" si="7"/>
        <v>0</v>
      </c>
      <c r="G20" s="103">
        <f t="shared" si="7"/>
        <v>0</v>
      </c>
      <c r="H20" s="103">
        <f t="shared" ref="H20:H26" si="9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10">($B$6^2*I20)^0.5</f>
        <v>0</v>
      </c>
      <c r="T20" s="106">
        <f t="shared" ref="T20:T26" si="11">($B$7^2*J20)^0.5</f>
        <v>0</v>
      </c>
      <c r="U20" s="106">
        <f t="shared" ref="U20:U26" si="12">($B$8^2*K20)^0.5</f>
        <v>0</v>
      </c>
      <c r="V20" s="106">
        <f t="shared" ref="V20:V26" si="13">($B$9^2*L20)^0.5</f>
        <v>0</v>
      </c>
      <c r="W20" s="106">
        <f t="shared" ref="W20:W26" si="14">($B$10^2*M20)^0.5</f>
        <v>0</v>
      </c>
      <c r="X20" s="106">
        <f t="shared" ref="X20:X26" si="15">N20*$B$6</f>
        <v>0</v>
      </c>
      <c r="Y20" s="106">
        <f t="shared" ref="Y20:Y26" si="16">O20*$B$7</f>
        <v>0</v>
      </c>
      <c r="Z20" s="106">
        <f t="shared" ref="Z20:Z26" si="17">P20*$B$8</f>
        <v>0</v>
      </c>
      <c r="AA20" s="106">
        <f t="shared" ref="AA20:AA26" si="18">Q20*$B$9</f>
        <v>0</v>
      </c>
      <c r="AB20" s="106">
        <f t="shared" ref="AB20:AB26" si="19">R20*$B$10</f>
        <v>0</v>
      </c>
      <c r="AC20" s="107">
        <f t="shared" ref="AC20:AC26" si="20">N20*$C$6</f>
        <v>0</v>
      </c>
      <c r="AD20" s="107">
        <f t="shared" ref="AD20:AD26" si="21">O20*$C$7</f>
        <v>0</v>
      </c>
      <c r="AE20" s="107">
        <f t="shared" ref="AE20:AE26" si="22">P20*$C$8</f>
        <v>0</v>
      </c>
      <c r="AF20" s="107">
        <f t="shared" ref="AF20:AF26" si="23">Q20*$C$9</f>
        <v>0</v>
      </c>
      <c r="AG20" s="107">
        <f t="shared" ref="AG20:AG26" si="24">R20*$C$10</f>
        <v>0</v>
      </c>
      <c r="AH20" s="106">
        <f t="shared" ref="AH20:AH26" si="25">(S20*S20+T20*T20+U20*U20+V20*V20+W20*W20)^0.5</f>
        <v>0</v>
      </c>
      <c r="AI20" s="106">
        <f t="shared" ref="AI20:AI26" si="26">AH20*$B$15</f>
        <v>0</v>
      </c>
      <c r="AJ20" s="108">
        <f t="shared" ref="AJ20:AJ26" si="27">SUM(X20:AB20)</f>
        <v>0</v>
      </c>
      <c r="AK20" s="109">
        <f t="shared" ref="AK20:AK26" si="28">IF(AI20=0,0,AI20/AJ20)</f>
        <v>0</v>
      </c>
      <c r="AL20" s="110">
        <f t="shared" ref="AL20:AL26" si="29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10"/>
        <v>0</v>
      </c>
      <c r="T21" s="106">
        <f t="shared" si="11"/>
        <v>0</v>
      </c>
      <c r="U21" s="106">
        <f t="shared" si="12"/>
        <v>0</v>
      </c>
      <c r="V21" s="106">
        <f t="shared" si="13"/>
        <v>0</v>
      </c>
      <c r="W21" s="106">
        <f t="shared" si="14"/>
        <v>0</v>
      </c>
      <c r="X21" s="106">
        <f t="shared" si="15"/>
        <v>0</v>
      </c>
      <c r="Y21" s="106">
        <f t="shared" si="16"/>
        <v>0</v>
      </c>
      <c r="Z21" s="106">
        <f t="shared" si="17"/>
        <v>0</v>
      </c>
      <c r="AA21" s="106">
        <f t="shared" si="18"/>
        <v>0</v>
      </c>
      <c r="AB21" s="106">
        <f t="shared" si="19"/>
        <v>0</v>
      </c>
      <c r="AC21" s="107">
        <f t="shared" si="20"/>
        <v>0</v>
      </c>
      <c r="AD21" s="107">
        <f t="shared" si="21"/>
        <v>0</v>
      </c>
      <c r="AE21" s="107">
        <f t="shared" si="22"/>
        <v>0</v>
      </c>
      <c r="AF21" s="107">
        <f t="shared" si="23"/>
        <v>0</v>
      </c>
      <c r="AG21" s="107">
        <f t="shared" si="24"/>
        <v>0</v>
      </c>
      <c r="AH21" s="106">
        <f t="shared" si="25"/>
        <v>0</v>
      </c>
      <c r="AI21" s="106">
        <f t="shared" si="26"/>
        <v>0</v>
      </c>
      <c r="AJ21" s="108">
        <f t="shared" si="27"/>
        <v>0</v>
      </c>
      <c r="AK21" s="109">
        <f t="shared" si="28"/>
        <v>0</v>
      </c>
      <c r="AL21" s="110">
        <f t="shared" si="29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0"/>
        <v>0</v>
      </c>
      <c r="E22" s="103">
        <f t="shared" si="30"/>
        <v>0</v>
      </c>
      <c r="F22" s="103">
        <f t="shared" si="30"/>
        <v>0</v>
      </c>
      <c r="G22" s="103">
        <f t="shared" si="30"/>
        <v>0</v>
      </c>
      <c r="H22" s="103">
        <f t="shared" si="9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10"/>
        <v>0</v>
      </c>
      <c r="T22" s="106">
        <f t="shared" si="11"/>
        <v>0</v>
      </c>
      <c r="U22" s="106">
        <f t="shared" si="12"/>
        <v>0</v>
      </c>
      <c r="V22" s="106">
        <f t="shared" si="13"/>
        <v>0</v>
      </c>
      <c r="W22" s="106">
        <f t="shared" si="14"/>
        <v>0</v>
      </c>
      <c r="X22" s="106">
        <f t="shared" si="15"/>
        <v>0</v>
      </c>
      <c r="Y22" s="106">
        <f t="shared" si="16"/>
        <v>0</v>
      </c>
      <c r="Z22" s="106">
        <f t="shared" si="17"/>
        <v>0</v>
      </c>
      <c r="AA22" s="106">
        <f t="shared" si="18"/>
        <v>0</v>
      </c>
      <c r="AB22" s="106">
        <f t="shared" si="19"/>
        <v>0</v>
      </c>
      <c r="AC22" s="107">
        <f t="shared" si="20"/>
        <v>0</v>
      </c>
      <c r="AD22" s="107">
        <f t="shared" si="21"/>
        <v>0</v>
      </c>
      <c r="AE22" s="107">
        <f t="shared" si="22"/>
        <v>0</v>
      </c>
      <c r="AF22" s="107">
        <f t="shared" si="23"/>
        <v>0</v>
      </c>
      <c r="AG22" s="107">
        <f t="shared" si="24"/>
        <v>0</v>
      </c>
      <c r="AH22" s="106">
        <f t="shared" si="25"/>
        <v>0</v>
      </c>
      <c r="AI22" s="106">
        <f t="shared" si="26"/>
        <v>0</v>
      </c>
      <c r="AJ22" s="108">
        <f t="shared" si="27"/>
        <v>0</v>
      </c>
      <c r="AK22" s="109">
        <f t="shared" si="28"/>
        <v>0</v>
      </c>
      <c r="AL22" s="110">
        <f t="shared" si="29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1"/>
        <v>0</v>
      </c>
      <c r="E23" s="103">
        <f t="shared" si="31"/>
        <v>0</v>
      </c>
      <c r="F23" s="103">
        <f t="shared" si="31"/>
        <v>0</v>
      </c>
      <c r="G23" s="103">
        <f t="shared" si="31"/>
        <v>0</v>
      </c>
      <c r="H23" s="103">
        <f t="shared" si="9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10"/>
        <v>0</v>
      </c>
      <c r="T23" s="106">
        <f t="shared" si="11"/>
        <v>0</v>
      </c>
      <c r="U23" s="106">
        <f t="shared" si="12"/>
        <v>0</v>
      </c>
      <c r="V23" s="106">
        <f t="shared" si="13"/>
        <v>0</v>
      </c>
      <c r="W23" s="106">
        <f t="shared" si="14"/>
        <v>0</v>
      </c>
      <c r="X23" s="106">
        <f t="shared" si="15"/>
        <v>0</v>
      </c>
      <c r="Y23" s="106">
        <f t="shared" si="16"/>
        <v>0</v>
      </c>
      <c r="Z23" s="106">
        <f t="shared" si="17"/>
        <v>0</v>
      </c>
      <c r="AA23" s="106">
        <f t="shared" si="18"/>
        <v>0</v>
      </c>
      <c r="AB23" s="106">
        <f t="shared" si="19"/>
        <v>0</v>
      </c>
      <c r="AC23" s="107">
        <f t="shared" si="20"/>
        <v>0</v>
      </c>
      <c r="AD23" s="107">
        <f t="shared" si="21"/>
        <v>0</v>
      </c>
      <c r="AE23" s="107">
        <f t="shared" si="22"/>
        <v>0</v>
      </c>
      <c r="AF23" s="107">
        <f t="shared" si="23"/>
        <v>0</v>
      </c>
      <c r="AG23" s="107">
        <f t="shared" si="24"/>
        <v>0</v>
      </c>
      <c r="AH23" s="106">
        <f t="shared" si="25"/>
        <v>0</v>
      </c>
      <c r="AI23" s="106">
        <f t="shared" si="26"/>
        <v>0</v>
      </c>
      <c r="AJ23" s="108">
        <f t="shared" si="27"/>
        <v>0</v>
      </c>
      <c r="AK23" s="109">
        <f t="shared" si="28"/>
        <v>0</v>
      </c>
      <c r="AL23" s="110">
        <f t="shared" si="29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2"/>
        <v>0</v>
      </c>
      <c r="E24" s="103">
        <f t="shared" si="32"/>
        <v>0</v>
      </c>
      <c r="F24" s="103">
        <f t="shared" si="32"/>
        <v>0</v>
      </c>
      <c r="G24" s="103">
        <f t="shared" si="32"/>
        <v>0</v>
      </c>
      <c r="H24" s="103">
        <f t="shared" si="9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10"/>
        <v>0</v>
      </c>
      <c r="T24" s="106">
        <f t="shared" si="11"/>
        <v>0</v>
      </c>
      <c r="U24" s="106">
        <f t="shared" si="12"/>
        <v>0</v>
      </c>
      <c r="V24" s="106">
        <f t="shared" si="13"/>
        <v>0</v>
      </c>
      <c r="W24" s="106">
        <f t="shared" si="14"/>
        <v>0</v>
      </c>
      <c r="X24" s="106">
        <f t="shared" si="15"/>
        <v>0</v>
      </c>
      <c r="Y24" s="106">
        <f t="shared" si="16"/>
        <v>0</v>
      </c>
      <c r="Z24" s="106">
        <f t="shared" si="17"/>
        <v>0</v>
      </c>
      <c r="AA24" s="106">
        <f t="shared" si="18"/>
        <v>0</v>
      </c>
      <c r="AB24" s="106">
        <f t="shared" si="19"/>
        <v>0</v>
      </c>
      <c r="AC24" s="107">
        <f t="shared" si="20"/>
        <v>0</v>
      </c>
      <c r="AD24" s="107">
        <f t="shared" si="21"/>
        <v>0</v>
      </c>
      <c r="AE24" s="107">
        <f t="shared" si="22"/>
        <v>0</v>
      </c>
      <c r="AF24" s="107">
        <f t="shared" si="23"/>
        <v>0</v>
      </c>
      <c r="AG24" s="107">
        <f t="shared" si="24"/>
        <v>0</v>
      </c>
      <c r="AH24" s="106">
        <f t="shared" si="25"/>
        <v>0</v>
      </c>
      <c r="AI24" s="106">
        <f t="shared" si="26"/>
        <v>0</v>
      </c>
      <c r="AJ24" s="108">
        <f t="shared" si="27"/>
        <v>0</v>
      </c>
      <c r="AK24" s="109">
        <f t="shared" si="28"/>
        <v>0</v>
      </c>
      <c r="AL24" s="110">
        <f t="shared" si="29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3"/>
        <v>0</v>
      </c>
      <c r="E25" s="103">
        <f t="shared" si="33"/>
        <v>0</v>
      </c>
      <c r="F25" s="103">
        <f t="shared" si="33"/>
        <v>0</v>
      </c>
      <c r="G25" s="103">
        <f t="shared" si="33"/>
        <v>0</v>
      </c>
      <c r="H25" s="103">
        <f t="shared" si="9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10"/>
        <v>0</v>
      </c>
      <c r="T25" s="106">
        <f t="shared" si="11"/>
        <v>0</v>
      </c>
      <c r="U25" s="106">
        <f t="shared" si="12"/>
        <v>0</v>
      </c>
      <c r="V25" s="106">
        <f t="shared" si="13"/>
        <v>0</v>
      </c>
      <c r="W25" s="106">
        <f t="shared" si="14"/>
        <v>0</v>
      </c>
      <c r="X25" s="106">
        <f t="shared" si="15"/>
        <v>0</v>
      </c>
      <c r="Y25" s="106">
        <f t="shared" si="16"/>
        <v>0</v>
      </c>
      <c r="Z25" s="106">
        <f t="shared" si="17"/>
        <v>0</v>
      </c>
      <c r="AA25" s="106">
        <f t="shared" si="18"/>
        <v>0</v>
      </c>
      <c r="AB25" s="106">
        <f t="shared" si="19"/>
        <v>0</v>
      </c>
      <c r="AC25" s="107">
        <f t="shared" si="20"/>
        <v>0</v>
      </c>
      <c r="AD25" s="107">
        <f t="shared" si="21"/>
        <v>0</v>
      </c>
      <c r="AE25" s="107">
        <f t="shared" si="22"/>
        <v>0</v>
      </c>
      <c r="AF25" s="107">
        <f t="shared" si="23"/>
        <v>0</v>
      </c>
      <c r="AG25" s="107">
        <f t="shared" si="24"/>
        <v>0</v>
      </c>
      <c r="AH25" s="106">
        <f t="shared" si="25"/>
        <v>0</v>
      </c>
      <c r="AI25" s="106">
        <f t="shared" si="26"/>
        <v>0</v>
      </c>
      <c r="AJ25" s="108">
        <f t="shared" si="27"/>
        <v>0</v>
      </c>
      <c r="AK25" s="109">
        <f t="shared" si="28"/>
        <v>0</v>
      </c>
      <c r="AL25" s="110">
        <f t="shared" si="29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4"/>
        <v>0</v>
      </c>
      <c r="E26" s="103">
        <f t="shared" si="34"/>
        <v>0</v>
      </c>
      <c r="F26" s="103">
        <f t="shared" si="34"/>
        <v>0</v>
      </c>
      <c r="G26" s="103">
        <f t="shared" si="34"/>
        <v>0</v>
      </c>
      <c r="H26" s="103">
        <f t="shared" si="9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10"/>
        <v>0</v>
      </c>
      <c r="T26" s="106">
        <f t="shared" si="11"/>
        <v>0</v>
      </c>
      <c r="U26" s="106">
        <f t="shared" si="12"/>
        <v>0</v>
      </c>
      <c r="V26" s="106">
        <f t="shared" si="13"/>
        <v>0</v>
      </c>
      <c r="W26" s="106">
        <f t="shared" si="14"/>
        <v>0</v>
      </c>
      <c r="X26" s="106">
        <f t="shared" si="15"/>
        <v>0</v>
      </c>
      <c r="Y26" s="106">
        <f t="shared" si="16"/>
        <v>0</v>
      </c>
      <c r="Z26" s="106">
        <f t="shared" si="17"/>
        <v>0</v>
      </c>
      <c r="AA26" s="106">
        <f t="shared" si="18"/>
        <v>0</v>
      </c>
      <c r="AB26" s="106">
        <f t="shared" si="19"/>
        <v>0</v>
      </c>
      <c r="AC26" s="107">
        <f t="shared" si="20"/>
        <v>0</v>
      </c>
      <c r="AD26" s="107">
        <f t="shared" si="21"/>
        <v>0</v>
      </c>
      <c r="AE26" s="107">
        <f t="shared" si="22"/>
        <v>0</v>
      </c>
      <c r="AF26" s="107">
        <f t="shared" si="23"/>
        <v>0</v>
      </c>
      <c r="AG26" s="107">
        <f t="shared" si="24"/>
        <v>0</v>
      </c>
      <c r="AH26" s="106">
        <f t="shared" si="25"/>
        <v>0</v>
      </c>
      <c r="AI26" s="106">
        <f t="shared" si="26"/>
        <v>0</v>
      </c>
      <c r="AJ26" s="108">
        <f t="shared" si="27"/>
        <v>0</v>
      </c>
      <c r="AK26" s="109">
        <f t="shared" si="28"/>
        <v>0</v>
      </c>
      <c r="AL26" s="110">
        <f t="shared" si="29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5"/>
        <v>0</v>
      </c>
      <c r="E28" s="116">
        <f t="shared" si="35"/>
        <v>0</v>
      </c>
      <c r="F28" s="116">
        <f t="shared" si="35"/>
        <v>0</v>
      </c>
      <c r="G28" s="116">
        <f t="shared" si="35"/>
        <v>0</v>
      </c>
      <c r="H28" s="116">
        <f t="shared" ref="H28:H34" si="37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8">($B$6^2*I28)^0.5</f>
        <v>0</v>
      </c>
      <c r="T28" s="119">
        <f t="shared" ref="T28:T34" si="39">($B$7^2*J28)^0.5</f>
        <v>0</v>
      </c>
      <c r="U28" s="119">
        <f t="shared" ref="U28:U34" si="40">($B$8^2*K28)^0.5</f>
        <v>0</v>
      </c>
      <c r="V28" s="119">
        <f t="shared" ref="V28:V34" si="41">($B$9^2*L28)^0.5</f>
        <v>0</v>
      </c>
      <c r="W28" s="119">
        <f t="shared" ref="W28:W34" si="42">($B$10^2*M28)^0.5</f>
        <v>0</v>
      </c>
      <c r="X28" s="119">
        <f t="shared" ref="X28:X34" si="43">N28*$B$6</f>
        <v>0</v>
      </c>
      <c r="Y28" s="119">
        <f t="shared" ref="Y28:Y34" si="44">O28*$B$7</f>
        <v>0</v>
      </c>
      <c r="Z28" s="119">
        <f t="shared" ref="Z28:Z34" si="45">P28*$B$8</f>
        <v>0</v>
      </c>
      <c r="AA28" s="119">
        <f t="shared" ref="AA28:AA34" si="46">Q28*$B$9</f>
        <v>0</v>
      </c>
      <c r="AB28" s="119">
        <f t="shared" ref="AB28:AB34" si="47">R28*$B$10</f>
        <v>0</v>
      </c>
      <c r="AC28" s="117">
        <f t="shared" ref="AC28:AC34" si="48">N28*$C$6</f>
        <v>0</v>
      </c>
      <c r="AD28" s="117">
        <f t="shared" ref="AD28:AD34" si="49">O28*$C$7</f>
        <v>0</v>
      </c>
      <c r="AE28" s="117">
        <f t="shared" ref="AE28:AE34" si="50">P28*$C$8</f>
        <v>0</v>
      </c>
      <c r="AF28" s="117">
        <f t="shared" ref="AF28:AF34" si="51">Q28*$C$9</f>
        <v>0</v>
      </c>
      <c r="AG28" s="117">
        <f t="shared" ref="AG28:AG34" si="52">R28*$C$10</f>
        <v>0</v>
      </c>
      <c r="AH28" s="119">
        <f t="shared" ref="AH28:AH34" si="53">(S28*S28+T28*T28+U28*U28+V28*V28+W28*W28)^0.5</f>
        <v>0</v>
      </c>
      <c r="AI28" s="119">
        <f t="shared" ref="AI28:AI34" si="54">AH28*$B$15</f>
        <v>0</v>
      </c>
      <c r="AJ28" s="120">
        <f t="shared" ref="AJ28:AJ34" si="55">SUM(X28:AB28)</f>
        <v>0</v>
      </c>
      <c r="AK28" s="121">
        <f t="shared" ref="AK28:AK34" si="56">IF(AI28=0,0,AI28/AJ28)</f>
        <v>0</v>
      </c>
      <c r="AL28" s="122">
        <f t="shared" ref="AL28:AL34" si="57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6"/>
        <v>0</v>
      </c>
      <c r="E29" s="116">
        <f t="shared" si="36"/>
        <v>0</v>
      </c>
      <c r="F29" s="116">
        <f t="shared" si="36"/>
        <v>0</v>
      </c>
      <c r="G29" s="116">
        <f t="shared" si="36"/>
        <v>0</v>
      </c>
      <c r="H29" s="116">
        <f t="shared" si="37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8"/>
        <v>0</v>
      </c>
      <c r="T29" s="119">
        <f t="shared" si="39"/>
        <v>0</v>
      </c>
      <c r="U29" s="119">
        <f t="shared" si="40"/>
        <v>0</v>
      </c>
      <c r="V29" s="119">
        <f t="shared" si="41"/>
        <v>0</v>
      </c>
      <c r="W29" s="119">
        <f t="shared" si="42"/>
        <v>0</v>
      </c>
      <c r="X29" s="119">
        <f t="shared" si="43"/>
        <v>0</v>
      </c>
      <c r="Y29" s="119">
        <f t="shared" si="44"/>
        <v>0</v>
      </c>
      <c r="Z29" s="119">
        <f t="shared" si="45"/>
        <v>0</v>
      </c>
      <c r="AA29" s="119">
        <f t="shared" si="46"/>
        <v>0</v>
      </c>
      <c r="AB29" s="119">
        <f t="shared" si="47"/>
        <v>0</v>
      </c>
      <c r="AC29" s="117">
        <f t="shared" si="48"/>
        <v>0</v>
      </c>
      <c r="AD29" s="117">
        <f t="shared" si="49"/>
        <v>0</v>
      </c>
      <c r="AE29" s="117">
        <f t="shared" si="50"/>
        <v>0</v>
      </c>
      <c r="AF29" s="117">
        <f t="shared" si="51"/>
        <v>0</v>
      </c>
      <c r="AG29" s="117">
        <f t="shared" si="52"/>
        <v>0</v>
      </c>
      <c r="AH29" s="119">
        <f t="shared" si="53"/>
        <v>0</v>
      </c>
      <c r="AI29" s="119">
        <f t="shared" si="54"/>
        <v>0</v>
      </c>
      <c r="AJ29" s="120">
        <f t="shared" si="55"/>
        <v>0</v>
      </c>
      <c r="AK29" s="121">
        <f t="shared" si="56"/>
        <v>0</v>
      </c>
      <c r="AL29" s="122">
        <f t="shared" si="57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8"/>
        <v>0</v>
      </c>
      <c r="E30" s="116">
        <f t="shared" si="58"/>
        <v>0</v>
      </c>
      <c r="F30" s="116">
        <f t="shared" si="58"/>
        <v>0</v>
      </c>
      <c r="G30" s="116">
        <f t="shared" si="58"/>
        <v>0</v>
      </c>
      <c r="H30" s="116">
        <f t="shared" si="37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8"/>
        <v>0</v>
      </c>
      <c r="T30" s="119">
        <f t="shared" si="39"/>
        <v>0</v>
      </c>
      <c r="U30" s="119">
        <f t="shared" si="40"/>
        <v>0</v>
      </c>
      <c r="V30" s="119">
        <f t="shared" si="41"/>
        <v>0</v>
      </c>
      <c r="W30" s="119">
        <f t="shared" si="42"/>
        <v>0</v>
      </c>
      <c r="X30" s="119">
        <f t="shared" si="43"/>
        <v>0</v>
      </c>
      <c r="Y30" s="119">
        <f t="shared" si="44"/>
        <v>0</v>
      </c>
      <c r="Z30" s="119">
        <f t="shared" si="45"/>
        <v>0</v>
      </c>
      <c r="AA30" s="119">
        <f t="shared" si="46"/>
        <v>0</v>
      </c>
      <c r="AB30" s="119">
        <f t="shared" si="47"/>
        <v>0</v>
      </c>
      <c r="AC30" s="117">
        <f t="shared" si="48"/>
        <v>0</v>
      </c>
      <c r="AD30" s="117">
        <f t="shared" si="49"/>
        <v>0</v>
      </c>
      <c r="AE30" s="117">
        <f t="shared" si="50"/>
        <v>0</v>
      </c>
      <c r="AF30" s="117">
        <f t="shared" si="51"/>
        <v>0</v>
      </c>
      <c r="AG30" s="117">
        <f t="shared" si="52"/>
        <v>0</v>
      </c>
      <c r="AH30" s="119">
        <f t="shared" si="53"/>
        <v>0</v>
      </c>
      <c r="AI30" s="119">
        <f t="shared" si="54"/>
        <v>0</v>
      </c>
      <c r="AJ30" s="120">
        <f t="shared" si="55"/>
        <v>0</v>
      </c>
      <c r="AK30" s="121">
        <f t="shared" si="56"/>
        <v>0</v>
      </c>
      <c r="AL30" s="122">
        <f t="shared" si="57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9"/>
        <v>0</v>
      </c>
      <c r="E31" s="116">
        <f t="shared" si="59"/>
        <v>0</v>
      </c>
      <c r="F31" s="116">
        <f t="shared" si="59"/>
        <v>0</v>
      </c>
      <c r="G31" s="116">
        <f t="shared" si="59"/>
        <v>0</v>
      </c>
      <c r="H31" s="116">
        <f t="shared" si="37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8"/>
        <v>0</v>
      </c>
      <c r="T31" s="119">
        <f t="shared" si="39"/>
        <v>0</v>
      </c>
      <c r="U31" s="119">
        <f t="shared" si="40"/>
        <v>0</v>
      </c>
      <c r="V31" s="119">
        <f t="shared" si="41"/>
        <v>0</v>
      </c>
      <c r="W31" s="119">
        <f t="shared" si="42"/>
        <v>0</v>
      </c>
      <c r="X31" s="119">
        <f t="shared" si="43"/>
        <v>0</v>
      </c>
      <c r="Y31" s="119">
        <f t="shared" si="44"/>
        <v>0</v>
      </c>
      <c r="Z31" s="119">
        <f t="shared" si="45"/>
        <v>0</v>
      </c>
      <c r="AA31" s="119">
        <f t="shared" si="46"/>
        <v>0</v>
      </c>
      <c r="AB31" s="119">
        <f t="shared" si="47"/>
        <v>0</v>
      </c>
      <c r="AC31" s="117">
        <f t="shared" si="48"/>
        <v>0</v>
      </c>
      <c r="AD31" s="117">
        <f t="shared" si="49"/>
        <v>0</v>
      </c>
      <c r="AE31" s="117">
        <f t="shared" si="50"/>
        <v>0</v>
      </c>
      <c r="AF31" s="117">
        <f t="shared" si="51"/>
        <v>0</v>
      </c>
      <c r="AG31" s="117">
        <f t="shared" si="52"/>
        <v>0</v>
      </c>
      <c r="AH31" s="119">
        <f t="shared" si="53"/>
        <v>0</v>
      </c>
      <c r="AI31" s="119">
        <f t="shared" si="54"/>
        <v>0</v>
      </c>
      <c r="AJ31" s="120">
        <f t="shared" si="55"/>
        <v>0</v>
      </c>
      <c r="AK31" s="121">
        <f t="shared" si="56"/>
        <v>0</v>
      </c>
      <c r="AL31" s="122">
        <f t="shared" si="57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60"/>
        <v>0</v>
      </c>
      <c r="E32" s="116">
        <f t="shared" si="60"/>
        <v>0</v>
      </c>
      <c r="F32" s="116">
        <f t="shared" si="60"/>
        <v>0</v>
      </c>
      <c r="G32" s="116">
        <f t="shared" si="60"/>
        <v>0</v>
      </c>
      <c r="H32" s="116">
        <f t="shared" si="37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8"/>
        <v>0</v>
      </c>
      <c r="T32" s="119">
        <f t="shared" si="39"/>
        <v>0</v>
      </c>
      <c r="U32" s="119">
        <f t="shared" si="40"/>
        <v>0</v>
      </c>
      <c r="V32" s="119">
        <f t="shared" si="41"/>
        <v>0</v>
      </c>
      <c r="W32" s="119">
        <f t="shared" si="42"/>
        <v>0</v>
      </c>
      <c r="X32" s="119">
        <f t="shared" si="43"/>
        <v>0</v>
      </c>
      <c r="Y32" s="119">
        <f t="shared" si="44"/>
        <v>0</v>
      </c>
      <c r="Z32" s="119">
        <f t="shared" si="45"/>
        <v>0</v>
      </c>
      <c r="AA32" s="119">
        <f t="shared" si="46"/>
        <v>0</v>
      </c>
      <c r="AB32" s="119">
        <f t="shared" si="47"/>
        <v>0</v>
      </c>
      <c r="AC32" s="117">
        <f t="shared" si="48"/>
        <v>0</v>
      </c>
      <c r="AD32" s="117">
        <f t="shared" si="49"/>
        <v>0</v>
      </c>
      <c r="AE32" s="117">
        <f t="shared" si="50"/>
        <v>0</v>
      </c>
      <c r="AF32" s="117">
        <f t="shared" si="51"/>
        <v>0</v>
      </c>
      <c r="AG32" s="117">
        <f t="shared" si="52"/>
        <v>0</v>
      </c>
      <c r="AH32" s="119">
        <f t="shared" si="53"/>
        <v>0</v>
      </c>
      <c r="AI32" s="119">
        <f t="shared" si="54"/>
        <v>0</v>
      </c>
      <c r="AJ32" s="120">
        <f t="shared" si="55"/>
        <v>0</v>
      </c>
      <c r="AK32" s="121">
        <f t="shared" si="56"/>
        <v>0</v>
      </c>
      <c r="AL32" s="122">
        <f t="shared" si="57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1"/>
        <v>0</v>
      </c>
      <c r="E33" s="116">
        <f t="shared" si="61"/>
        <v>0</v>
      </c>
      <c r="F33" s="116">
        <f t="shared" si="61"/>
        <v>0</v>
      </c>
      <c r="G33" s="116">
        <f t="shared" si="61"/>
        <v>0</v>
      </c>
      <c r="H33" s="116">
        <f t="shared" si="37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8"/>
        <v>0</v>
      </c>
      <c r="T33" s="119">
        <f t="shared" si="39"/>
        <v>0</v>
      </c>
      <c r="U33" s="119">
        <f t="shared" si="40"/>
        <v>0</v>
      </c>
      <c r="V33" s="119">
        <f t="shared" si="41"/>
        <v>0</v>
      </c>
      <c r="W33" s="119">
        <f t="shared" si="42"/>
        <v>0</v>
      </c>
      <c r="X33" s="119">
        <f t="shared" si="43"/>
        <v>0</v>
      </c>
      <c r="Y33" s="119">
        <f t="shared" si="44"/>
        <v>0</v>
      </c>
      <c r="Z33" s="119">
        <f t="shared" si="45"/>
        <v>0</v>
      </c>
      <c r="AA33" s="119">
        <f t="shared" si="46"/>
        <v>0</v>
      </c>
      <c r="AB33" s="119">
        <f t="shared" si="47"/>
        <v>0</v>
      </c>
      <c r="AC33" s="117">
        <f t="shared" si="48"/>
        <v>0</v>
      </c>
      <c r="AD33" s="117">
        <f t="shared" si="49"/>
        <v>0</v>
      </c>
      <c r="AE33" s="117">
        <f t="shared" si="50"/>
        <v>0</v>
      </c>
      <c r="AF33" s="117">
        <f t="shared" si="51"/>
        <v>0</v>
      </c>
      <c r="AG33" s="117">
        <f t="shared" si="52"/>
        <v>0</v>
      </c>
      <c r="AH33" s="119">
        <f t="shared" si="53"/>
        <v>0</v>
      </c>
      <c r="AI33" s="119">
        <f t="shared" si="54"/>
        <v>0</v>
      </c>
      <c r="AJ33" s="120">
        <f t="shared" si="55"/>
        <v>0</v>
      </c>
      <c r="AK33" s="121">
        <f t="shared" si="56"/>
        <v>0</v>
      </c>
      <c r="AL33" s="122">
        <f t="shared" si="57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2"/>
        <v>0</v>
      </c>
      <c r="E34" s="116">
        <f t="shared" si="62"/>
        <v>0</v>
      </c>
      <c r="F34" s="116">
        <f t="shared" si="62"/>
        <v>0</v>
      </c>
      <c r="G34" s="116">
        <f t="shared" si="62"/>
        <v>0</v>
      </c>
      <c r="H34" s="116">
        <f t="shared" si="37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8"/>
        <v>0</v>
      </c>
      <c r="T34" s="119">
        <f t="shared" si="39"/>
        <v>0</v>
      </c>
      <c r="U34" s="119">
        <f t="shared" si="40"/>
        <v>0</v>
      </c>
      <c r="V34" s="119">
        <f t="shared" si="41"/>
        <v>0</v>
      </c>
      <c r="W34" s="119">
        <f t="shared" si="42"/>
        <v>0</v>
      </c>
      <c r="X34" s="119">
        <f t="shared" si="43"/>
        <v>0</v>
      </c>
      <c r="Y34" s="119">
        <f t="shared" si="44"/>
        <v>0</v>
      </c>
      <c r="Z34" s="119">
        <f t="shared" si="45"/>
        <v>0</v>
      </c>
      <c r="AA34" s="119">
        <f t="shared" si="46"/>
        <v>0</v>
      </c>
      <c r="AB34" s="119">
        <f t="shared" si="47"/>
        <v>0</v>
      </c>
      <c r="AC34" s="117">
        <f t="shared" si="48"/>
        <v>0</v>
      </c>
      <c r="AD34" s="117">
        <f t="shared" si="49"/>
        <v>0</v>
      </c>
      <c r="AE34" s="117">
        <f t="shared" si="50"/>
        <v>0</v>
      </c>
      <c r="AF34" s="117">
        <f t="shared" si="51"/>
        <v>0</v>
      </c>
      <c r="AG34" s="117">
        <f t="shared" si="52"/>
        <v>0</v>
      </c>
      <c r="AH34" s="119">
        <f t="shared" si="53"/>
        <v>0</v>
      </c>
      <c r="AI34" s="119">
        <f t="shared" si="54"/>
        <v>0</v>
      </c>
      <c r="AJ34" s="120">
        <f t="shared" si="55"/>
        <v>0</v>
      </c>
      <c r="AK34" s="121">
        <f t="shared" si="56"/>
        <v>0</v>
      </c>
      <c r="AL34" s="122">
        <f t="shared" si="57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3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3"/>
        <v>0</v>
      </c>
      <c r="E37" s="125">
        <f t="shared" si="63"/>
        <v>0</v>
      </c>
      <c r="F37" s="125">
        <f t="shared" si="63"/>
        <v>0</v>
      </c>
      <c r="G37" s="125">
        <f t="shared" si="63"/>
        <v>0</v>
      </c>
      <c r="H37" s="125">
        <f t="shared" ref="H37:H38" si="65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6">($B$6^2*I37)^0.5</f>
        <v>0</v>
      </c>
      <c r="T37" s="128">
        <f t="shared" ref="T37:T38" si="67">($B$7^2*J37)^0.5</f>
        <v>0</v>
      </c>
      <c r="U37" s="128">
        <f t="shared" ref="U37:U38" si="68">($B$8^2*K37)^0.5</f>
        <v>0</v>
      </c>
      <c r="V37" s="128">
        <f t="shared" ref="V37:V38" si="69">($B$9^2*L37)^0.5</f>
        <v>0</v>
      </c>
      <c r="W37" s="128">
        <f t="shared" ref="W37:W38" si="70">($B$10^2*M37)^0.5</f>
        <v>0</v>
      </c>
      <c r="X37" s="128">
        <f t="shared" ref="X37:X38" si="71">N37*$B$6</f>
        <v>0</v>
      </c>
      <c r="Y37" s="128">
        <f t="shared" ref="Y37:Y38" si="72">O37*$B$7</f>
        <v>0</v>
      </c>
      <c r="Z37" s="128">
        <f t="shared" ref="Z37:Z38" si="73">P37*$B$8</f>
        <v>0</v>
      </c>
      <c r="AA37" s="128">
        <f t="shared" ref="AA37:AA38" si="74">Q37*$B$9</f>
        <v>0</v>
      </c>
      <c r="AB37" s="128">
        <f t="shared" ref="AB37:AB38" si="75">R37*$B$10</f>
        <v>0</v>
      </c>
      <c r="AC37" s="126">
        <f t="shared" ref="AC37:AC38" si="76">N37*$C$6</f>
        <v>0</v>
      </c>
      <c r="AD37" s="126">
        <f t="shared" ref="AD37:AD38" si="77">O37*$C$7</f>
        <v>0</v>
      </c>
      <c r="AE37" s="126">
        <f t="shared" ref="AE37:AE38" si="78">P37*$C$8</f>
        <v>0</v>
      </c>
      <c r="AF37" s="126">
        <f t="shared" ref="AF37:AF38" si="79">Q37*$C$9</f>
        <v>0</v>
      </c>
      <c r="AG37" s="126">
        <f t="shared" ref="AG37:AG38" si="80">R37*$C$10</f>
        <v>0</v>
      </c>
      <c r="AH37" s="128">
        <f t="shared" ref="AH37:AH38" si="81">(S37*S37+T37*T37+U37*U37+V37*V37+W37*W37)^0.5</f>
        <v>0</v>
      </c>
      <c r="AI37" s="128">
        <f t="shared" ref="AI37:AI38" si="82">AH37*$B$15</f>
        <v>0</v>
      </c>
      <c r="AJ37" s="129">
        <f t="shared" ref="AJ37:AJ38" si="83">SUM(X37:AB37)</f>
        <v>0</v>
      </c>
      <c r="AK37" s="130">
        <f t="shared" ref="AK37:AK38" si="84">IF(AI37=0,0,AI37/AJ37)</f>
        <v>0</v>
      </c>
      <c r="AL37" s="131">
        <f t="shared" ref="AL37:AL38" si="85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4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4"/>
        <v>0</v>
      </c>
      <c r="E38" s="133">
        <f t="shared" si="64"/>
        <v>0</v>
      </c>
      <c r="F38" s="133">
        <f t="shared" si="64"/>
        <v>0</v>
      </c>
      <c r="G38" s="133">
        <f t="shared" si="64"/>
        <v>0</v>
      </c>
      <c r="H38" s="133">
        <f t="shared" si="65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6"/>
        <v>0</v>
      </c>
      <c r="T38" s="136">
        <f t="shared" si="67"/>
        <v>0</v>
      </c>
      <c r="U38" s="136">
        <f t="shared" si="68"/>
        <v>0</v>
      </c>
      <c r="V38" s="136">
        <f t="shared" si="69"/>
        <v>0</v>
      </c>
      <c r="W38" s="136">
        <f t="shared" si="70"/>
        <v>0</v>
      </c>
      <c r="X38" s="136">
        <f t="shared" si="71"/>
        <v>0</v>
      </c>
      <c r="Y38" s="136">
        <f t="shared" si="72"/>
        <v>0</v>
      </c>
      <c r="Z38" s="136">
        <f t="shared" si="73"/>
        <v>0</v>
      </c>
      <c r="AA38" s="136">
        <f t="shared" si="74"/>
        <v>0</v>
      </c>
      <c r="AB38" s="136">
        <f t="shared" si="75"/>
        <v>0</v>
      </c>
      <c r="AC38" s="134">
        <f t="shared" si="76"/>
        <v>0</v>
      </c>
      <c r="AD38" s="134">
        <f t="shared" si="77"/>
        <v>0</v>
      </c>
      <c r="AE38" s="134">
        <f t="shared" si="78"/>
        <v>0</v>
      </c>
      <c r="AF38" s="134">
        <f t="shared" si="79"/>
        <v>0</v>
      </c>
      <c r="AG38" s="134">
        <f t="shared" si="80"/>
        <v>0</v>
      </c>
      <c r="AH38" s="136">
        <f t="shared" si="81"/>
        <v>0</v>
      </c>
      <c r="AI38" s="136">
        <f t="shared" si="82"/>
        <v>0</v>
      </c>
      <c r="AJ38" s="137">
        <f t="shared" si="83"/>
        <v>0</v>
      </c>
      <c r="AK38" s="138">
        <f t="shared" si="84"/>
        <v>0</v>
      </c>
      <c r="AL38" s="139">
        <f t="shared" si="85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6"/>
        <v>0</v>
      </c>
      <c r="E40" s="142">
        <f t="shared" si="86"/>
        <v>0</v>
      </c>
      <c r="F40" s="142">
        <f t="shared" si="86"/>
        <v>0</v>
      </c>
      <c r="G40" s="142">
        <f t="shared" si="86"/>
        <v>0</v>
      </c>
      <c r="H40" s="142">
        <f t="shared" ref="H40:H41" si="88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9">($B$6^2*I40)^0.5</f>
        <v>0</v>
      </c>
      <c r="T40" s="142">
        <f t="shared" ref="T40:T41" si="90">($B$7^2*J40)^0.5</f>
        <v>0</v>
      </c>
      <c r="U40" s="142">
        <f t="shared" ref="U40:U41" si="91">($B$8^2*K40)^0.5</f>
        <v>0</v>
      </c>
      <c r="V40" s="142">
        <f t="shared" ref="V40:V41" si="92">($B$9^2*L40)^0.5</f>
        <v>0</v>
      </c>
      <c r="W40" s="142">
        <f t="shared" ref="W40:W41" si="93">($B$10^2*M40)^0.5</f>
        <v>0</v>
      </c>
      <c r="X40" s="142">
        <f t="shared" ref="X40:X41" si="94">N40*$B$6</f>
        <v>0</v>
      </c>
      <c r="Y40" s="142">
        <f t="shared" ref="Y40:Y41" si="95">O40*$B$7</f>
        <v>0</v>
      </c>
      <c r="Z40" s="142">
        <f t="shared" ref="Z40:Z41" si="96">P40*$B$8</f>
        <v>0</v>
      </c>
      <c r="AA40" s="142">
        <f t="shared" ref="AA40:AA41" si="97">Q40*$B$9</f>
        <v>0</v>
      </c>
      <c r="AB40" s="142">
        <f t="shared" ref="AB40:AB41" si="98">R40*$B$10</f>
        <v>0</v>
      </c>
      <c r="AC40" s="143">
        <f t="shared" ref="AC40:AC41" si="99">N40*$C$6</f>
        <v>0</v>
      </c>
      <c r="AD40" s="143">
        <f t="shared" ref="AD40:AD41" si="100">O40*$C$7</f>
        <v>0</v>
      </c>
      <c r="AE40" s="143">
        <f t="shared" ref="AE40:AE41" si="101">P40*$C$8</f>
        <v>0</v>
      </c>
      <c r="AF40" s="143">
        <f t="shared" ref="AF40:AF41" si="102">Q40*$C$9</f>
        <v>0</v>
      </c>
      <c r="AG40" s="143">
        <f t="shared" ref="AG40:AG41" si="103">R40*$C$10</f>
        <v>0</v>
      </c>
      <c r="AH40" s="142">
        <f t="shared" ref="AH40:AH41" si="104">(S40*S40+T40*T40+U40*U40+V40*V40+W40*W40)^0.5</f>
        <v>0</v>
      </c>
      <c r="AI40" s="142">
        <f t="shared" ref="AI40:AI41" si="105">AH40*$B$15</f>
        <v>0</v>
      </c>
      <c r="AJ40" s="145">
        <f t="shared" ref="AJ40:AJ41" si="106">SUM(X40:AB40)</f>
        <v>0</v>
      </c>
      <c r="AK40" s="146">
        <f t="shared" ref="AK40:AK41" si="107">IF(AI40=0,0,AI40/AJ40)</f>
        <v>0</v>
      </c>
      <c r="AL40" s="147">
        <f t="shared" ref="AL40:AL41" si="108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7"/>
        <v>0</v>
      </c>
      <c r="E41" s="149">
        <f t="shared" si="87"/>
        <v>0</v>
      </c>
      <c r="F41" s="149">
        <f t="shared" si="87"/>
        <v>0</v>
      </c>
      <c r="G41" s="149">
        <f t="shared" si="87"/>
        <v>0</v>
      </c>
      <c r="H41" s="149">
        <f t="shared" si="88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9"/>
        <v>0</v>
      </c>
      <c r="T41" s="149">
        <f t="shared" si="90"/>
        <v>0</v>
      </c>
      <c r="U41" s="149">
        <f t="shared" si="91"/>
        <v>0</v>
      </c>
      <c r="V41" s="149">
        <f t="shared" si="92"/>
        <v>0</v>
      </c>
      <c r="W41" s="149">
        <f t="shared" si="93"/>
        <v>0</v>
      </c>
      <c r="X41" s="149">
        <f t="shared" si="94"/>
        <v>0</v>
      </c>
      <c r="Y41" s="149">
        <f t="shared" si="95"/>
        <v>0</v>
      </c>
      <c r="Z41" s="149">
        <f t="shared" si="96"/>
        <v>0</v>
      </c>
      <c r="AA41" s="149">
        <f t="shared" si="97"/>
        <v>0</v>
      </c>
      <c r="AB41" s="149">
        <f t="shared" si="98"/>
        <v>0</v>
      </c>
      <c r="AC41" s="150">
        <f t="shared" si="99"/>
        <v>0</v>
      </c>
      <c r="AD41" s="150">
        <f t="shared" si="100"/>
        <v>0</v>
      </c>
      <c r="AE41" s="150">
        <f t="shared" si="101"/>
        <v>0</v>
      </c>
      <c r="AF41" s="150">
        <f t="shared" si="102"/>
        <v>0</v>
      </c>
      <c r="AG41" s="150">
        <f t="shared" si="103"/>
        <v>0</v>
      </c>
      <c r="AH41" s="149">
        <f t="shared" si="104"/>
        <v>0</v>
      </c>
      <c r="AI41" s="149">
        <f t="shared" si="105"/>
        <v>0</v>
      </c>
      <c r="AJ41" s="152">
        <f t="shared" si="106"/>
        <v>0</v>
      </c>
      <c r="AK41" s="153">
        <f t="shared" si="107"/>
        <v>0</v>
      </c>
      <c r="AL41" s="154">
        <f t="shared" si="108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  <c r="AI43" s="59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H27">
    <cfRule type="notContainsBlanks" dxfId="0" priority="1">
      <formula>LEN(TRIM(H27))&gt;0</formula>
    </cfRule>
  </conditionalFormatting>
  <conditionalFormatting sqref="H42">
    <cfRule type="expression" dxfId="2" priority="2">
      <formula>H42&lt;&gt;D11</formula>
    </cfRule>
  </conditionalFormatting>
  <conditionalFormatting sqref="AJ35">
    <cfRule type="expression" dxfId="0" priority="3">
      <formula>H35=H38</formula>
    </cfRule>
  </conditionalFormatting>
  <conditionalFormatting sqref="AJ35">
    <cfRule type="expression" dxfId="2" priority="4">
      <formula>H35&lt;&gt;H38</formula>
    </cfRule>
  </conditionalFormatting>
  <conditionalFormatting sqref="AJ27">
    <cfRule type="expression" dxfId="0" priority="5">
      <formula>H27=H37</formula>
    </cfRule>
  </conditionalFormatting>
  <conditionalFormatting sqref="AJ27">
    <cfRule type="expression" dxfId="2" priority="6">
      <formula>H27&lt;&gt;H37</formula>
    </cfRule>
  </conditionalFormatting>
  <conditionalFormatting sqref="H42">
    <cfRule type="expression" dxfId="0" priority="7">
      <formula>H42=D11</formula>
    </cfRule>
  </conditionalFormatting>
  <conditionalFormatting sqref="H42">
    <cfRule type="expression" dxfId="1" priority="8">
      <formula>H42&lt;&gt;D11</formula>
    </cfRule>
  </conditionalFormatting>
  <conditionalFormatting sqref="AJ42">
    <cfRule type="expression" dxfId="0" priority="9">
      <formula>AJ42=B2</formula>
    </cfRule>
  </conditionalFormatting>
  <conditionalFormatting sqref="AJ42">
    <cfRule type="expression" dxfId="1" priority="10">
      <formula>AJ42&lt;&gt;B2</formula>
    </cfRule>
  </conditionalFormatting>
  <conditionalFormatting sqref="AJ35">
    <cfRule type="expression" dxfId="0" priority="11">
      <formula>AJ35=AJ38</formula>
    </cfRule>
  </conditionalFormatting>
  <conditionalFormatting sqref="AJ35">
    <cfRule type="expression" dxfId="2" priority="12">
      <formula>"AJ35&lt;&gt;AJ38"</formula>
    </cfRule>
  </conditionalFormatting>
  <conditionalFormatting sqref="AJ27">
    <cfRule type="expression" dxfId="0" priority="13">
      <formula>"AJ27=AJ37"</formula>
    </cfRule>
  </conditionalFormatting>
  <conditionalFormatting sqref="AJ27">
    <cfRule type="expression" dxfId="2" priority="14">
      <formula>AJ27&lt;&gt;AJ37</formula>
    </cfRule>
  </conditionalFormatting>
  <dataValidations>
    <dataValidation type="list" allowBlank="1" showErrorMessage="1" sqref="A1">
      <formula1>'Prefecture Summary 2015-2023'!$A$2:$A$18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0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207" t="s">
        <v>528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5268993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3291073</v>
      </c>
      <c r="C6" s="73">
        <f t="shared" ref="C6:C10" si="1">B6/$B$11</f>
        <v>0.6246113821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999620</v>
      </c>
      <c r="C7" s="73">
        <f t="shared" si="1"/>
        <v>0.1897174659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548963</v>
      </c>
      <c r="C8" s="73">
        <f t="shared" si="1"/>
        <v>0.1041874605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305409</v>
      </c>
      <c r="C9" s="73">
        <f t="shared" si="1"/>
        <v>0.05796344766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123928</v>
      </c>
      <c r="C10" s="73">
        <f t="shared" si="1"/>
        <v>0.02352024381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5268993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82" t="s">
        <v>247</v>
      </c>
      <c r="B12" s="164" t="str">
        <f t="shared" ref="B12:B13" si="4">IFERROR("$" &amp; SUBSTITUTE(ADDRESS(1, MATCH(A12, INDIRECT("'" &amp; $B$17 &amp; "'!1:1"), 0), 4), "1", ""), "Not Found")
</f>
        <v>$AB</v>
      </c>
      <c r="C12" s="29"/>
      <c r="D12" s="29"/>
      <c r="E12" s="227"/>
      <c r="F12" s="29"/>
      <c r="G12" s="29"/>
      <c r="H12" s="29"/>
      <c r="I12" s="85"/>
      <c r="J12" s="29"/>
      <c r="K12" s="8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112"/>
      <c r="AD12" s="112"/>
      <c r="AE12" s="112"/>
      <c r="AF12" s="112"/>
      <c r="AG12" s="112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ht="15.75" customHeight="1">
      <c r="A13" s="228" t="s">
        <v>469</v>
      </c>
      <c r="B13" s="164" t="str">
        <f t="shared" si="4"/>
        <v>$DE</v>
      </c>
      <c r="C13" s="29"/>
      <c r="D13" s="29"/>
      <c r="E13" s="29"/>
      <c r="F13" s="216"/>
      <c r="G13" s="29"/>
      <c r="H13" s="29"/>
      <c r="I13" s="29"/>
      <c r="J13" s="29"/>
      <c r="K13" s="29"/>
      <c r="L13" s="85"/>
      <c r="M13" s="8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112"/>
      <c r="AD13" s="112"/>
      <c r="AE13" s="112"/>
      <c r="AF13" s="112"/>
      <c r="AG13" s="112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ht="15.75" customHeight="1">
      <c r="A14" s="85"/>
      <c r="B14" s="85"/>
      <c r="C14" s="29"/>
      <c r="D14" s="29"/>
      <c r="E14" s="29"/>
      <c r="F14" s="29"/>
      <c r="G14" s="29"/>
      <c r="H14" s="29"/>
      <c r="I14" s="29"/>
      <c r="J14" s="29"/>
      <c r="K14" s="29"/>
      <c r="L14" s="85"/>
      <c r="M14" s="85"/>
      <c r="N14" s="85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112"/>
      <c r="AD14" s="112"/>
      <c r="AE14" s="112"/>
      <c r="AF14" s="112"/>
      <c r="AG14" s="112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ht="15.75" customHeight="1">
      <c r="A15" s="87" t="s">
        <v>493</v>
      </c>
      <c r="B15" s="88">
        <v>1.645</v>
      </c>
      <c r="C15" s="29"/>
      <c r="D15" s="29"/>
      <c r="E15" s="29"/>
      <c r="F15" s="29"/>
      <c r="G15" s="29"/>
      <c r="H15" s="29"/>
      <c r="I15" s="29"/>
      <c r="J15" s="29"/>
      <c r="K15" s="29"/>
      <c r="L15" s="85"/>
      <c r="M15" s="85"/>
      <c r="N15" s="85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112"/>
      <c r="AD15" s="112"/>
      <c r="AE15" s="112"/>
      <c r="AF15" s="112"/>
      <c r="AG15" s="112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ht="15.75" customHeight="1">
      <c r="A16" s="85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85"/>
      <c r="N16" s="85"/>
      <c r="O16" s="85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112"/>
      <c r="AD16" s="112"/>
      <c r="AE16" s="112"/>
      <c r="AF16" s="112"/>
      <c r="AG16" s="112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5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5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6"/>
        <v>0</v>
      </c>
      <c r="E20" s="239">
        <f t="shared" si="6"/>
        <v>0</v>
      </c>
      <c r="F20" s="239">
        <f t="shared" si="6"/>
        <v>0</v>
      </c>
      <c r="G20" s="239">
        <f t="shared" si="6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7"/>
        <v>0</v>
      </c>
      <c r="E22" s="252">
        <f t="shared" si="7"/>
        <v>0</v>
      </c>
      <c r="F22" s="252">
        <f t="shared" si="7"/>
        <v>0</v>
      </c>
      <c r="G22" s="252">
        <f t="shared" si="7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8"/>
        <v>0</v>
      </c>
      <c r="E24" s="259">
        <f t="shared" si="8"/>
        <v>0</v>
      </c>
      <c r="F24" s="259">
        <f t="shared" si="8"/>
        <v>0</v>
      </c>
      <c r="G24" s="259">
        <f t="shared" si="8"/>
        <v>0</v>
      </c>
      <c r="H24" s="259">
        <f t="shared" ref="H24:H25" si="10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1">($B$6^2*I24)^0.5</f>
        <v>0</v>
      </c>
      <c r="T24" s="261">
        <f t="shared" ref="T24:T25" si="12">($B$7^2*J24)^0.5</f>
        <v>0</v>
      </c>
      <c r="U24" s="261">
        <f t="shared" ref="U24:U25" si="13">($B$8^2*K24)^0.5</f>
        <v>0</v>
      </c>
      <c r="V24" s="261">
        <f t="shared" ref="V24:V25" si="14">($B$9^2*L24)^0.5</f>
        <v>0</v>
      </c>
      <c r="W24" s="261">
        <f t="shared" ref="W24:W25" si="15">($B$10^2*M24)^0.5</f>
        <v>0</v>
      </c>
      <c r="X24" s="261">
        <f t="shared" ref="X24:X25" si="16">N24*$B$6</f>
        <v>0</v>
      </c>
      <c r="Y24" s="261">
        <f t="shared" ref="Y24:Y25" si="17">O24*$B$7</f>
        <v>0</v>
      </c>
      <c r="Z24" s="261">
        <f t="shared" ref="Z24:Z25" si="18">P24*$B$8</f>
        <v>0</v>
      </c>
      <c r="AA24" s="261">
        <f t="shared" ref="AA24:AA25" si="19">Q24*$B$9</f>
        <v>0</v>
      </c>
      <c r="AB24" s="261">
        <f t="shared" ref="AB24:AB25" si="20">R24*$B$10</f>
        <v>0</v>
      </c>
      <c r="AC24" s="259">
        <f t="shared" ref="AC24:AC25" si="21">N24*$C$6</f>
        <v>0</v>
      </c>
      <c r="AD24" s="259">
        <f t="shared" ref="AD24:AD25" si="22">O24*$C$7</f>
        <v>0</v>
      </c>
      <c r="AE24" s="259">
        <f t="shared" ref="AE24:AE25" si="23">P24*$C$8</f>
        <v>0</v>
      </c>
      <c r="AF24" s="259">
        <f t="shared" ref="AF24:AF25" si="24">Q24*$C$9</f>
        <v>0</v>
      </c>
      <c r="AG24" s="259">
        <f t="shared" ref="AG24:AG25" si="25">R24*$C$10</f>
        <v>0</v>
      </c>
      <c r="AH24" s="259">
        <f t="shared" ref="AH24:AH25" si="26">(S24*S24+T24*T24+U24*U24+V24*V24+W24*W24)^0.5</f>
        <v>0</v>
      </c>
      <c r="AI24" s="259">
        <f t="shared" ref="AI24:AI25" si="27">AH24*$B$15</f>
        <v>0</v>
      </c>
      <c r="AJ24" s="262">
        <f t="shared" ref="AJ24:AJ25" si="28">SUM(X24:AB24)</f>
        <v>0</v>
      </c>
      <c r="AK24" s="179">
        <f t="shared" ref="AK24:AK25" si="29">IF(AI24=0,0,AI24/AJ24)</f>
        <v>0</v>
      </c>
      <c r="AL24" s="180">
        <f t="shared" ref="AL24:AL25" si="30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9"/>
        <v>0</v>
      </c>
      <c r="E25" s="259">
        <f t="shared" si="9"/>
        <v>0</v>
      </c>
      <c r="F25" s="259">
        <f t="shared" si="9"/>
        <v>0</v>
      </c>
      <c r="G25" s="259">
        <f t="shared" si="9"/>
        <v>0</v>
      </c>
      <c r="H25" s="259">
        <f t="shared" si="10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1"/>
        <v>0</v>
      </c>
      <c r="T25" s="261">
        <f t="shared" si="12"/>
        <v>0</v>
      </c>
      <c r="U25" s="261">
        <f t="shared" si="13"/>
        <v>0</v>
      </c>
      <c r="V25" s="261">
        <f t="shared" si="14"/>
        <v>0</v>
      </c>
      <c r="W25" s="261">
        <f t="shared" si="15"/>
        <v>0</v>
      </c>
      <c r="X25" s="261">
        <f t="shared" si="16"/>
        <v>0</v>
      </c>
      <c r="Y25" s="261">
        <f t="shared" si="17"/>
        <v>0</v>
      </c>
      <c r="Z25" s="261">
        <f t="shared" si="18"/>
        <v>0</v>
      </c>
      <c r="AA25" s="261">
        <f t="shared" si="19"/>
        <v>0</v>
      </c>
      <c r="AB25" s="261">
        <f t="shared" si="20"/>
        <v>0</v>
      </c>
      <c r="AC25" s="259">
        <f t="shared" si="21"/>
        <v>0</v>
      </c>
      <c r="AD25" s="259">
        <f t="shared" si="22"/>
        <v>0</v>
      </c>
      <c r="AE25" s="259">
        <f t="shared" si="23"/>
        <v>0</v>
      </c>
      <c r="AF25" s="259">
        <f t="shared" si="24"/>
        <v>0</v>
      </c>
      <c r="AG25" s="259">
        <f t="shared" si="25"/>
        <v>0</v>
      </c>
      <c r="AH25" s="259">
        <f t="shared" si="26"/>
        <v>0</v>
      </c>
      <c r="AI25" s="259">
        <f t="shared" si="27"/>
        <v>0</v>
      </c>
      <c r="AJ25" s="262">
        <f t="shared" si="28"/>
        <v>0</v>
      </c>
      <c r="AK25" s="179">
        <f t="shared" si="29"/>
        <v>0</v>
      </c>
      <c r="AL25" s="180">
        <f t="shared" si="30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  <c r="AI27" s="59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H26">
    <cfRule type="expression" dxfId="0" priority="1">
      <formula>H26=D11</formula>
    </cfRule>
  </conditionalFormatting>
  <conditionalFormatting sqref="H26">
    <cfRule type="expression" dxfId="2" priority="2">
      <formula>H26&lt;&gt;D11</formula>
    </cfRule>
  </conditionalFormatting>
  <conditionalFormatting sqref="AJ26">
    <cfRule type="expression" dxfId="0" priority="3">
      <formula>AJ26=B2</formula>
    </cfRule>
  </conditionalFormatting>
  <conditionalFormatting sqref="AJ26">
    <cfRule type="expression" dxfId="2" priority="4">
      <formula>AJ26&lt;&gt;B2</formula>
    </cfRule>
  </conditionalFormatting>
  <dataValidations>
    <dataValidation type="list" allowBlank="1" showErrorMessage="1" sqref="A1">
      <formula1>'Prefecture Summary 2015-2023'!$A$2:$A$18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75"/>
    <col customWidth="1" min="2" max="6" width="12.63"/>
    <col customWidth="1" min="13" max="13" width="16.13"/>
  </cols>
  <sheetData>
    <row r="1" ht="15.75" customHeight="1">
      <c r="A1" s="87" t="s">
        <v>469</v>
      </c>
      <c r="B1" s="87" t="s">
        <v>529</v>
      </c>
      <c r="C1" s="87" t="s">
        <v>530</v>
      </c>
      <c r="D1" s="87" t="s">
        <v>531</v>
      </c>
      <c r="E1" s="87" t="s">
        <v>532</v>
      </c>
      <c r="F1" s="87" t="s">
        <v>533</v>
      </c>
      <c r="G1" s="87" t="s">
        <v>534</v>
      </c>
      <c r="H1" s="87" t="s">
        <v>535</v>
      </c>
      <c r="I1" s="87" t="s">
        <v>536</v>
      </c>
      <c r="J1" s="87" t="s">
        <v>537</v>
      </c>
      <c r="K1" s="87" t="s">
        <v>538</v>
      </c>
      <c r="L1" s="87" t="s">
        <v>539</v>
      </c>
      <c r="M1" s="87" t="s">
        <v>540</v>
      </c>
      <c r="N1" s="87" t="s">
        <v>510</v>
      </c>
      <c r="O1" s="87" t="s">
        <v>513</v>
      </c>
      <c r="P1" s="87" t="s">
        <v>541</v>
      </c>
      <c r="Q1" s="87" t="s">
        <v>510</v>
      </c>
      <c r="R1" s="87" t="s">
        <v>513</v>
      </c>
      <c r="S1" s="87" t="s">
        <v>542</v>
      </c>
      <c r="T1" s="87" t="s">
        <v>510</v>
      </c>
      <c r="U1" s="87" t="s">
        <v>513</v>
      </c>
      <c r="V1" s="87" t="s">
        <v>543</v>
      </c>
      <c r="W1" s="87" t="s">
        <v>510</v>
      </c>
      <c r="X1" s="87" t="s">
        <v>513</v>
      </c>
      <c r="Y1" s="87" t="s">
        <v>544</v>
      </c>
      <c r="Z1" s="61" t="s">
        <v>545</v>
      </c>
      <c r="AA1" s="61" t="s">
        <v>546</v>
      </c>
      <c r="AB1" s="87" t="s">
        <v>547</v>
      </c>
      <c r="AC1" s="61" t="s">
        <v>548</v>
      </c>
      <c r="AD1" s="61" t="s">
        <v>549</v>
      </c>
    </row>
    <row r="2" ht="15.75" customHeight="1">
      <c r="A2" s="85" t="s">
        <v>523</v>
      </c>
      <c r="B2" s="56">
        <f t="shared" ref="B2:B18" si="1">SUM(C2:G2)</f>
        <v>1840155</v>
      </c>
      <c r="C2" s="264">
        <v>1469598.0</v>
      </c>
      <c r="D2" s="264">
        <v>141197.0</v>
      </c>
      <c r="E2" s="264">
        <v>128451.0</v>
      </c>
      <c r="F2" s="264">
        <v>76129.0</v>
      </c>
      <c r="G2" s="264">
        <v>24780.0</v>
      </c>
      <c r="H2" s="264">
        <v>1294182.0</v>
      </c>
      <c r="I2" s="264">
        <v>297858.0</v>
      </c>
      <c r="J2" s="264">
        <v>141311.0</v>
      </c>
      <c r="K2" s="264">
        <v>76464.0</v>
      </c>
      <c r="L2" s="264">
        <v>30358.0</v>
      </c>
      <c r="M2" s="56">
        <f t="shared" ref="M2:M18" si="2">INDIRECT("'" &amp; $A2 &amp; " TNT 2015-2022'!AJ37")
</f>
        <v>0</v>
      </c>
      <c r="N2" s="56">
        <f t="shared" ref="N2:N18" si="3">INDIRECT("'" &amp; $A2 &amp; " TNT 2015-2022'!AI37")
</f>
        <v>0</v>
      </c>
      <c r="O2" s="265">
        <f t="shared" ref="O2:O18" si="4">INDIRECT("'" &amp; $A2 &amp; " TNT 2015-2022'!AK37")
</f>
        <v>0</v>
      </c>
      <c r="P2" s="56">
        <f t="shared" ref="P2:P18" si="5">INDIRECT("'" &amp; $A2 &amp; " TNT 2015-2022'!AJ38")
</f>
        <v>0</v>
      </c>
      <c r="Q2" s="56">
        <f t="shared" ref="Q2:Q18" si="6">INDIRECT("'" &amp; $A2 &amp; " TNT 2015-2022'!AI38")</f>
        <v>0</v>
      </c>
      <c r="R2" s="265">
        <f t="shared" ref="R2:R18" si="7">INDIRECT("'" &amp; $A2 &amp; " TNT 2015-2022'!AK38")</f>
        <v>0</v>
      </c>
      <c r="S2" s="56" t="str">
        <f t="shared" ref="S2:S18" si="8">INDIRECT("'" &amp; $A2 &amp; " TNT 2023'!AJ20")
</f>
        <v>#N/A</v>
      </c>
      <c r="T2" s="56">
        <f t="shared" ref="T2:T18" si="9">INDIRECT("'" &amp; $A2 &amp; " TNT 2023'!AI20")
</f>
        <v>0</v>
      </c>
      <c r="U2" s="265">
        <f t="shared" ref="U2:U18" si="10">INDIRECT("'" &amp; $A2 &amp; " TNT 2023'!AK20")
</f>
        <v>0</v>
      </c>
      <c r="V2" s="56" t="str">
        <f t="shared" ref="V2:V18" si="11">INDIRECT("'" &amp; $A2 &amp; " TNT 2023'!AJ22")
</f>
        <v>#N/A</v>
      </c>
      <c r="W2" s="56">
        <f t="shared" ref="W2:W18" si="12">INDIRECT("'" &amp; $A2 &amp; " TNT 2023'!AI22")
</f>
        <v>0</v>
      </c>
      <c r="X2" s="265">
        <f t="shared" ref="X2:X18" si="13">INDIRECT("'" &amp; $A2 &amp; " TNT 2023'!AK22")
</f>
        <v>0</v>
      </c>
      <c r="Y2" s="56" t="str">
        <f t="shared" ref="Y2:Y18" si="14">M2+S2</f>
        <v>#N/A</v>
      </c>
      <c r="Z2" s="56" t="str">
        <f t="shared" ref="Z2:Z18" si="15">AA2/100*Y2</f>
        <v>#N/A</v>
      </c>
      <c r="AA2" s="265" t="str">
        <f t="shared" ref="AA2:AA18" si="16">IF(Y2=0,0, SQRT(((M2*O2)^2)+((V2*X2)^2))/(Y2))</f>
        <v>#N/A</v>
      </c>
      <c r="AB2" s="56" t="str">
        <f t="shared" ref="AB2:AB18" si="17">P2+V2</f>
        <v>#N/A</v>
      </c>
      <c r="AC2" s="56" t="str">
        <f t="shared" ref="AC2:AC18" si="18">AD2/100*AB2</f>
        <v>#N/A</v>
      </c>
      <c r="AD2" s="265" t="str">
        <f t="shared" ref="AD2:AD18" si="19">IF(AB2=0,0, SQRT(((P2*R2)^2)+((Y2*AA2)^2))/(AB2))</f>
        <v>#N/A</v>
      </c>
    </row>
    <row r="3" ht="15.75" customHeight="1">
      <c r="A3" s="85" t="s">
        <v>550</v>
      </c>
      <c r="B3" s="56">
        <f t="shared" si="1"/>
        <v>1836082</v>
      </c>
      <c r="C3" s="264">
        <v>1672930.0</v>
      </c>
      <c r="D3" s="264">
        <v>110170.0</v>
      </c>
      <c r="E3" s="264">
        <v>32656.0</v>
      </c>
      <c r="F3" s="264">
        <v>13128.0</v>
      </c>
      <c r="G3" s="264">
        <v>7198.0</v>
      </c>
      <c r="H3" s="264">
        <v>1626155.0</v>
      </c>
      <c r="I3" s="264">
        <v>152973.0</v>
      </c>
      <c r="J3" s="264">
        <v>32131.0</v>
      </c>
      <c r="K3" s="264">
        <v>15723.0</v>
      </c>
      <c r="L3" s="264">
        <v>9046.0</v>
      </c>
      <c r="M3" s="56">
        <f t="shared" si="2"/>
        <v>0</v>
      </c>
      <c r="N3" s="56">
        <f t="shared" si="3"/>
        <v>0</v>
      </c>
      <c r="O3" s="265">
        <f t="shared" si="4"/>
        <v>0</v>
      </c>
      <c r="P3" s="56">
        <f t="shared" si="5"/>
        <v>0</v>
      </c>
      <c r="Q3" s="56">
        <f t="shared" si="6"/>
        <v>0</v>
      </c>
      <c r="R3" s="265">
        <f t="shared" si="7"/>
        <v>0</v>
      </c>
      <c r="S3" s="56">
        <f t="shared" si="8"/>
        <v>0</v>
      </c>
      <c r="T3" s="56">
        <f t="shared" si="9"/>
        <v>0</v>
      </c>
      <c r="U3" s="265">
        <f t="shared" si="10"/>
        <v>0</v>
      </c>
      <c r="V3" s="56">
        <f t="shared" si="11"/>
        <v>0</v>
      </c>
      <c r="W3" s="56">
        <f t="shared" si="12"/>
        <v>0</v>
      </c>
      <c r="X3" s="265">
        <f t="shared" si="13"/>
        <v>0</v>
      </c>
      <c r="Y3" s="56">
        <f t="shared" si="14"/>
        <v>0</v>
      </c>
      <c r="Z3" s="56">
        <f t="shared" si="15"/>
        <v>0</v>
      </c>
      <c r="AA3" s="265">
        <f t="shared" si="16"/>
        <v>0</v>
      </c>
      <c r="AB3" s="56">
        <f t="shared" si="17"/>
        <v>0</v>
      </c>
      <c r="AC3" s="56">
        <f t="shared" si="18"/>
        <v>0</v>
      </c>
      <c r="AD3" s="265">
        <f t="shared" si="19"/>
        <v>0</v>
      </c>
    </row>
    <row r="4" ht="15.75" customHeight="1">
      <c r="A4" s="85" t="s">
        <v>551</v>
      </c>
      <c r="B4" s="56">
        <f t="shared" si="1"/>
        <v>2941666</v>
      </c>
      <c r="C4" s="264">
        <v>2281507.0</v>
      </c>
      <c r="D4" s="264">
        <v>270972.0</v>
      </c>
      <c r="E4" s="264">
        <v>209845.0</v>
      </c>
      <c r="F4" s="264">
        <v>127188.0</v>
      </c>
      <c r="G4" s="264">
        <v>52154.0</v>
      </c>
      <c r="H4" s="264">
        <v>2016552.0</v>
      </c>
      <c r="I4" s="264">
        <v>429044.0</v>
      </c>
      <c r="J4" s="264">
        <v>253359.0</v>
      </c>
      <c r="K4" s="264">
        <v>164437.0</v>
      </c>
      <c r="L4" s="264">
        <v>78214.0</v>
      </c>
      <c r="M4" s="56">
        <f t="shared" si="2"/>
        <v>0</v>
      </c>
      <c r="N4" s="56">
        <f t="shared" si="3"/>
        <v>0</v>
      </c>
      <c r="O4" s="265">
        <f t="shared" si="4"/>
        <v>0</v>
      </c>
      <c r="P4" s="56">
        <f t="shared" si="5"/>
        <v>0</v>
      </c>
      <c r="Q4" s="56">
        <f t="shared" si="6"/>
        <v>0</v>
      </c>
      <c r="R4" s="265">
        <f t="shared" si="7"/>
        <v>0</v>
      </c>
      <c r="S4" s="56">
        <f t="shared" si="8"/>
        <v>0</v>
      </c>
      <c r="T4" s="56">
        <f t="shared" si="9"/>
        <v>0</v>
      </c>
      <c r="U4" s="265">
        <f t="shared" si="10"/>
        <v>0</v>
      </c>
      <c r="V4" s="56">
        <f t="shared" si="11"/>
        <v>0</v>
      </c>
      <c r="W4" s="56">
        <f t="shared" si="12"/>
        <v>0</v>
      </c>
      <c r="X4" s="265">
        <f t="shared" si="13"/>
        <v>0</v>
      </c>
      <c r="Y4" s="56">
        <f t="shared" si="14"/>
        <v>0</v>
      </c>
      <c r="Z4" s="56">
        <f t="shared" si="15"/>
        <v>0</v>
      </c>
      <c r="AA4" s="265">
        <f t="shared" si="16"/>
        <v>0</v>
      </c>
      <c r="AB4" s="56">
        <f t="shared" si="17"/>
        <v>0</v>
      </c>
      <c r="AC4" s="56">
        <f t="shared" si="18"/>
        <v>0</v>
      </c>
      <c r="AD4" s="265">
        <f t="shared" si="19"/>
        <v>0</v>
      </c>
    </row>
    <row r="5" ht="15.75" customHeight="1">
      <c r="A5" s="85" t="s">
        <v>552</v>
      </c>
      <c r="B5" s="56">
        <f t="shared" si="1"/>
        <v>2717985</v>
      </c>
      <c r="C5" s="264">
        <v>2089882.0</v>
      </c>
      <c r="D5" s="264">
        <v>260173.0</v>
      </c>
      <c r="E5" s="264">
        <v>198047.0</v>
      </c>
      <c r="F5" s="264">
        <v>118573.0</v>
      </c>
      <c r="G5" s="264">
        <v>51310.0</v>
      </c>
      <c r="H5" s="264">
        <v>1636908.0</v>
      </c>
      <c r="I5" s="264">
        <v>491193.0</v>
      </c>
      <c r="J5" s="264">
        <v>326098.0</v>
      </c>
      <c r="K5" s="264">
        <v>194531.0</v>
      </c>
      <c r="L5" s="264">
        <v>69207.0</v>
      </c>
      <c r="M5" s="56">
        <f t="shared" si="2"/>
        <v>0</v>
      </c>
      <c r="N5" s="56">
        <f t="shared" si="3"/>
        <v>0</v>
      </c>
      <c r="O5" s="265">
        <f t="shared" si="4"/>
        <v>0</v>
      </c>
      <c r="P5" s="56">
        <f t="shared" si="5"/>
        <v>0</v>
      </c>
      <c r="Q5" s="56">
        <f t="shared" si="6"/>
        <v>0</v>
      </c>
      <c r="R5" s="265">
        <f t="shared" si="7"/>
        <v>0</v>
      </c>
      <c r="S5" s="56">
        <f t="shared" si="8"/>
        <v>0</v>
      </c>
      <c r="T5" s="56">
        <f t="shared" si="9"/>
        <v>0</v>
      </c>
      <c r="U5" s="265">
        <f t="shared" si="10"/>
        <v>0</v>
      </c>
      <c r="V5" s="56">
        <f t="shared" si="11"/>
        <v>0</v>
      </c>
      <c r="W5" s="56">
        <f t="shared" si="12"/>
        <v>0</v>
      </c>
      <c r="X5" s="265">
        <f t="shared" si="13"/>
        <v>0</v>
      </c>
      <c r="Y5" s="56">
        <f t="shared" si="14"/>
        <v>0</v>
      </c>
      <c r="Z5" s="56">
        <f t="shared" si="15"/>
        <v>0</v>
      </c>
      <c r="AA5" s="265">
        <f t="shared" si="16"/>
        <v>0</v>
      </c>
      <c r="AB5" s="56">
        <f t="shared" si="17"/>
        <v>0</v>
      </c>
      <c r="AC5" s="56">
        <f t="shared" si="18"/>
        <v>0</v>
      </c>
      <c r="AD5" s="265">
        <f t="shared" si="19"/>
        <v>0</v>
      </c>
    </row>
    <row r="6" ht="15.75" customHeight="1">
      <c r="A6" s="85" t="s">
        <v>528</v>
      </c>
      <c r="B6" s="56">
        <f t="shared" si="1"/>
        <v>5269759</v>
      </c>
      <c r="C6" s="264">
        <v>4340109.0</v>
      </c>
      <c r="D6" s="264">
        <v>349189.0</v>
      </c>
      <c r="E6" s="264">
        <v>295449.0</v>
      </c>
      <c r="F6" s="264">
        <v>184467.0</v>
      </c>
      <c r="G6" s="264">
        <v>100545.0</v>
      </c>
      <c r="H6" s="264">
        <v>3291073.0</v>
      </c>
      <c r="I6" s="264">
        <v>999620.0</v>
      </c>
      <c r="J6" s="264">
        <v>548963.0</v>
      </c>
      <c r="K6" s="264">
        <v>305409.0</v>
      </c>
      <c r="L6" s="264">
        <v>123928.0</v>
      </c>
      <c r="M6" s="56">
        <f t="shared" si="2"/>
        <v>0</v>
      </c>
      <c r="N6" s="56">
        <f t="shared" si="3"/>
        <v>0</v>
      </c>
      <c r="O6" s="265">
        <f t="shared" si="4"/>
        <v>0</v>
      </c>
      <c r="P6" s="56">
        <f t="shared" si="5"/>
        <v>0</v>
      </c>
      <c r="Q6" s="56">
        <f t="shared" si="6"/>
        <v>0</v>
      </c>
      <c r="R6" s="265">
        <f t="shared" si="7"/>
        <v>0</v>
      </c>
      <c r="S6" s="56" t="str">
        <f t="shared" si="8"/>
        <v>#N/A</v>
      </c>
      <c r="T6" s="56">
        <f t="shared" si="9"/>
        <v>0</v>
      </c>
      <c r="U6" s="265">
        <f t="shared" si="10"/>
        <v>0</v>
      </c>
      <c r="V6" s="56" t="str">
        <f t="shared" si="11"/>
        <v>#N/A</v>
      </c>
      <c r="W6" s="56">
        <f t="shared" si="12"/>
        <v>0</v>
      </c>
      <c r="X6" s="265">
        <f t="shared" si="13"/>
        <v>0</v>
      </c>
      <c r="Y6" s="56" t="str">
        <f t="shared" si="14"/>
        <v>#N/A</v>
      </c>
      <c r="Z6" s="56" t="str">
        <f t="shared" si="15"/>
        <v>#N/A</v>
      </c>
      <c r="AA6" s="265" t="str">
        <f t="shared" si="16"/>
        <v>#N/A</v>
      </c>
      <c r="AB6" s="56" t="str">
        <f t="shared" si="17"/>
        <v>#N/A</v>
      </c>
      <c r="AC6" s="56" t="str">
        <f t="shared" si="18"/>
        <v>#N/A</v>
      </c>
      <c r="AD6" s="265" t="str">
        <f t="shared" si="19"/>
        <v>#N/A</v>
      </c>
    </row>
    <row r="7" ht="15.75" customHeight="1">
      <c r="A7" s="85" t="s">
        <v>553</v>
      </c>
      <c r="B7" s="56">
        <f t="shared" si="1"/>
        <v>1640968</v>
      </c>
      <c r="C7" s="264">
        <v>1407386.0</v>
      </c>
      <c r="D7" s="264">
        <v>80468.0</v>
      </c>
      <c r="E7" s="264">
        <v>72908.0</v>
      </c>
      <c r="F7" s="264">
        <v>49643.0</v>
      </c>
      <c r="G7" s="264">
        <v>30563.0</v>
      </c>
      <c r="H7" s="264">
        <v>1041024.0</v>
      </c>
      <c r="I7" s="264">
        <v>304224.0</v>
      </c>
      <c r="J7" s="264">
        <v>159214.0</v>
      </c>
      <c r="K7" s="264">
        <v>92780.0</v>
      </c>
      <c r="L7" s="264">
        <v>43614.0</v>
      </c>
      <c r="M7" s="56">
        <f t="shared" si="2"/>
        <v>0</v>
      </c>
      <c r="N7" s="56">
        <f t="shared" si="3"/>
        <v>0</v>
      </c>
      <c r="O7" s="265">
        <f t="shared" si="4"/>
        <v>0</v>
      </c>
      <c r="P7" s="56">
        <f t="shared" si="5"/>
        <v>0</v>
      </c>
      <c r="Q7" s="56">
        <f t="shared" si="6"/>
        <v>0</v>
      </c>
      <c r="R7" s="265">
        <f t="shared" si="7"/>
        <v>0</v>
      </c>
      <c r="S7" s="56" t="str">
        <f t="shared" si="8"/>
        <v/>
      </c>
      <c r="T7" s="56" t="str">
        <f t="shared" si="9"/>
        <v/>
      </c>
      <c r="U7" s="265" t="str">
        <f t="shared" si="10"/>
        <v/>
      </c>
      <c r="V7" s="56" t="str">
        <f t="shared" si="11"/>
        <v>Total Area (ha)</v>
      </c>
      <c r="W7" s="56" t="str">
        <f t="shared" si="12"/>
        <v>MOE (90% c.i.)</v>
      </c>
      <c r="X7" s="265" t="str">
        <f t="shared" si="13"/>
        <v>Total error in %</v>
      </c>
      <c r="Y7" s="56">
        <f t="shared" si="14"/>
        <v>0</v>
      </c>
      <c r="Z7" s="56">
        <f t="shared" si="15"/>
        <v>0</v>
      </c>
      <c r="AA7" s="265">
        <f t="shared" si="16"/>
        <v>0</v>
      </c>
      <c r="AB7" s="56" t="str">
        <f t="shared" si="17"/>
        <v>#VALUE!</v>
      </c>
      <c r="AC7" s="56" t="str">
        <f t="shared" si="18"/>
        <v>#VALUE!</v>
      </c>
      <c r="AD7" s="265" t="str">
        <f t="shared" si="19"/>
        <v>#VALUE!</v>
      </c>
    </row>
    <row r="8" ht="15.75" customHeight="1">
      <c r="A8" s="85" t="s">
        <v>554</v>
      </c>
      <c r="B8" s="56">
        <f t="shared" si="1"/>
        <v>1966422</v>
      </c>
      <c r="C8" s="264">
        <v>1698530.0</v>
      </c>
      <c r="D8" s="264">
        <v>99350.0</v>
      </c>
      <c r="E8" s="264">
        <v>86532.0</v>
      </c>
      <c r="F8" s="264">
        <v>54472.0</v>
      </c>
      <c r="G8" s="264">
        <v>27538.0</v>
      </c>
      <c r="H8" s="264">
        <v>1199417.0</v>
      </c>
      <c r="I8" s="264">
        <v>408898.0</v>
      </c>
      <c r="J8" s="264">
        <v>192959.0</v>
      </c>
      <c r="K8" s="264">
        <v>110904.0</v>
      </c>
      <c r="L8" s="264">
        <v>53967.0</v>
      </c>
      <c r="M8" s="56">
        <f t="shared" si="2"/>
        <v>0</v>
      </c>
      <c r="N8" s="56">
        <f t="shared" si="3"/>
        <v>0</v>
      </c>
      <c r="O8" s="265">
        <f t="shared" si="4"/>
        <v>0</v>
      </c>
      <c r="P8" s="56">
        <f t="shared" si="5"/>
        <v>0</v>
      </c>
      <c r="Q8" s="56">
        <f t="shared" si="6"/>
        <v>0</v>
      </c>
      <c r="R8" s="265">
        <f t="shared" si="7"/>
        <v>0</v>
      </c>
      <c r="S8" s="56" t="str">
        <f t="shared" si="8"/>
        <v>#N/A</v>
      </c>
      <c r="T8" s="56">
        <f t="shared" si="9"/>
        <v>0</v>
      </c>
      <c r="U8" s="265">
        <f t="shared" si="10"/>
        <v>0</v>
      </c>
      <c r="V8" s="56" t="str">
        <f t="shared" si="11"/>
        <v>#N/A</v>
      </c>
      <c r="W8" s="56">
        <f t="shared" si="12"/>
        <v>0</v>
      </c>
      <c r="X8" s="265">
        <f t="shared" si="13"/>
        <v>0</v>
      </c>
      <c r="Y8" s="56" t="str">
        <f t="shared" si="14"/>
        <v>#N/A</v>
      </c>
      <c r="Z8" s="56" t="str">
        <f t="shared" si="15"/>
        <v>#N/A</v>
      </c>
      <c r="AA8" s="265" t="str">
        <f t="shared" si="16"/>
        <v>#N/A</v>
      </c>
      <c r="AB8" s="56" t="str">
        <f t="shared" si="17"/>
        <v>#N/A</v>
      </c>
      <c r="AC8" s="56" t="str">
        <f t="shared" si="18"/>
        <v>#N/A</v>
      </c>
      <c r="AD8" s="265" t="str">
        <f t="shared" si="19"/>
        <v>#N/A</v>
      </c>
    </row>
    <row r="9" ht="15.75" customHeight="1">
      <c r="A9" s="85" t="s">
        <v>476</v>
      </c>
      <c r="B9" s="56">
        <f t="shared" si="1"/>
        <v>3167057</v>
      </c>
      <c r="C9" s="264">
        <v>2235256.0</v>
      </c>
      <c r="D9" s="264">
        <v>355713.0</v>
      </c>
      <c r="E9" s="264">
        <v>302237.0</v>
      </c>
      <c r="F9" s="264">
        <v>187062.0</v>
      </c>
      <c r="G9" s="264">
        <v>86789.0</v>
      </c>
      <c r="H9" s="264">
        <v>2034709.0</v>
      </c>
      <c r="I9" s="264">
        <v>499308.0</v>
      </c>
      <c r="J9" s="264">
        <v>360434.0</v>
      </c>
      <c r="K9" s="264">
        <v>206383.0</v>
      </c>
      <c r="L9" s="264">
        <v>65211.0</v>
      </c>
      <c r="M9" s="56" t="str">
        <f t="shared" si="2"/>
        <v>#N/A</v>
      </c>
      <c r="N9" s="56">
        <f t="shared" si="3"/>
        <v>0</v>
      </c>
      <c r="O9" s="265">
        <f t="shared" si="4"/>
        <v>0</v>
      </c>
      <c r="P9" s="56" t="str">
        <f t="shared" si="5"/>
        <v>#N/A</v>
      </c>
      <c r="Q9" s="56">
        <f t="shared" si="6"/>
        <v>0</v>
      </c>
      <c r="R9" s="265">
        <f t="shared" si="7"/>
        <v>0</v>
      </c>
      <c r="S9" s="56" t="str">
        <f t="shared" si="8"/>
        <v>#N/A</v>
      </c>
      <c r="T9" s="56">
        <f t="shared" si="9"/>
        <v>0</v>
      </c>
      <c r="U9" s="265">
        <f t="shared" si="10"/>
        <v>0</v>
      </c>
      <c r="V9" s="56" t="str">
        <f t="shared" si="11"/>
        <v>#N/A</v>
      </c>
      <c r="W9" s="56">
        <f t="shared" si="12"/>
        <v>0</v>
      </c>
      <c r="X9" s="265">
        <f t="shared" si="13"/>
        <v>0</v>
      </c>
      <c r="Y9" s="56" t="str">
        <f t="shared" si="14"/>
        <v>#N/A</v>
      </c>
      <c r="Z9" s="56" t="str">
        <f t="shared" si="15"/>
        <v>#N/A</v>
      </c>
      <c r="AA9" s="265" t="str">
        <f t="shared" si="16"/>
        <v>#N/A</v>
      </c>
      <c r="AB9" s="56" t="str">
        <f t="shared" si="17"/>
        <v>#N/A</v>
      </c>
      <c r="AC9" s="56" t="str">
        <f t="shared" si="18"/>
        <v>#N/A</v>
      </c>
      <c r="AD9" s="265" t="str">
        <f t="shared" si="19"/>
        <v>#N/A</v>
      </c>
    </row>
    <row r="10" ht="15.75" customHeight="1">
      <c r="A10" s="85" t="s">
        <v>555</v>
      </c>
      <c r="B10" s="56">
        <f t="shared" si="1"/>
        <v>4661808</v>
      </c>
      <c r="C10" s="264">
        <v>3035526.0</v>
      </c>
      <c r="D10" s="264">
        <v>814316.0</v>
      </c>
      <c r="E10" s="264">
        <v>631916.0</v>
      </c>
      <c r="F10" s="264">
        <v>167578.0</v>
      </c>
      <c r="G10" s="264">
        <v>12472.0</v>
      </c>
      <c r="H10" s="264">
        <v>2847052.0</v>
      </c>
      <c r="I10" s="264">
        <v>748031.0</v>
      </c>
      <c r="J10" s="264">
        <v>680535.0</v>
      </c>
      <c r="K10" s="264">
        <v>335742.0</v>
      </c>
      <c r="L10" s="264">
        <v>47233.0</v>
      </c>
      <c r="M10" s="56">
        <f t="shared" si="2"/>
        <v>0</v>
      </c>
      <c r="N10" s="56">
        <f t="shared" si="3"/>
        <v>0</v>
      </c>
      <c r="O10" s="265">
        <f t="shared" si="4"/>
        <v>0</v>
      </c>
      <c r="P10" s="56">
        <f t="shared" si="5"/>
        <v>0</v>
      </c>
      <c r="Q10" s="56">
        <f t="shared" si="6"/>
        <v>0</v>
      </c>
      <c r="R10" s="265">
        <f t="shared" si="7"/>
        <v>0</v>
      </c>
      <c r="S10" s="56" t="str">
        <f t="shared" si="8"/>
        <v>Total Area (ha)</v>
      </c>
      <c r="T10" s="56" t="str">
        <f t="shared" si="9"/>
        <v>MOE (90% c.i.)</v>
      </c>
      <c r="U10" s="265" t="str">
        <f t="shared" si="10"/>
        <v>Total error in %</v>
      </c>
      <c r="V10" s="56" t="str">
        <f t="shared" si="11"/>
        <v/>
      </c>
      <c r="W10" s="56" t="str">
        <f t="shared" si="12"/>
        <v/>
      </c>
      <c r="X10" s="265" t="str">
        <f t="shared" si="13"/>
        <v/>
      </c>
      <c r="Y10" s="56" t="str">
        <f t="shared" si="14"/>
        <v>#VALUE!</v>
      </c>
      <c r="Z10" s="56" t="str">
        <f t="shared" si="15"/>
        <v>#VALUE!</v>
      </c>
      <c r="AA10" s="265" t="str">
        <f t="shared" si="16"/>
        <v>#VALUE!</v>
      </c>
      <c r="AB10" s="56">
        <f t="shared" si="17"/>
        <v>0</v>
      </c>
      <c r="AC10" s="56">
        <f t="shared" si="18"/>
        <v>0</v>
      </c>
      <c r="AD10" s="265">
        <f t="shared" si="19"/>
        <v>0</v>
      </c>
    </row>
    <row r="11" ht="15.75" customHeight="1">
      <c r="A11" s="85" t="s">
        <v>556</v>
      </c>
      <c r="B11" s="56">
        <f t="shared" si="1"/>
        <v>5838082</v>
      </c>
      <c r="C11" s="264">
        <v>4527465.0</v>
      </c>
      <c r="D11" s="264">
        <v>610433.0</v>
      </c>
      <c r="E11" s="264">
        <v>489688.0</v>
      </c>
      <c r="F11" s="264">
        <v>185232.0</v>
      </c>
      <c r="G11" s="264">
        <v>25264.0</v>
      </c>
      <c r="H11" s="264">
        <v>3535705.0</v>
      </c>
      <c r="I11" s="264">
        <v>1033508.0</v>
      </c>
      <c r="J11" s="264">
        <v>820156.0</v>
      </c>
      <c r="K11" s="264">
        <v>384574.0</v>
      </c>
      <c r="L11" s="264">
        <v>63725.0</v>
      </c>
      <c r="M11" s="56">
        <f t="shared" si="2"/>
        <v>0</v>
      </c>
      <c r="N11" s="56">
        <f t="shared" si="3"/>
        <v>0</v>
      </c>
      <c r="O11" s="265">
        <f t="shared" si="4"/>
        <v>0</v>
      </c>
      <c r="P11" s="56">
        <f t="shared" si="5"/>
        <v>0</v>
      </c>
      <c r="Q11" s="56">
        <f t="shared" si="6"/>
        <v>0</v>
      </c>
      <c r="R11" s="265">
        <f t="shared" si="7"/>
        <v>0</v>
      </c>
      <c r="S11" s="56">
        <f t="shared" si="8"/>
        <v>0</v>
      </c>
      <c r="T11" s="56">
        <f t="shared" si="9"/>
        <v>0</v>
      </c>
      <c r="U11" s="265">
        <f t="shared" si="10"/>
        <v>0</v>
      </c>
      <c r="V11" s="56">
        <f t="shared" si="11"/>
        <v>0</v>
      </c>
      <c r="W11" s="56">
        <f t="shared" si="12"/>
        <v>0</v>
      </c>
      <c r="X11" s="265">
        <f t="shared" si="13"/>
        <v>0</v>
      </c>
      <c r="Y11" s="56">
        <f t="shared" si="14"/>
        <v>0</v>
      </c>
      <c r="Z11" s="56">
        <f t="shared" si="15"/>
        <v>0</v>
      </c>
      <c r="AA11" s="265">
        <f t="shared" si="16"/>
        <v>0</v>
      </c>
      <c r="AB11" s="56">
        <f t="shared" si="17"/>
        <v>0</v>
      </c>
      <c r="AC11" s="56">
        <f t="shared" si="18"/>
        <v>0</v>
      </c>
      <c r="AD11" s="265">
        <f t="shared" si="19"/>
        <v>0</v>
      </c>
    </row>
    <row r="12" ht="15.75" customHeight="1">
      <c r="A12" s="85" t="s">
        <v>480</v>
      </c>
      <c r="B12" s="56">
        <f t="shared" si="1"/>
        <v>8595816</v>
      </c>
      <c r="C12" s="264">
        <v>7294478.0</v>
      </c>
      <c r="D12" s="264">
        <v>713518.0</v>
      </c>
      <c r="E12" s="264">
        <v>406535.0</v>
      </c>
      <c r="F12" s="264">
        <v>151083.0</v>
      </c>
      <c r="G12" s="264">
        <v>30202.0</v>
      </c>
      <c r="H12" s="264">
        <v>5093111.0</v>
      </c>
      <c r="I12" s="264">
        <v>1840076.0</v>
      </c>
      <c r="J12" s="264">
        <v>1068127.0</v>
      </c>
      <c r="K12" s="264">
        <v>485032.0</v>
      </c>
      <c r="L12" s="264">
        <v>109404.0</v>
      </c>
      <c r="M12" s="56">
        <f t="shared" si="2"/>
        <v>0</v>
      </c>
      <c r="N12" s="56">
        <f t="shared" si="3"/>
        <v>0</v>
      </c>
      <c r="O12" s="265">
        <f t="shared" si="4"/>
        <v>0</v>
      </c>
      <c r="P12" s="56">
        <f t="shared" si="5"/>
        <v>0</v>
      </c>
      <c r="Q12" s="56">
        <f t="shared" si="6"/>
        <v>0</v>
      </c>
      <c r="R12" s="265">
        <f t="shared" si="7"/>
        <v>0</v>
      </c>
      <c r="S12" s="56">
        <f t="shared" si="8"/>
        <v>0</v>
      </c>
      <c r="T12" s="56">
        <f t="shared" si="9"/>
        <v>0</v>
      </c>
      <c r="U12" s="265">
        <f t="shared" si="10"/>
        <v>0</v>
      </c>
      <c r="V12" s="56">
        <f t="shared" si="11"/>
        <v>0</v>
      </c>
      <c r="W12" s="56">
        <f t="shared" si="12"/>
        <v>0</v>
      </c>
      <c r="X12" s="265">
        <f t="shared" si="13"/>
        <v>0</v>
      </c>
      <c r="Y12" s="56">
        <f t="shared" si="14"/>
        <v>0</v>
      </c>
      <c r="Z12" s="56">
        <f t="shared" si="15"/>
        <v>0</v>
      </c>
      <c r="AA12" s="265">
        <f t="shared" si="16"/>
        <v>0</v>
      </c>
      <c r="AB12" s="56">
        <f t="shared" si="17"/>
        <v>0</v>
      </c>
      <c r="AC12" s="56">
        <f t="shared" si="18"/>
        <v>0</v>
      </c>
      <c r="AD12" s="265">
        <f t="shared" si="19"/>
        <v>0</v>
      </c>
    </row>
    <row r="13" ht="15.75" customHeight="1">
      <c r="A13" s="85" t="s">
        <v>557</v>
      </c>
      <c r="B13" s="56">
        <f t="shared" si="1"/>
        <v>5610553</v>
      </c>
      <c r="C13" s="264">
        <v>4569311.0</v>
      </c>
      <c r="D13" s="264">
        <v>511727.0</v>
      </c>
      <c r="E13" s="264">
        <v>341102.0</v>
      </c>
      <c r="F13" s="264">
        <v>153230.0</v>
      </c>
      <c r="G13" s="264">
        <v>35183.0</v>
      </c>
      <c r="H13" s="264">
        <v>3770734.0</v>
      </c>
      <c r="I13" s="264">
        <v>1060077.0</v>
      </c>
      <c r="J13" s="264">
        <v>477479.0</v>
      </c>
      <c r="K13" s="264">
        <v>225573.0</v>
      </c>
      <c r="L13" s="264">
        <v>75340.0</v>
      </c>
      <c r="M13" s="56">
        <f t="shared" si="2"/>
        <v>0</v>
      </c>
      <c r="N13" s="56">
        <f t="shared" si="3"/>
        <v>0</v>
      </c>
      <c r="O13" s="265">
        <f t="shared" si="4"/>
        <v>0</v>
      </c>
      <c r="P13" s="56">
        <f t="shared" si="5"/>
        <v>0</v>
      </c>
      <c r="Q13" s="56">
        <f t="shared" si="6"/>
        <v>0</v>
      </c>
      <c r="R13" s="265">
        <f t="shared" si="7"/>
        <v>0</v>
      </c>
      <c r="S13" s="56">
        <f t="shared" si="8"/>
        <v>0</v>
      </c>
      <c r="T13" s="56">
        <f t="shared" si="9"/>
        <v>0</v>
      </c>
      <c r="U13" s="265">
        <f t="shared" si="10"/>
        <v>0</v>
      </c>
      <c r="V13" s="56">
        <f t="shared" si="11"/>
        <v>0</v>
      </c>
      <c r="W13" s="56">
        <f t="shared" si="12"/>
        <v>0</v>
      </c>
      <c r="X13" s="265">
        <f t="shared" si="13"/>
        <v>0</v>
      </c>
      <c r="Y13" s="56">
        <f t="shared" si="14"/>
        <v>0</v>
      </c>
      <c r="Z13" s="56">
        <f t="shared" si="15"/>
        <v>0</v>
      </c>
      <c r="AA13" s="265">
        <f t="shared" si="16"/>
        <v>0</v>
      </c>
      <c r="AB13" s="56">
        <f t="shared" si="17"/>
        <v>0</v>
      </c>
      <c r="AC13" s="56">
        <f t="shared" si="18"/>
        <v>0</v>
      </c>
      <c r="AD13" s="265">
        <f t="shared" si="19"/>
        <v>0</v>
      </c>
    </row>
    <row r="14" ht="15.75" customHeight="1">
      <c r="A14" s="85" t="s">
        <v>558</v>
      </c>
      <c r="B14" s="56">
        <f t="shared" si="1"/>
        <v>5979164</v>
      </c>
      <c r="C14" s="264">
        <v>5065506.0</v>
      </c>
      <c r="D14" s="264">
        <v>359498.0</v>
      </c>
      <c r="E14" s="264">
        <v>299335.0</v>
      </c>
      <c r="F14" s="264">
        <v>192012.0</v>
      </c>
      <c r="G14" s="264">
        <v>62813.0</v>
      </c>
      <c r="H14" s="264">
        <v>4419084.0</v>
      </c>
      <c r="I14" s="264">
        <v>806735.0</v>
      </c>
      <c r="J14" s="264">
        <v>393808.0</v>
      </c>
      <c r="K14" s="264">
        <v>245346.0</v>
      </c>
      <c r="L14" s="264">
        <v>112582.0</v>
      </c>
      <c r="M14" s="56">
        <f t="shared" si="2"/>
        <v>0</v>
      </c>
      <c r="N14" s="56">
        <f t="shared" si="3"/>
        <v>0</v>
      </c>
      <c r="O14" s="265">
        <f t="shared" si="4"/>
        <v>0</v>
      </c>
      <c r="P14" s="56">
        <f t="shared" si="5"/>
        <v>0</v>
      </c>
      <c r="Q14" s="56">
        <f t="shared" si="6"/>
        <v>0</v>
      </c>
      <c r="R14" s="265">
        <f t="shared" si="7"/>
        <v>0</v>
      </c>
      <c r="S14" s="56">
        <f t="shared" si="8"/>
        <v>0</v>
      </c>
      <c r="T14" s="56">
        <f t="shared" si="9"/>
        <v>0</v>
      </c>
      <c r="U14" s="265">
        <f t="shared" si="10"/>
        <v>0</v>
      </c>
      <c r="V14" s="56">
        <f t="shared" si="11"/>
        <v>0</v>
      </c>
      <c r="W14" s="56">
        <f t="shared" si="12"/>
        <v>0</v>
      </c>
      <c r="X14" s="265">
        <f t="shared" si="13"/>
        <v>0</v>
      </c>
      <c r="Y14" s="56">
        <f t="shared" si="14"/>
        <v>0</v>
      </c>
      <c r="Z14" s="56">
        <f t="shared" si="15"/>
        <v>0</v>
      </c>
      <c r="AA14" s="265">
        <f t="shared" si="16"/>
        <v>0</v>
      </c>
      <c r="AB14" s="56">
        <f t="shared" si="17"/>
        <v>0</v>
      </c>
      <c r="AC14" s="56">
        <f t="shared" si="18"/>
        <v>0</v>
      </c>
      <c r="AD14" s="265">
        <f t="shared" si="19"/>
        <v>0</v>
      </c>
    </row>
    <row r="15" ht="15.75" customHeight="1">
      <c r="A15" s="85" t="s">
        <v>559</v>
      </c>
      <c r="B15" s="56">
        <f t="shared" si="1"/>
        <v>3171622</v>
      </c>
      <c r="C15" s="264">
        <v>2584356.0</v>
      </c>
      <c r="D15" s="264">
        <v>235447.0</v>
      </c>
      <c r="E15" s="264">
        <v>200684.0</v>
      </c>
      <c r="F15" s="264">
        <v>112621.0</v>
      </c>
      <c r="G15" s="264">
        <v>38514.0</v>
      </c>
      <c r="H15" s="264">
        <v>1978116.0</v>
      </c>
      <c r="I15" s="264">
        <v>673311.0</v>
      </c>
      <c r="J15" s="264">
        <v>320443.0</v>
      </c>
      <c r="K15" s="264">
        <v>145567.0</v>
      </c>
      <c r="L15" s="264">
        <v>54082.0</v>
      </c>
      <c r="M15" s="56">
        <f t="shared" si="2"/>
        <v>0</v>
      </c>
      <c r="N15" s="56">
        <f t="shared" si="3"/>
        <v>0</v>
      </c>
      <c r="O15" s="265">
        <f t="shared" si="4"/>
        <v>0</v>
      </c>
      <c r="P15" s="56">
        <f t="shared" si="5"/>
        <v>0</v>
      </c>
      <c r="Q15" s="56">
        <f t="shared" si="6"/>
        <v>0</v>
      </c>
      <c r="R15" s="265">
        <f t="shared" si="7"/>
        <v>0</v>
      </c>
      <c r="S15" s="56">
        <f t="shared" si="8"/>
        <v>0</v>
      </c>
      <c r="T15" s="56">
        <f t="shared" si="9"/>
        <v>0</v>
      </c>
      <c r="U15" s="265">
        <f t="shared" si="10"/>
        <v>0</v>
      </c>
      <c r="V15" s="56">
        <f t="shared" si="11"/>
        <v>0</v>
      </c>
      <c r="W15" s="56">
        <f t="shared" si="12"/>
        <v>0</v>
      </c>
      <c r="X15" s="265">
        <f t="shared" si="13"/>
        <v>0</v>
      </c>
      <c r="Y15" s="56">
        <f t="shared" si="14"/>
        <v>0</v>
      </c>
      <c r="Z15" s="56">
        <f t="shared" si="15"/>
        <v>0</v>
      </c>
      <c r="AA15" s="265">
        <f t="shared" si="16"/>
        <v>0</v>
      </c>
      <c r="AB15" s="56">
        <f t="shared" si="17"/>
        <v>0</v>
      </c>
      <c r="AC15" s="56">
        <f t="shared" si="18"/>
        <v>0</v>
      </c>
      <c r="AD15" s="265">
        <f t="shared" si="19"/>
        <v>0</v>
      </c>
    </row>
    <row r="16" ht="15.75" customHeight="1">
      <c r="A16" s="85" t="s">
        <v>560</v>
      </c>
      <c r="B16" s="56">
        <f t="shared" si="1"/>
        <v>4899323</v>
      </c>
      <c r="C16" s="264">
        <v>4356905.0</v>
      </c>
      <c r="D16" s="264">
        <v>235008.0</v>
      </c>
      <c r="E16" s="264">
        <v>177926.0</v>
      </c>
      <c r="F16" s="264">
        <v>100030.0</v>
      </c>
      <c r="G16" s="264">
        <v>29454.0</v>
      </c>
      <c r="H16" s="264">
        <v>3193944.0</v>
      </c>
      <c r="I16" s="264">
        <v>917795.0</v>
      </c>
      <c r="J16" s="264">
        <v>440342.0</v>
      </c>
      <c r="K16" s="264">
        <v>242728.0</v>
      </c>
      <c r="L16" s="264">
        <v>104142.0</v>
      </c>
      <c r="M16" s="56">
        <f t="shared" si="2"/>
        <v>0</v>
      </c>
      <c r="N16" s="56">
        <f t="shared" si="3"/>
        <v>0</v>
      </c>
      <c r="O16" s="265">
        <f t="shared" si="4"/>
        <v>0</v>
      </c>
      <c r="P16" s="56">
        <f t="shared" si="5"/>
        <v>0</v>
      </c>
      <c r="Q16" s="56">
        <f t="shared" si="6"/>
        <v>0</v>
      </c>
      <c r="R16" s="265">
        <f t="shared" si="7"/>
        <v>0</v>
      </c>
      <c r="S16" s="56" t="str">
        <f t="shared" si="8"/>
        <v>#N/A</v>
      </c>
      <c r="T16" s="56">
        <f t="shared" si="9"/>
        <v>0</v>
      </c>
      <c r="U16" s="265">
        <f t="shared" si="10"/>
        <v>0</v>
      </c>
      <c r="V16" s="56" t="str">
        <f t="shared" si="11"/>
        <v>#N/A</v>
      </c>
      <c r="W16" s="56">
        <f t="shared" si="12"/>
        <v>0</v>
      </c>
      <c r="X16" s="265">
        <f t="shared" si="13"/>
        <v>0</v>
      </c>
      <c r="Y16" s="56" t="str">
        <f t="shared" si="14"/>
        <v>#N/A</v>
      </c>
      <c r="Z16" s="56" t="str">
        <f t="shared" si="15"/>
        <v>#N/A</v>
      </c>
      <c r="AA16" s="265" t="str">
        <f t="shared" si="16"/>
        <v>#N/A</v>
      </c>
      <c r="AB16" s="56" t="str">
        <f t="shared" si="17"/>
        <v>#N/A</v>
      </c>
      <c r="AC16" s="56" t="str">
        <f t="shared" si="18"/>
        <v>#N/A</v>
      </c>
      <c r="AD16" s="265" t="str">
        <f t="shared" si="19"/>
        <v>#N/A</v>
      </c>
    </row>
    <row r="17" ht="15.75" customHeight="1">
      <c r="A17" s="85" t="s">
        <v>561</v>
      </c>
      <c r="B17" s="56">
        <f t="shared" si="1"/>
        <v>1662825</v>
      </c>
      <c r="C17" s="264">
        <v>1483010.0</v>
      </c>
      <c r="D17" s="264">
        <v>77057.0</v>
      </c>
      <c r="E17" s="264">
        <v>62601.0</v>
      </c>
      <c r="F17" s="264">
        <v>32227.0</v>
      </c>
      <c r="G17" s="264">
        <v>7930.0</v>
      </c>
      <c r="H17" s="264">
        <v>1001398.0</v>
      </c>
      <c r="I17" s="264">
        <v>296997.0</v>
      </c>
      <c r="J17" s="264">
        <v>194535.0</v>
      </c>
      <c r="K17" s="264">
        <v>118641.0</v>
      </c>
      <c r="L17" s="264">
        <v>51036.0</v>
      </c>
      <c r="M17" s="56">
        <f t="shared" si="2"/>
        <v>0</v>
      </c>
      <c r="N17" s="56">
        <f t="shared" si="3"/>
        <v>0</v>
      </c>
      <c r="O17" s="265">
        <f t="shared" si="4"/>
        <v>0</v>
      </c>
      <c r="P17" s="56">
        <f t="shared" si="5"/>
        <v>0</v>
      </c>
      <c r="Q17" s="56">
        <f t="shared" si="6"/>
        <v>0</v>
      </c>
      <c r="R17" s="265">
        <f t="shared" si="7"/>
        <v>0</v>
      </c>
      <c r="S17" s="56">
        <f t="shared" si="8"/>
        <v>0</v>
      </c>
      <c r="T17" s="56">
        <f t="shared" si="9"/>
        <v>0</v>
      </c>
      <c r="U17" s="265">
        <f t="shared" si="10"/>
        <v>0</v>
      </c>
      <c r="V17" s="56">
        <f t="shared" si="11"/>
        <v>0</v>
      </c>
      <c r="W17" s="56">
        <f t="shared" si="12"/>
        <v>0</v>
      </c>
      <c r="X17" s="265">
        <f t="shared" si="13"/>
        <v>0</v>
      </c>
      <c r="Y17" s="56">
        <f t="shared" si="14"/>
        <v>0</v>
      </c>
      <c r="Z17" s="56">
        <f t="shared" si="15"/>
        <v>0</v>
      </c>
      <c r="AA17" s="265">
        <f t="shared" si="16"/>
        <v>0</v>
      </c>
      <c r="AB17" s="56">
        <f t="shared" si="17"/>
        <v>0</v>
      </c>
      <c r="AC17" s="56">
        <f t="shared" si="18"/>
        <v>0</v>
      </c>
      <c r="AD17" s="265">
        <f t="shared" si="19"/>
        <v>0</v>
      </c>
    </row>
    <row r="18" ht="15.75" customHeight="1">
      <c r="A18" s="85" t="s">
        <v>562</v>
      </c>
      <c r="B18" s="56">
        <f t="shared" si="1"/>
        <v>6247</v>
      </c>
      <c r="C18" s="264">
        <v>4953.0</v>
      </c>
      <c r="D18" s="264">
        <v>843.0</v>
      </c>
      <c r="E18" s="264">
        <v>350.0</v>
      </c>
      <c r="F18" s="264">
        <v>97.0</v>
      </c>
      <c r="G18" s="264">
        <v>4.0</v>
      </c>
      <c r="H18" s="264">
        <v>2930.0</v>
      </c>
      <c r="I18" s="264">
        <v>1927.0</v>
      </c>
      <c r="J18" s="264">
        <v>1204.0</v>
      </c>
      <c r="K18" s="264">
        <v>168.0</v>
      </c>
      <c r="L18" s="264">
        <v>14.0</v>
      </c>
      <c r="M18" s="56">
        <f t="shared" si="2"/>
        <v>0</v>
      </c>
      <c r="N18" s="56">
        <f t="shared" si="3"/>
        <v>0</v>
      </c>
      <c r="O18" s="265">
        <f t="shared" si="4"/>
        <v>0</v>
      </c>
      <c r="P18" s="56">
        <f t="shared" si="5"/>
        <v>0</v>
      </c>
      <c r="Q18" s="56">
        <f t="shared" si="6"/>
        <v>0</v>
      </c>
      <c r="R18" s="265">
        <f t="shared" si="7"/>
        <v>0</v>
      </c>
      <c r="S18" s="56">
        <f t="shared" si="8"/>
        <v>0</v>
      </c>
      <c r="T18" s="56">
        <f t="shared" si="9"/>
        <v>0</v>
      </c>
      <c r="U18" s="265">
        <f t="shared" si="10"/>
        <v>0</v>
      </c>
      <c r="V18" s="56">
        <f t="shared" si="11"/>
        <v>0</v>
      </c>
      <c r="W18" s="56">
        <f t="shared" si="12"/>
        <v>0</v>
      </c>
      <c r="X18" s="265">
        <f t="shared" si="13"/>
        <v>0</v>
      </c>
      <c r="Y18" s="56">
        <f t="shared" si="14"/>
        <v>0</v>
      </c>
      <c r="Z18" s="56">
        <f t="shared" si="15"/>
        <v>0</v>
      </c>
      <c r="AA18" s="265">
        <f t="shared" si="16"/>
        <v>0</v>
      </c>
      <c r="AB18" s="56">
        <f t="shared" si="17"/>
        <v>0</v>
      </c>
      <c r="AC18" s="56">
        <f t="shared" si="18"/>
        <v>0</v>
      </c>
      <c r="AD18" s="265">
        <f t="shared" si="19"/>
        <v>0</v>
      </c>
    </row>
    <row r="19" ht="15.75" customHeight="1">
      <c r="A19" s="3" t="s">
        <v>500</v>
      </c>
      <c r="C19" s="266">
        <f t="shared" ref="C19:L19" si="20">SUM(C2:C18)</f>
        <v>50116708</v>
      </c>
      <c r="D19" s="266">
        <f t="shared" si="20"/>
        <v>5225079</v>
      </c>
      <c r="E19" s="266">
        <f t="shared" si="20"/>
        <v>3936262</v>
      </c>
      <c r="F19" s="266">
        <f t="shared" si="20"/>
        <v>1904772</v>
      </c>
      <c r="G19" s="266">
        <f t="shared" si="20"/>
        <v>622713</v>
      </c>
      <c r="H19" s="266">
        <f t="shared" si="20"/>
        <v>39982094</v>
      </c>
      <c r="I19" s="266">
        <f t="shared" si="20"/>
        <v>10961575</v>
      </c>
      <c r="J19" s="266">
        <f t="shared" si="20"/>
        <v>6411098</v>
      </c>
      <c r="K19" s="266">
        <f t="shared" si="20"/>
        <v>3350002</v>
      </c>
      <c r="L19" s="266">
        <f t="shared" si="20"/>
        <v>1091103</v>
      </c>
    </row>
    <row r="20" ht="15.75" customHeight="1"/>
    <row r="21" ht="15.75" customHeight="1"/>
    <row r="22" ht="15.75" customHeight="1">
      <c r="AB22" s="198"/>
    </row>
    <row r="23" ht="15.75" customHeight="1"/>
    <row r="24" ht="15.75" customHeight="1">
      <c r="P24" s="267"/>
    </row>
    <row r="25" ht="15.75" customHeight="1">
      <c r="P25" s="267"/>
    </row>
    <row r="26" ht="15.75" customHeight="1">
      <c r="P26" s="267"/>
    </row>
    <row r="27" ht="15.75" customHeight="1">
      <c r="P27" s="267"/>
    </row>
    <row r="28" ht="15.75" customHeight="1">
      <c r="P28" s="267"/>
    </row>
    <row r="29" ht="15.75" customHeight="1">
      <c r="P29" s="267"/>
    </row>
    <row r="30" ht="15.75" customHeight="1">
      <c r="P30" s="267"/>
    </row>
    <row r="31" ht="15.75" customHeight="1">
      <c r="P31" s="267"/>
    </row>
    <row r="32" ht="15.75" customHeight="1">
      <c r="P32" s="267"/>
    </row>
    <row r="33" ht="15.75" customHeight="1">
      <c r="P33" s="267"/>
    </row>
    <row r="34" ht="15.75" customHeight="1">
      <c r="P34" s="267"/>
    </row>
    <row r="35" ht="15.75" customHeight="1">
      <c r="P35" s="267"/>
    </row>
    <row r="36" ht="15.75" customHeight="1">
      <c r="P36" s="267"/>
    </row>
    <row r="37" ht="15.75" customHeight="1">
      <c r="P37" s="267"/>
    </row>
    <row r="38" ht="15.75" customHeight="1">
      <c r="P38" s="267"/>
    </row>
    <row r="39" ht="15.75" customHeight="1">
      <c r="P39" s="267"/>
    </row>
    <row r="40" ht="15.75" customHeight="1">
      <c r="P40" s="26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75"/>
    <col customWidth="1" min="2" max="3" width="12.63"/>
    <col customWidth="1" min="4" max="4" width="10.38"/>
    <col customWidth="1" min="5" max="5" width="10.25"/>
    <col customWidth="1" min="6" max="6" width="9.63"/>
    <col customWidth="1" min="7" max="7" width="9.13"/>
    <col customWidth="1" min="8" max="8" width="10.5"/>
    <col customWidth="1" min="9" max="9" width="10.13"/>
    <col customWidth="1" min="10" max="10" width="11.13"/>
    <col customWidth="1" min="11" max="11" width="9.38"/>
    <col customWidth="1" min="12" max="12" width="9.88"/>
    <col customWidth="1" min="13" max="13" width="9.38"/>
    <col customWidth="1" min="14" max="14" width="8.25"/>
    <col customWidth="1" min="15" max="15" width="10.63"/>
    <col customWidth="1" min="16" max="16" width="10.25"/>
    <col customWidth="1" min="17" max="17" width="9.88"/>
    <col customWidth="1" min="18" max="18" width="10.0"/>
    <col customWidth="1" min="19" max="19" width="8.75"/>
    <col customWidth="1" min="30" max="30" width="11.63"/>
    <col customWidth="1" min="31" max="31" width="11.38"/>
    <col customWidth="1" min="32" max="32" width="11.13"/>
    <col customWidth="1" min="33" max="33" width="10.88"/>
    <col customWidth="1" min="34" max="34" width="10.5"/>
    <col customWidth="1" min="35" max="35" width="15.25"/>
  </cols>
  <sheetData>
    <row r="1" ht="15.75" customHeight="1">
      <c r="A1" s="268" t="s">
        <v>563</v>
      </c>
      <c r="B1" s="112"/>
      <c r="C1" s="112"/>
      <c r="D1" s="112"/>
      <c r="E1" s="85"/>
      <c r="F1" s="123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</row>
    <row r="2" ht="15.75" customHeight="1">
      <c r="A2" s="269" t="s">
        <v>483</v>
      </c>
      <c r="B2" s="270">
        <f>'TNT 2015-2022'!B2</f>
        <v>61805534</v>
      </c>
      <c r="D2" s="112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</row>
    <row r="3" ht="15.75" customHeight="1">
      <c r="A3" s="85"/>
      <c r="B3" s="112"/>
      <c r="C3" s="112"/>
      <c r="D3" s="112"/>
      <c r="E3" s="85"/>
      <c r="F3" s="85"/>
      <c r="G3" s="85"/>
      <c r="H3" s="85" t="s">
        <v>564</v>
      </c>
      <c r="I3" s="85" t="s">
        <v>486</v>
      </c>
      <c r="J3" s="85" t="s">
        <v>565</v>
      </c>
      <c r="K3" s="85"/>
      <c r="L3" s="85" t="s">
        <v>487</v>
      </c>
      <c r="M3" s="85" t="s">
        <v>566</v>
      </c>
      <c r="P3" s="85"/>
      <c r="Q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ht="15.75" customHeight="1">
      <c r="A4" s="63" t="s">
        <v>488</v>
      </c>
      <c r="B4" s="64">
        <v>1522.0</v>
      </c>
      <c r="C4" s="65"/>
      <c r="D4" s="66"/>
      <c r="E4" s="85"/>
      <c r="F4" s="85"/>
      <c r="G4" s="85"/>
      <c r="H4" s="271" t="str">
        <f>'Forest Types Summary 2015-2023'!A2</f>
        <v>Dense Forest</v>
      </c>
      <c r="I4" s="272" t="str">
        <f t="shared" ref="I4:J4" si="1">AK22</f>
        <v>#N/A</v>
      </c>
      <c r="J4" s="273" t="str">
        <f t="shared" si="1"/>
        <v>#N/A</v>
      </c>
      <c r="K4" s="85" t="str">
        <f t="shared" ref="K4:K12" si="4">H4</f>
        <v>Dense Forest</v>
      </c>
      <c r="L4" s="272" t="str">
        <f t="shared" ref="L4:M4" si="2">AK32</f>
        <v>#N/A</v>
      </c>
      <c r="M4" s="274" t="str">
        <f t="shared" si="2"/>
        <v>#N/A</v>
      </c>
      <c r="P4" s="85"/>
      <c r="Q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ht="15.75" customHeight="1">
      <c r="A5" s="275" t="s">
        <v>489</v>
      </c>
      <c r="B5" s="276" t="s">
        <v>509</v>
      </c>
      <c r="C5" s="276" t="s">
        <v>491</v>
      </c>
      <c r="D5" s="277" t="s">
        <v>492</v>
      </c>
      <c r="F5" s="85"/>
      <c r="G5" s="85"/>
      <c r="H5" s="271" t="str">
        <f>'Forest Types Summary 2015-2023'!A3</f>
        <v>Dense Dry Forest</v>
      </c>
      <c r="I5" s="272" t="str">
        <f t="shared" ref="I5:J5" si="3">AK23</f>
        <v>#N/A</v>
      </c>
      <c r="J5" s="273" t="str">
        <f t="shared" si="3"/>
        <v>#N/A</v>
      </c>
      <c r="K5" s="85" t="str">
        <f t="shared" si="4"/>
        <v>Dense Dry Forest</v>
      </c>
      <c r="L5" s="272" t="str">
        <f t="shared" ref="L5:M5" si="5">AK33</f>
        <v>#N/A</v>
      </c>
      <c r="M5" s="274" t="str">
        <f t="shared" si="5"/>
        <v>#N/A</v>
      </c>
      <c r="P5" s="85"/>
      <c r="Q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</row>
    <row r="6" ht="15.75" customHeight="1">
      <c r="A6" s="278">
        <v>1.0</v>
      </c>
      <c r="B6" s="279">
        <f>'TNT 2015-2022'!B6</f>
        <v>50116708</v>
      </c>
      <c r="C6" s="280">
        <f t="shared" ref="C6:C10" si="8">B6/$B$11</f>
        <v>0.8108773561</v>
      </c>
      <c r="D6" s="281">
        <f>'TNT 2015-2022'!D6</f>
        <v>3</v>
      </c>
      <c r="F6" s="85"/>
      <c r="G6" s="85"/>
      <c r="H6" s="271" t="str">
        <f>'Forest Types Summary 2015-2023'!A4</f>
        <v>Secondary Forest</v>
      </c>
      <c r="I6" s="272" t="str">
        <f t="shared" ref="I6:J6" si="6">AK24</f>
        <v>#N/A</v>
      </c>
      <c r="J6" s="273" t="str">
        <f t="shared" si="6"/>
        <v>#N/A</v>
      </c>
      <c r="K6" s="85" t="str">
        <f t="shared" si="4"/>
        <v>Secondary Forest</v>
      </c>
      <c r="L6" s="272" t="str">
        <f t="shared" ref="L6:M6" si="7">AK34</f>
        <v>#N/A</v>
      </c>
      <c r="M6" s="274" t="str">
        <f t="shared" si="7"/>
        <v>#N/A</v>
      </c>
      <c r="P6" s="85"/>
      <c r="Q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</row>
    <row r="7" ht="15.75" customHeight="1">
      <c r="A7" s="278">
        <v>2.0</v>
      </c>
      <c r="B7" s="279">
        <f>'TNT 2015-2022'!B7</f>
        <v>5225079</v>
      </c>
      <c r="C7" s="280">
        <f t="shared" si="8"/>
        <v>0.08454063353</v>
      </c>
      <c r="D7" s="281">
        <f>'TNT 2015-2022'!D7</f>
        <v>0</v>
      </c>
      <c r="F7" s="85"/>
      <c r="G7" s="85"/>
      <c r="H7" s="271" t="str">
        <f>'Forest Types Summary 2015-2023'!A5</f>
        <v>Dry Open Forest</v>
      </c>
      <c r="I7" s="272" t="str">
        <f t="shared" ref="I7:J7" si="9">AK25</f>
        <v>#N/A</v>
      </c>
      <c r="J7" s="273" t="str">
        <f t="shared" si="9"/>
        <v>#N/A</v>
      </c>
      <c r="K7" s="85" t="str">
        <f t="shared" si="4"/>
        <v>Dry Open Forest</v>
      </c>
      <c r="L7" s="272" t="str">
        <f t="shared" ref="L7:M7" si="10">AK35</f>
        <v>#N/A</v>
      </c>
      <c r="M7" s="274" t="str">
        <f t="shared" si="10"/>
        <v>#N/A</v>
      </c>
      <c r="P7" s="85"/>
      <c r="Q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</row>
    <row r="8" ht="15.75" customHeight="1">
      <c r="A8" s="278">
        <v>3.0</v>
      </c>
      <c r="B8" s="279">
        <f>'TNT 2015-2022'!B8</f>
        <v>3936262</v>
      </c>
      <c r="C8" s="280">
        <f t="shared" si="8"/>
        <v>0.06368785682</v>
      </c>
      <c r="D8" s="281">
        <f>'TNT 2015-2022'!D8</f>
        <v>0</v>
      </c>
      <c r="F8" s="85"/>
      <c r="G8" s="85"/>
      <c r="H8" s="271" t="str">
        <f>'Forest Types Summary 2015-2023'!A6</f>
        <v>Mangrove</v>
      </c>
      <c r="I8" s="272" t="str">
        <f t="shared" ref="I8:J8" si="11">AK26</f>
        <v>#N/A</v>
      </c>
      <c r="J8" s="273" t="str">
        <f t="shared" si="11"/>
        <v>#N/A</v>
      </c>
      <c r="K8" s="85" t="str">
        <f t="shared" si="4"/>
        <v>Mangrove</v>
      </c>
      <c r="L8" s="272" t="str">
        <f t="shared" ref="L8:M8" si="12">AK36</f>
        <v>#N/A</v>
      </c>
      <c r="M8" s="274" t="str">
        <f t="shared" si="12"/>
        <v>#N/A</v>
      </c>
      <c r="P8" s="85"/>
      <c r="Q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</row>
    <row r="9" ht="15.75" customHeight="1">
      <c r="A9" s="278">
        <v>4.0</v>
      </c>
      <c r="B9" s="279">
        <f>'TNT 2015-2022'!B9</f>
        <v>1904772</v>
      </c>
      <c r="C9" s="280">
        <f t="shared" si="8"/>
        <v>0.03081879367</v>
      </c>
      <c r="D9" s="281">
        <f>'TNT 2015-2022'!D9</f>
        <v>0</v>
      </c>
      <c r="F9" s="227"/>
      <c r="G9" s="85"/>
      <c r="H9" s="271" t="str">
        <f>'Forest Types Summary 2015-2023'!A7</f>
        <v>Swamp</v>
      </c>
      <c r="I9" s="272" t="str">
        <f t="shared" ref="I9:J9" si="13">AK27</f>
        <v>#N/A</v>
      </c>
      <c r="J9" s="273" t="str">
        <f t="shared" si="13"/>
        <v>#N/A</v>
      </c>
      <c r="K9" s="85" t="str">
        <f t="shared" si="4"/>
        <v>Swamp</v>
      </c>
      <c r="L9" s="272" t="str">
        <f t="shared" ref="L9:M9" si="14">AK37</f>
        <v>#N/A</v>
      </c>
      <c r="M9" s="274" t="str">
        <f t="shared" si="14"/>
        <v>#N/A</v>
      </c>
      <c r="P9" s="85"/>
      <c r="Q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</row>
    <row r="10" ht="15.75" customHeight="1">
      <c r="A10" s="278">
        <v>5.0</v>
      </c>
      <c r="B10" s="279">
        <f>'TNT 2015-2022'!B10</f>
        <v>622713</v>
      </c>
      <c r="C10" s="280">
        <f t="shared" si="8"/>
        <v>0.01007535992</v>
      </c>
      <c r="D10" s="281">
        <f>'TNT 2015-2022'!D10</f>
        <v>0</v>
      </c>
      <c r="F10" s="227"/>
      <c r="G10" s="85"/>
      <c r="H10" s="271" t="str">
        <f>'Forest Types Summary 2015-2023'!A8</f>
        <v>Gallery</v>
      </c>
      <c r="I10" s="272" t="str">
        <f t="shared" ref="I10:J10" si="15">AK28</f>
        <v>#N/A</v>
      </c>
      <c r="J10" s="273" t="str">
        <f t="shared" si="15"/>
        <v>#N/A</v>
      </c>
      <c r="K10" s="85" t="str">
        <f t="shared" si="4"/>
        <v>Gallery</v>
      </c>
      <c r="L10" s="272" t="str">
        <f t="shared" ref="L10:M10" si="16">AK38</f>
        <v>#N/A</v>
      </c>
      <c r="M10" s="274" t="str">
        <f t="shared" si="16"/>
        <v>#N/A</v>
      </c>
      <c r="P10" s="85"/>
      <c r="Q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</row>
    <row r="11" ht="15.75" customHeight="1">
      <c r="A11" s="282" t="s">
        <v>506</v>
      </c>
      <c r="B11" s="283">
        <f t="shared" ref="B11:D11" si="17">SUM(B6:B10)</f>
        <v>61805534</v>
      </c>
      <c r="C11" s="284">
        <f t="shared" si="17"/>
        <v>1</v>
      </c>
      <c r="D11" s="285">
        <f t="shared" si="17"/>
        <v>3</v>
      </c>
      <c r="F11" s="227"/>
      <c r="G11" s="85"/>
      <c r="H11" s="271" t="str">
        <f>'Forest Types Summary 2015-2023'!A9</f>
        <v>Plantation</v>
      </c>
      <c r="I11" s="272" t="str">
        <f t="shared" ref="I11:J11" si="18">AK29</f>
        <v>#N/A</v>
      </c>
      <c r="J11" s="273" t="str">
        <f t="shared" si="18"/>
        <v>#N/A</v>
      </c>
      <c r="K11" s="85" t="str">
        <f t="shared" si="4"/>
        <v>Plantation</v>
      </c>
      <c r="L11" s="272" t="str">
        <f t="shared" ref="L11:M11" si="19">AK39</f>
        <v>#N/A</v>
      </c>
      <c r="M11" s="274" t="str">
        <f t="shared" si="19"/>
        <v>#N/A</v>
      </c>
      <c r="P11" s="85"/>
      <c r="Q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</row>
    <row r="12" ht="15.75" customHeight="1">
      <c r="A12" s="82" t="s">
        <v>247</v>
      </c>
      <c r="B12" s="83" t="str">
        <f t="array" ref="B12">IFERROR("$" &amp; SUBSTITUTE(ADDRESS(1, MATCH(A12, INDIRECT("'" &amp; $B$16 &amp; "'!1:1"), 0), 4), "1", ""), "Not Found")
</f>
        <v>$AB</v>
      </c>
      <c r="C12" s="85"/>
      <c r="D12" s="85"/>
      <c r="E12" s="85"/>
      <c r="F12" s="85"/>
      <c r="G12" s="216"/>
      <c r="H12" s="271" t="str">
        <f>'Forest Types Summary 2015-2023'!A10</f>
        <v>Woodland</v>
      </c>
      <c r="I12" s="272" t="str">
        <f t="shared" ref="I12:J12" si="20">AK30</f>
        <v>#N/A</v>
      </c>
      <c r="J12" s="273" t="str">
        <f t="shared" si="20"/>
        <v>#N/A</v>
      </c>
      <c r="K12" s="85" t="str">
        <f t="shared" si="4"/>
        <v>Woodland</v>
      </c>
      <c r="L12" s="272" t="str">
        <f t="shared" ref="L12:M12" si="21">AK40</f>
        <v>#N/A</v>
      </c>
      <c r="M12" s="274" t="str">
        <f t="shared" si="21"/>
        <v>#N/A</v>
      </c>
      <c r="P12" s="85"/>
      <c r="Q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</row>
    <row r="13" ht="15.75" customHeight="1">
      <c r="A13" s="29"/>
      <c r="B13" s="85"/>
      <c r="C13" s="85"/>
      <c r="D13" s="85"/>
      <c r="E13" s="85"/>
      <c r="F13" s="85"/>
      <c r="G13" s="216"/>
      <c r="H13" s="271" t="str">
        <f>'Forest Types Summary 2015-2023'!A11</f>
        <v>Shrubland</v>
      </c>
      <c r="I13" s="272" t="str">
        <f t="shared" ref="I13:J13" si="22">AK31</f>
        <v/>
      </c>
      <c r="J13" s="273" t="str">
        <f t="shared" si="22"/>
        <v/>
      </c>
      <c r="K13" s="85"/>
      <c r="L13" s="272" t="str">
        <f t="shared" ref="L13:M13" si="23">AK41</f>
        <v/>
      </c>
      <c r="M13" s="286" t="str">
        <f t="shared" si="23"/>
        <v/>
      </c>
      <c r="P13" s="85"/>
      <c r="Q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</row>
    <row r="14" ht="15.75" customHeight="1">
      <c r="A14" s="87" t="s">
        <v>493</v>
      </c>
      <c r="B14" s="88">
        <v>1.645</v>
      </c>
      <c r="D14" s="85"/>
      <c r="E14" s="85"/>
      <c r="F14" s="85"/>
      <c r="G14" s="85"/>
      <c r="H14" s="271"/>
      <c r="I14" s="272"/>
      <c r="J14" s="273"/>
      <c r="K14" s="85"/>
      <c r="L14" s="272"/>
      <c r="M14" s="286"/>
      <c r="P14" s="85"/>
      <c r="Q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</row>
    <row r="15" ht="15.75" customHeight="1">
      <c r="A15" s="85"/>
      <c r="B15" s="29"/>
      <c r="C15" s="85"/>
      <c r="D15" s="85"/>
      <c r="E15" s="85"/>
      <c r="F15" s="85"/>
      <c r="G15" s="85"/>
      <c r="H15" s="271"/>
      <c r="I15" s="272"/>
      <c r="J15" s="273"/>
      <c r="K15" s="85"/>
      <c r="L15" s="272"/>
      <c r="M15" s="286"/>
      <c r="P15" s="85"/>
      <c r="Q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</row>
    <row r="16" ht="15.75" customHeight="1">
      <c r="A16" s="89" t="s">
        <v>8</v>
      </c>
      <c r="B16" s="90" t="s">
        <v>27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</row>
    <row r="17" ht="15.75" customHeight="1">
      <c r="A17" s="91" t="s">
        <v>163</v>
      </c>
      <c r="B17" s="92" t="str">
        <f t="shared" ref="B17:B20" si="24">IFERROR("$" &amp; SUBSTITUTE(ADDRESS(1, MATCH(A17, INDIRECT("'" &amp; $B$16 &amp; "'!1:1"), 0), 4), "1", ""), "Not Found")
</f>
        <v>$C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</row>
    <row r="18" ht="15.75" customHeight="1">
      <c r="A18" s="233" t="s">
        <v>253</v>
      </c>
      <c r="B18" s="92" t="str">
        <f t="shared" si="24"/>
        <v>$AD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</row>
    <row r="19" ht="15.75" customHeight="1">
      <c r="A19" s="82" t="s">
        <v>259</v>
      </c>
      <c r="B19" s="92" t="str">
        <f t="shared" si="24"/>
        <v>$AF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ht="15.75" customHeight="1">
      <c r="A20" s="82" t="s">
        <v>462</v>
      </c>
      <c r="B20" s="92" t="str">
        <f t="shared" si="24"/>
        <v>$DC</v>
      </c>
      <c r="C20" s="85"/>
      <c r="D20" s="229" t="s">
        <v>494</v>
      </c>
      <c r="E20" s="65"/>
      <c r="F20" s="65"/>
      <c r="G20" s="65"/>
      <c r="H20" s="65"/>
      <c r="I20" s="66"/>
      <c r="J20" s="231" t="s">
        <v>495</v>
      </c>
      <c r="K20" s="65"/>
      <c r="L20" s="65"/>
      <c r="M20" s="65"/>
      <c r="N20" s="65"/>
      <c r="O20" s="231" t="s">
        <v>496</v>
      </c>
      <c r="P20" s="65"/>
      <c r="Q20" s="65"/>
      <c r="R20" s="65"/>
      <c r="S20" s="65"/>
      <c r="T20" s="98" t="s">
        <v>497</v>
      </c>
      <c r="U20" s="65"/>
      <c r="V20" s="65"/>
      <c r="W20" s="65"/>
      <c r="X20" s="65"/>
      <c r="Y20" s="98" t="s">
        <v>498</v>
      </c>
      <c r="Z20" s="65"/>
      <c r="AA20" s="65"/>
      <c r="AB20" s="65"/>
      <c r="AC20" s="65"/>
      <c r="AD20" s="98" t="s">
        <v>499</v>
      </c>
      <c r="AE20" s="65"/>
      <c r="AF20" s="65"/>
      <c r="AG20" s="65"/>
      <c r="AH20" s="66"/>
    </row>
    <row r="21" ht="15.75" customHeight="1">
      <c r="A21" s="287" t="s">
        <v>486</v>
      </c>
      <c r="B21" s="89" t="s">
        <v>471</v>
      </c>
      <c r="C21" s="89" t="s">
        <v>567</v>
      </c>
      <c r="D21" s="234">
        <v>1.0</v>
      </c>
      <c r="E21" s="235">
        <v>2.0</v>
      </c>
      <c r="F21" s="235">
        <v>3.0</v>
      </c>
      <c r="G21" s="235">
        <v>4.0</v>
      </c>
      <c r="H21" s="234">
        <v>5.0</v>
      </c>
      <c r="I21" s="89" t="s">
        <v>500</v>
      </c>
      <c r="J21" s="234">
        <v>1.0</v>
      </c>
      <c r="K21" s="234">
        <v>2.0</v>
      </c>
      <c r="L21" s="234">
        <v>3.0</v>
      </c>
      <c r="M21" s="234">
        <v>4.0</v>
      </c>
      <c r="N21" s="234">
        <v>5.0</v>
      </c>
      <c r="O21" s="234">
        <v>1.0</v>
      </c>
      <c r="P21" s="234">
        <v>2.0</v>
      </c>
      <c r="Q21" s="234">
        <v>3.0</v>
      </c>
      <c r="R21" s="234">
        <v>4.0</v>
      </c>
      <c r="S21" s="234">
        <v>5.0</v>
      </c>
      <c r="T21" s="99">
        <v>1.0</v>
      </c>
      <c r="U21" s="99">
        <v>2.0</v>
      </c>
      <c r="V21" s="99">
        <v>3.0</v>
      </c>
      <c r="W21" s="99">
        <v>4.0</v>
      </c>
      <c r="X21" s="99">
        <v>5.0</v>
      </c>
      <c r="Y21" s="100">
        <v>1.0</v>
      </c>
      <c r="Z21" s="100">
        <v>2.0</v>
      </c>
      <c r="AA21" s="100">
        <v>3.0</v>
      </c>
      <c r="AB21" s="100">
        <v>4.0</v>
      </c>
      <c r="AC21" s="100">
        <v>5.0</v>
      </c>
      <c r="AD21" s="101">
        <v>1.0</v>
      </c>
      <c r="AE21" s="101">
        <v>2.0</v>
      </c>
      <c r="AF21" s="101">
        <v>3.0</v>
      </c>
      <c r="AG21" s="101">
        <v>4.0</v>
      </c>
      <c r="AH21" s="101">
        <v>5.0</v>
      </c>
      <c r="AI21" s="97" t="s">
        <v>501</v>
      </c>
      <c r="AJ21" s="97" t="s">
        <v>502</v>
      </c>
      <c r="AK21" s="63" t="s">
        <v>503</v>
      </c>
      <c r="AL21" s="89" t="s">
        <v>504</v>
      </c>
      <c r="AM21" s="89" t="s">
        <v>505</v>
      </c>
    </row>
    <row r="22" ht="15.75" customHeight="1">
      <c r="A22" s="271" t="s">
        <v>348</v>
      </c>
      <c r="B22" s="92" t="str">
        <f t="shared" ref="B22:B30" si="26">IFERROR("$" &amp; SUBSTITUTE(ADDRESS(1, MATCH(A22, INDIRECT("'" &amp; $B$16 &amp; "'!1:1"), 0), 4), "1", ""), "Not Found")
</f>
        <v>$BO</v>
      </c>
      <c r="C22" s="288">
        <v>1.0</v>
      </c>
      <c r="D22" s="289">
        <f t="shared" ref="D22:H22" si="25">COUNTIFS(INDIRECT("'" &amp; $B$16 &amp; "'!" &amp; $B$17 &amp; ":" &amp; $B$17),D$21,INDIRECT("'" &amp; $B$16 &amp; "'!" &amp; $B22 &amp; ":" &amp; $B22),1,INDIRECT("'" &amp; $B$16 &amp; "'!" &amp; $B$12 &amp; ":" &amp; $B$12), "*" &amp; $B$4 &amp; "*")
</f>
        <v>0</v>
      </c>
      <c r="E22" s="289">
        <f t="shared" si="25"/>
        <v>0</v>
      </c>
      <c r="F22" s="289">
        <f t="shared" si="25"/>
        <v>0</v>
      </c>
      <c r="G22" s="289">
        <f t="shared" si="25"/>
        <v>0</v>
      </c>
      <c r="H22" s="289">
        <f t="shared" si="25"/>
        <v>0</v>
      </c>
      <c r="I22" s="289">
        <f t="shared" ref="I22:I30" si="28">SUM(D22:H22)</f>
        <v>0</v>
      </c>
      <c r="J22" s="290">
        <f>IFERROR(__xludf.DUMMYFUNCTION("VAR.S(FILTER(INDIRECT(""'"" &amp; $B$16 &amp; ""'!"" &amp; $B22 &amp; "":"" &amp; $B22), INDIRECT(""'"" &amp; $B$16 &amp; ""'!"" &amp; $B$17 &amp; "":"" &amp; $B$17) = J$21, ISNUMBER(SEARCH($B$4, INDIRECT(""'"" &amp; $B$16 &amp; ""'!"" &amp; $B$12 &amp; "":"" &amp; $B$12)))))/$D$6"),0.0)</f>
        <v>0</v>
      </c>
      <c r="K22" s="290" t="str">
        <f>IFERROR(__xludf.DUMMYFUNCTION("VAR.S(FILTER(INDIRECT(""'"" &amp; $B$16 &amp; ""'!"" &amp; $B22 &amp; "":"" &amp; $B22), INDIRECT(""'"" &amp; $B$16 &amp; ""'!"" &amp; $B$17 &amp; "":"" &amp; $B$17) = K$21, ISNUMBER(SEARCH($B$4, INDIRECT(""'"" &amp; $B$16 &amp; ""'!"" &amp; $B$12 &amp; "":"" &amp; $B$12)))))/$D$7"),"#N/A")</f>
        <v>#N/A</v>
      </c>
      <c r="L22" s="290" t="str">
        <f>IFERROR(__xludf.DUMMYFUNCTION("VAR.S(FILTER(INDIRECT(""'"" &amp; $B$16 &amp; ""'!"" &amp; $B22 &amp; "":"" &amp; $B22), INDIRECT(""'"" &amp; $B$16 &amp; ""'!"" &amp; $B$17 &amp; "":"" &amp; $B$17) = L$21, ISNUMBER(SEARCH($B$4, INDIRECT(""'"" &amp; $B$16 &amp; ""'!"" &amp; $B$12 &amp; "":"" &amp; $B$12)))))/$D$8"),"#N/A")</f>
        <v>#N/A</v>
      </c>
      <c r="M22" s="290" t="str">
        <f>IFERROR(__xludf.DUMMYFUNCTION("VAR.S(FILTER(INDIRECT(""'"" &amp; $B$16 &amp; ""'!"" &amp; $B22 &amp; "":"" &amp; $B22), INDIRECT(""'"" &amp; $B$16 &amp; ""'!"" &amp; $B$17 &amp; "":"" &amp; $B$17) = M$21, ISNUMBER(SEARCH($B$4, INDIRECT(""'"" &amp; $B$16 &amp; ""'!"" &amp; $B$12 &amp; "":"" &amp; $B$12)))))/$D$9"),"#N/A")</f>
        <v>#N/A</v>
      </c>
      <c r="N22" s="290" t="str">
        <f>IFERROR(__xludf.DUMMYFUNCTION("VAR.S(FILTER(INDIRECT(""'"" &amp; $B$16 &amp; ""'!"" &amp; $B22 &amp; "":"" &amp; $B22), INDIRECT(""'"" &amp; $B$16 &amp; ""'!"" &amp; $B$17 &amp; "":"" &amp; $B$17) = N$21, ISNUMBER(SEARCH($B$4, INDIRECT(""'"" &amp; $B$16 &amp; ""'!"" &amp; $B$12 &amp; "":"" &amp; $B$12)))))/$D$10"),"#N/A")</f>
        <v>#N/A</v>
      </c>
      <c r="O22" s="291">
        <f>IFERROR(__xludf.DUMMYFUNCTION("AVERAGE(FILTER(INDIRECT(""'"" &amp; $B$16 &amp; ""'!"" &amp; $B22 &amp; "":"" &amp; $B22), INDIRECT(""'"" &amp; $B$16 &amp; ""'!"" &amp; $B$17 &amp; "":"" &amp; $B$17) = O$21, ISNUMBER(SEARCH($B$4, INDIRECT(""'"" &amp; $B$16 &amp; ""'!"" &amp; $B$12 &amp; "":"" &amp; $B$12)))))"),0.0)</f>
        <v>0</v>
      </c>
      <c r="P22" s="291" t="str">
        <f>IFERROR(__xludf.DUMMYFUNCTION("AVERAGE(FILTER(INDIRECT(""'"" &amp; $B$16 &amp; ""'!"" &amp; $B22 &amp; "":"" &amp; $B22), INDIRECT(""'"" &amp; $B$16 &amp; ""'!"" &amp; $B$17 &amp; "":"" &amp; $B$17) = P$21, ISNUMBER(SEARCH($B$4, INDIRECT(""'"" &amp; $B$16 &amp; ""'!"" &amp; $B$12 &amp; "":"" &amp; $B$12)))))"),"#N/A")</f>
        <v>#N/A</v>
      </c>
      <c r="Q22" s="291" t="str">
        <f>IFERROR(__xludf.DUMMYFUNCTION("AVERAGE(FILTER(INDIRECT(""'"" &amp; $B$16 &amp; ""'!"" &amp; $B22 &amp; "":"" &amp; $B22), INDIRECT(""'"" &amp; $B$16 &amp; ""'!"" &amp; $B$17 &amp; "":"" &amp; $B$17) = Q$21, ISNUMBER(SEARCH($B$4, INDIRECT(""'"" &amp; $B$16 &amp; ""'!"" &amp; $B$12 &amp; "":"" &amp; $B$12)))))"),"#N/A")</f>
        <v>#N/A</v>
      </c>
      <c r="R22" s="291" t="str">
        <f>IFERROR(__xludf.DUMMYFUNCTION("AVERAGE(FILTER(INDIRECT(""'"" &amp; $B$16 &amp; ""'!"" &amp; $B22 &amp; "":"" &amp; $B22), INDIRECT(""'"" &amp; $B$16 &amp; ""'!"" &amp; $B$17 &amp; "":"" &amp; $B$17) = R$21, ISNUMBER(SEARCH($B$4, INDIRECT(""'"" &amp; $B$16 &amp; ""'!"" &amp; $B$12 &amp; "":"" &amp; $B$12)))))"),"#N/A")</f>
        <v>#N/A</v>
      </c>
      <c r="S22" s="291" t="str">
        <f>IFERROR(__xludf.DUMMYFUNCTION("AVERAGE(FILTER(INDIRECT(""'"" &amp; $B$16 &amp; ""'!"" &amp; $B22 &amp; "":"" &amp; $B22), INDIRECT(""'"" &amp; $B$16 &amp; ""'!"" &amp; $B$17 &amp; "":"" &amp; $B$17) = S$21, ISNUMBER(SEARCH($B$4, INDIRECT(""'"" &amp; $B$16 &amp; ""'!"" &amp; $B$12 &amp; "":"" &amp; $B$12)))))"),"#N/A")</f>
        <v>#N/A</v>
      </c>
      <c r="T22" s="106">
        <f t="shared" ref="T22:T30" si="29">($B$6^2*J22)^0.5</f>
        <v>0</v>
      </c>
      <c r="U22" s="106" t="str">
        <f t="shared" ref="U22:U30" si="30">($B$7^2*K22)^0.5</f>
        <v>#N/A</v>
      </c>
      <c r="V22" s="106" t="str">
        <f t="shared" ref="V22:V30" si="31">($B$8^2*L22)^0.5</f>
        <v>#N/A</v>
      </c>
      <c r="W22" s="106" t="str">
        <f t="shared" ref="W22:W30" si="32">($B$9^2*M22)^0.5</f>
        <v>#N/A</v>
      </c>
      <c r="X22" s="106" t="str">
        <f t="shared" ref="X22:X30" si="33">($B$10^2*N22)^0.5</f>
        <v>#N/A</v>
      </c>
      <c r="Y22" s="106">
        <f t="shared" ref="Y22:Y30" si="34">O22*$B$6</f>
        <v>0</v>
      </c>
      <c r="Z22" s="106" t="str">
        <f t="shared" ref="Z22:Z30" si="35">P22*$B$7</f>
        <v>#N/A</v>
      </c>
      <c r="AA22" s="106" t="str">
        <f t="shared" ref="AA22:AA30" si="36">Q22*$B$8</f>
        <v>#N/A</v>
      </c>
      <c r="AB22" s="106" t="str">
        <f t="shared" ref="AB22:AB30" si="37">R22*$B$9</f>
        <v>#N/A</v>
      </c>
      <c r="AC22" s="106" t="str">
        <f t="shared" ref="AC22:AC30" si="38">S22*$B$10</f>
        <v>#N/A</v>
      </c>
      <c r="AD22" s="107">
        <f t="shared" ref="AD22:AD30" si="39">O22*$C$6</f>
        <v>0</v>
      </c>
      <c r="AE22" s="107" t="str">
        <f t="shared" ref="AE22:AE30" si="40">P22*$C$7</f>
        <v>#N/A</v>
      </c>
      <c r="AF22" s="107" t="str">
        <f t="shared" ref="AF22:AF30" si="41">Q22*$C$8</f>
        <v>#N/A</v>
      </c>
      <c r="AG22" s="107" t="str">
        <f t="shared" ref="AG22:AG30" si="42">R22*$C$9</f>
        <v>#N/A</v>
      </c>
      <c r="AH22" s="107" t="str">
        <f t="shared" ref="AH22:AH30" si="43">S22*$C$10</f>
        <v>#N/A</v>
      </c>
      <c r="AI22" s="106" t="str">
        <f t="shared" ref="AI22:AI30" si="44">(T22*T22+U22*U22+V22*V22+W22*W22+X22*X22)^0.5</f>
        <v>#N/A</v>
      </c>
      <c r="AJ22" s="106" t="str">
        <f t="shared" ref="AJ22:AJ30" si="45">AI22*$B$14</f>
        <v>#N/A</v>
      </c>
      <c r="AK22" s="108" t="str">
        <f t="shared" ref="AK22:AK30" si="46">SUM(Y22:AC22)</f>
        <v>#N/A</v>
      </c>
      <c r="AL22" s="109" t="str">
        <f t="shared" ref="AL22:AL30" si="47">IF(AJ22=0,0,AJ22/AK22)</f>
        <v>#N/A</v>
      </c>
      <c r="AM22" s="110" t="str">
        <f t="shared" ref="AM22:AM30" si="48">AK22/$B$2</f>
        <v>#N/A</v>
      </c>
    </row>
    <row r="23" ht="15.75" customHeight="1">
      <c r="A23" s="271" t="s">
        <v>351</v>
      </c>
      <c r="B23" s="90" t="str">
        <f t="shared" si="26"/>
        <v>$BP</v>
      </c>
      <c r="C23" s="288">
        <v>2.0</v>
      </c>
      <c r="D23" s="289">
        <f t="shared" ref="D23:H23" si="27">COUNTIFS(INDIRECT("'" &amp; $B$16 &amp; "'!" &amp; $B$17 &amp; ":" &amp; $B$17),D$21,INDIRECT("'" &amp; $B$16 &amp; "'!" &amp; $B23 &amp; ":" &amp; $B23),1,INDIRECT("'" &amp; $B$16 &amp; "'!" &amp; $B$12 &amp; ":" &amp; $B$12), "*" &amp; $B$4 &amp; "*")
</f>
        <v>0</v>
      </c>
      <c r="E23" s="289">
        <f t="shared" si="27"/>
        <v>0</v>
      </c>
      <c r="F23" s="289">
        <f t="shared" si="27"/>
        <v>0</v>
      </c>
      <c r="G23" s="289">
        <f t="shared" si="27"/>
        <v>0</v>
      </c>
      <c r="H23" s="289">
        <f t="shared" si="27"/>
        <v>0</v>
      </c>
      <c r="I23" s="289">
        <f t="shared" si="28"/>
        <v>0</v>
      </c>
      <c r="J23" s="290">
        <f>IFERROR(__xludf.DUMMYFUNCTION("VAR.S(FILTER(INDIRECT(""'"" &amp; $B$16 &amp; ""'!"" &amp; $B23 &amp; "":"" &amp; $B23), INDIRECT(""'"" &amp; $B$16 &amp; ""'!"" &amp; $B$17 &amp; "":"" &amp; $B$17) = J$21, ISNUMBER(SEARCH($B$4, INDIRECT(""'"" &amp; $B$16 &amp; ""'!"" &amp; $B$12 &amp; "":"" &amp; $B$12)))))/$D$6"),0.0)</f>
        <v>0</v>
      </c>
      <c r="K23" s="290" t="str">
        <f>IFERROR(__xludf.DUMMYFUNCTION("VAR.S(FILTER(INDIRECT(""'"" &amp; $B$16 &amp; ""'!"" &amp; $B23 &amp; "":"" &amp; $B23), INDIRECT(""'"" &amp; $B$16 &amp; ""'!"" &amp; $B$17 &amp; "":"" &amp; $B$17) = K$21, ISNUMBER(SEARCH($B$4, INDIRECT(""'"" &amp; $B$16 &amp; ""'!"" &amp; $B$12 &amp; "":"" &amp; $B$12)))))/$D$7"),"#N/A")</f>
        <v>#N/A</v>
      </c>
      <c r="L23" s="290" t="str">
        <f>IFERROR(__xludf.DUMMYFUNCTION("VAR.S(FILTER(INDIRECT(""'"" &amp; $B$16 &amp; ""'!"" &amp; $B23 &amp; "":"" &amp; $B23), INDIRECT(""'"" &amp; $B$16 &amp; ""'!"" &amp; $B$17 &amp; "":"" &amp; $B$17) = L$21, ISNUMBER(SEARCH($B$4, INDIRECT(""'"" &amp; $B$16 &amp; ""'!"" &amp; $B$12 &amp; "":"" &amp; $B$12)))))/$D$8"),"#N/A")</f>
        <v>#N/A</v>
      </c>
      <c r="M23" s="290" t="str">
        <f>IFERROR(__xludf.DUMMYFUNCTION("VAR.S(FILTER(INDIRECT(""'"" &amp; $B$16 &amp; ""'!"" &amp; $B23 &amp; "":"" &amp; $B23), INDIRECT(""'"" &amp; $B$16 &amp; ""'!"" &amp; $B$17 &amp; "":"" &amp; $B$17) = M$21, ISNUMBER(SEARCH($B$4, INDIRECT(""'"" &amp; $B$16 &amp; ""'!"" &amp; $B$12 &amp; "":"" &amp; $B$12)))))/$D$9"),"#N/A")</f>
        <v>#N/A</v>
      </c>
      <c r="N23" s="290" t="str">
        <f>IFERROR(__xludf.DUMMYFUNCTION("VAR.S(FILTER(INDIRECT(""'"" &amp; $B$16 &amp; ""'!"" &amp; $B23 &amp; "":"" &amp; $B23), INDIRECT(""'"" &amp; $B$16 &amp; ""'!"" &amp; $B$17 &amp; "":"" &amp; $B$17) = N$21, ISNUMBER(SEARCH($B$4, INDIRECT(""'"" &amp; $B$16 &amp; ""'!"" &amp; $B$12 &amp; "":"" &amp; $B$12)))))/$D$10"),"#N/A")</f>
        <v>#N/A</v>
      </c>
      <c r="O23" s="291">
        <f>IFERROR(__xludf.DUMMYFUNCTION("AVERAGE(FILTER(INDIRECT(""'"" &amp; $B$16 &amp; ""'!"" &amp; $B23 &amp; "":"" &amp; $B23), INDIRECT(""'"" &amp; $B$16 &amp; ""'!"" &amp; $B$17 &amp; "":"" &amp; $B$17) = O$21, ISNUMBER(SEARCH($B$4, INDIRECT(""'"" &amp; $B$16 &amp; ""'!"" &amp; $B$12 &amp; "":"" &amp; $B$12)))))"),0.0)</f>
        <v>0</v>
      </c>
      <c r="P23" s="291" t="str">
        <f>IFERROR(__xludf.DUMMYFUNCTION("AVERAGE(FILTER(INDIRECT(""'"" &amp; $B$16 &amp; ""'!"" &amp; $B23 &amp; "":"" &amp; $B23), INDIRECT(""'"" &amp; $B$16 &amp; ""'!"" &amp; $B$17 &amp; "":"" &amp; $B$17) = P$21, ISNUMBER(SEARCH($B$4, INDIRECT(""'"" &amp; $B$16 &amp; ""'!"" &amp; $B$12 &amp; "":"" &amp; $B$12)))))"),"#N/A")</f>
        <v>#N/A</v>
      </c>
      <c r="Q23" s="291" t="str">
        <f>IFERROR(__xludf.DUMMYFUNCTION("AVERAGE(FILTER(INDIRECT(""'"" &amp; $B$16 &amp; ""'!"" &amp; $B23 &amp; "":"" &amp; $B23), INDIRECT(""'"" &amp; $B$16 &amp; ""'!"" &amp; $B$17 &amp; "":"" &amp; $B$17) = Q$21, ISNUMBER(SEARCH($B$4, INDIRECT(""'"" &amp; $B$16 &amp; ""'!"" &amp; $B$12 &amp; "":"" &amp; $B$12)))))"),"#N/A")</f>
        <v>#N/A</v>
      </c>
      <c r="R23" s="291" t="str">
        <f>IFERROR(__xludf.DUMMYFUNCTION("AVERAGE(FILTER(INDIRECT(""'"" &amp; $B$16 &amp; ""'!"" &amp; $B23 &amp; "":"" &amp; $B23), INDIRECT(""'"" &amp; $B$16 &amp; ""'!"" &amp; $B$17 &amp; "":"" &amp; $B$17) = R$21, ISNUMBER(SEARCH($B$4, INDIRECT(""'"" &amp; $B$16 &amp; ""'!"" &amp; $B$12 &amp; "":"" &amp; $B$12)))))"),"#N/A")</f>
        <v>#N/A</v>
      </c>
      <c r="S23" s="291" t="str">
        <f>IFERROR(__xludf.DUMMYFUNCTION("AVERAGE(FILTER(INDIRECT(""'"" &amp; $B$16 &amp; ""'!"" &amp; $B23 &amp; "":"" &amp; $B23), INDIRECT(""'"" &amp; $B$16 &amp; ""'!"" &amp; $B$17 &amp; "":"" &amp; $B$17) = S$21, ISNUMBER(SEARCH($B$4, INDIRECT(""'"" &amp; $B$16 &amp; ""'!"" &amp; $B$12 &amp; "":"" &amp; $B$12)))))"),"#N/A")</f>
        <v>#N/A</v>
      </c>
      <c r="T23" s="106">
        <f t="shared" si="29"/>
        <v>0</v>
      </c>
      <c r="U23" s="106" t="str">
        <f t="shared" si="30"/>
        <v>#N/A</v>
      </c>
      <c r="V23" s="106" t="str">
        <f t="shared" si="31"/>
        <v>#N/A</v>
      </c>
      <c r="W23" s="106" t="str">
        <f t="shared" si="32"/>
        <v>#N/A</v>
      </c>
      <c r="X23" s="106" t="str">
        <f t="shared" si="33"/>
        <v>#N/A</v>
      </c>
      <c r="Y23" s="106">
        <f t="shared" si="34"/>
        <v>0</v>
      </c>
      <c r="Z23" s="106" t="str">
        <f t="shared" si="35"/>
        <v>#N/A</v>
      </c>
      <c r="AA23" s="106" t="str">
        <f t="shared" si="36"/>
        <v>#N/A</v>
      </c>
      <c r="AB23" s="106" t="str">
        <f t="shared" si="37"/>
        <v>#N/A</v>
      </c>
      <c r="AC23" s="106" t="str">
        <f t="shared" si="38"/>
        <v>#N/A</v>
      </c>
      <c r="AD23" s="107">
        <f t="shared" si="39"/>
        <v>0</v>
      </c>
      <c r="AE23" s="107" t="str">
        <f t="shared" si="40"/>
        <v>#N/A</v>
      </c>
      <c r="AF23" s="107" t="str">
        <f t="shared" si="41"/>
        <v>#N/A</v>
      </c>
      <c r="AG23" s="107" t="str">
        <f t="shared" si="42"/>
        <v>#N/A</v>
      </c>
      <c r="AH23" s="107" t="str">
        <f t="shared" si="43"/>
        <v>#N/A</v>
      </c>
      <c r="AI23" s="106" t="str">
        <f t="shared" si="44"/>
        <v>#N/A</v>
      </c>
      <c r="AJ23" s="106" t="str">
        <f t="shared" si="45"/>
        <v>#N/A</v>
      </c>
      <c r="AK23" s="108" t="str">
        <f t="shared" si="46"/>
        <v>#N/A</v>
      </c>
      <c r="AL23" s="109" t="str">
        <f t="shared" si="47"/>
        <v>#N/A</v>
      </c>
      <c r="AM23" s="110" t="str">
        <f t="shared" si="48"/>
        <v>#N/A</v>
      </c>
    </row>
    <row r="24" ht="15.75" customHeight="1">
      <c r="A24" s="271" t="s">
        <v>354</v>
      </c>
      <c r="B24" s="90" t="str">
        <f t="shared" si="26"/>
        <v>$BQ</v>
      </c>
      <c r="C24" s="288">
        <v>3.0</v>
      </c>
      <c r="D24" s="289">
        <f t="shared" ref="D24:H24" si="49">COUNTIFS(INDIRECT("'" &amp; $B$16 &amp; "'!" &amp; $B$17 &amp; ":" &amp; $B$17),D$21,INDIRECT("'" &amp; $B$16 &amp; "'!" &amp; $B24 &amp; ":" &amp; $B24),1,INDIRECT("'" &amp; $B$16 &amp; "'!" &amp; $B$12 &amp; ":" &amp; $B$12), "*" &amp; $B$4 &amp; "*")
</f>
        <v>1</v>
      </c>
      <c r="E24" s="289">
        <f t="shared" si="49"/>
        <v>0</v>
      </c>
      <c r="F24" s="289">
        <f t="shared" si="49"/>
        <v>0</v>
      </c>
      <c r="G24" s="289">
        <f t="shared" si="49"/>
        <v>0</v>
      </c>
      <c r="H24" s="289">
        <f t="shared" si="49"/>
        <v>0</v>
      </c>
      <c r="I24" s="289">
        <f t="shared" si="28"/>
        <v>1</v>
      </c>
      <c r="J24" s="290">
        <f>IFERROR(__xludf.DUMMYFUNCTION("VAR.S(FILTER(INDIRECT(""'"" &amp; $B$16 &amp; ""'!"" &amp; $B24 &amp; "":"" &amp; $B24), INDIRECT(""'"" &amp; $B$16 &amp; ""'!"" &amp; $B$17 &amp; "":"" &amp; $B$17) = J$21, ISNUMBER(SEARCH($B$4, INDIRECT(""'"" &amp; $B$16 &amp; ""'!"" &amp; $B$12 &amp; "":"" &amp; $B$12)))))/$D$6"),0.11111111111111112)</f>
        <v>0.1111111111</v>
      </c>
      <c r="K24" s="290" t="str">
        <f>IFERROR(__xludf.DUMMYFUNCTION("VAR.S(FILTER(INDIRECT(""'"" &amp; $B$16 &amp; ""'!"" &amp; $B24 &amp; "":"" &amp; $B24), INDIRECT(""'"" &amp; $B$16 &amp; ""'!"" &amp; $B$17 &amp; "":"" &amp; $B$17) = K$21, ISNUMBER(SEARCH($B$4, INDIRECT(""'"" &amp; $B$16 &amp; ""'!"" &amp; $B$12 &amp; "":"" &amp; $B$12)))))/$D$7"),"#N/A")</f>
        <v>#N/A</v>
      </c>
      <c r="L24" s="290" t="str">
        <f>IFERROR(__xludf.DUMMYFUNCTION("VAR.S(FILTER(INDIRECT(""'"" &amp; $B$16 &amp; ""'!"" &amp; $B24 &amp; "":"" &amp; $B24), INDIRECT(""'"" &amp; $B$16 &amp; ""'!"" &amp; $B$17 &amp; "":"" &amp; $B$17) = L$21, ISNUMBER(SEARCH($B$4, INDIRECT(""'"" &amp; $B$16 &amp; ""'!"" &amp; $B$12 &amp; "":"" &amp; $B$12)))))/$D$8"),"#N/A")</f>
        <v>#N/A</v>
      </c>
      <c r="M24" s="290" t="str">
        <f>IFERROR(__xludf.DUMMYFUNCTION("VAR.S(FILTER(INDIRECT(""'"" &amp; $B$16 &amp; ""'!"" &amp; $B24 &amp; "":"" &amp; $B24), INDIRECT(""'"" &amp; $B$16 &amp; ""'!"" &amp; $B$17 &amp; "":"" &amp; $B$17) = M$21, ISNUMBER(SEARCH($B$4, INDIRECT(""'"" &amp; $B$16 &amp; ""'!"" &amp; $B$12 &amp; "":"" &amp; $B$12)))))/$D$9"),"#N/A")</f>
        <v>#N/A</v>
      </c>
      <c r="N24" s="290" t="str">
        <f>IFERROR(__xludf.DUMMYFUNCTION("VAR.S(FILTER(INDIRECT(""'"" &amp; $B$16 &amp; ""'!"" &amp; $B24 &amp; "":"" &amp; $B24), INDIRECT(""'"" &amp; $B$16 &amp; ""'!"" &amp; $B$17 &amp; "":"" &amp; $B$17) = N$21, ISNUMBER(SEARCH($B$4, INDIRECT(""'"" &amp; $B$16 &amp; ""'!"" &amp; $B$12 &amp; "":"" &amp; $B$12)))))/$D$10"),"#N/A")</f>
        <v>#N/A</v>
      </c>
      <c r="O24" s="291">
        <f>IFERROR(__xludf.DUMMYFUNCTION("AVERAGE(FILTER(INDIRECT(""'"" &amp; $B$16 &amp; ""'!"" &amp; $B24 &amp; "":"" &amp; $B24), INDIRECT(""'"" &amp; $B$16 &amp; ""'!"" &amp; $B$17 &amp; "":"" &amp; $B$17) = O$21, ISNUMBER(SEARCH($B$4, INDIRECT(""'"" &amp; $B$16 &amp; ""'!"" &amp; $B$12 &amp; "":"" &amp; $B$12)))))"),0.3333333333333333)</f>
        <v>0.3333333333</v>
      </c>
      <c r="P24" s="291" t="str">
        <f>IFERROR(__xludf.DUMMYFUNCTION("AVERAGE(FILTER(INDIRECT(""'"" &amp; $B$16 &amp; ""'!"" &amp; $B24 &amp; "":"" &amp; $B24), INDIRECT(""'"" &amp; $B$16 &amp; ""'!"" &amp; $B$17 &amp; "":"" &amp; $B$17) = P$21, ISNUMBER(SEARCH($B$4, INDIRECT(""'"" &amp; $B$16 &amp; ""'!"" &amp; $B$12 &amp; "":"" &amp; $B$12)))))"),"#N/A")</f>
        <v>#N/A</v>
      </c>
      <c r="Q24" s="291" t="str">
        <f>IFERROR(__xludf.DUMMYFUNCTION("AVERAGE(FILTER(INDIRECT(""'"" &amp; $B$16 &amp; ""'!"" &amp; $B24 &amp; "":"" &amp; $B24), INDIRECT(""'"" &amp; $B$16 &amp; ""'!"" &amp; $B$17 &amp; "":"" &amp; $B$17) = Q$21, ISNUMBER(SEARCH($B$4, INDIRECT(""'"" &amp; $B$16 &amp; ""'!"" &amp; $B$12 &amp; "":"" &amp; $B$12)))))"),"#N/A")</f>
        <v>#N/A</v>
      </c>
      <c r="R24" s="291" t="str">
        <f>IFERROR(__xludf.DUMMYFUNCTION("AVERAGE(FILTER(INDIRECT(""'"" &amp; $B$16 &amp; ""'!"" &amp; $B24 &amp; "":"" &amp; $B24), INDIRECT(""'"" &amp; $B$16 &amp; ""'!"" &amp; $B$17 &amp; "":"" &amp; $B$17) = R$21, ISNUMBER(SEARCH($B$4, INDIRECT(""'"" &amp; $B$16 &amp; ""'!"" &amp; $B$12 &amp; "":"" &amp; $B$12)))))"),"#N/A")</f>
        <v>#N/A</v>
      </c>
      <c r="S24" s="291" t="str">
        <f>IFERROR(__xludf.DUMMYFUNCTION("AVERAGE(FILTER(INDIRECT(""'"" &amp; $B$16 &amp; ""'!"" &amp; $B24 &amp; "":"" &amp; $B24), INDIRECT(""'"" &amp; $B$16 &amp; ""'!"" &amp; $B$17 &amp; "":"" &amp; $B$17) = S$21, ISNUMBER(SEARCH($B$4, INDIRECT(""'"" &amp; $B$16 &amp; ""'!"" &amp; $B$12 &amp; "":"" &amp; $B$12)))))"),"#N/A")</f>
        <v>#N/A</v>
      </c>
      <c r="T24" s="106">
        <f t="shared" si="29"/>
        <v>16705569.33</v>
      </c>
      <c r="U24" s="106" t="str">
        <f t="shared" si="30"/>
        <v>#N/A</v>
      </c>
      <c r="V24" s="106" t="str">
        <f t="shared" si="31"/>
        <v>#N/A</v>
      </c>
      <c r="W24" s="106" t="str">
        <f t="shared" si="32"/>
        <v>#N/A</v>
      </c>
      <c r="X24" s="106" t="str">
        <f t="shared" si="33"/>
        <v>#N/A</v>
      </c>
      <c r="Y24" s="106">
        <f t="shared" si="34"/>
        <v>16705569.33</v>
      </c>
      <c r="Z24" s="106" t="str">
        <f t="shared" si="35"/>
        <v>#N/A</v>
      </c>
      <c r="AA24" s="106" t="str">
        <f t="shared" si="36"/>
        <v>#N/A</v>
      </c>
      <c r="AB24" s="106" t="str">
        <f t="shared" si="37"/>
        <v>#N/A</v>
      </c>
      <c r="AC24" s="106" t="str">
        <f t="shared" si="38"/>
        <v>#N/A</v>
      </c>
      <c r="AD24" s="107">
        <f t="shared" si="39"/>
        <v>0.270292452</v>
      </c>
      <c r="AE24" s="107" t="str">
        <f t="shared" si="40"/>
        <v>#N/A</v>
      </c>
      <c r="AF24" s="107" t="str">
        <f t="shared" si="41"/>
        <v>#N/A</v>
      </c>
      <c r="AG24" s="107" t="str">
        <f t="shared" si="42"/>
        <v>#N/A</v>
      </c>
      <c r="AH24" s="107" t="str">
        <f t="shared" si="43"/>
        <v>#N/A</v>
      </c>
      <c r="AI24" s="106" t="str">
        <f t="shared" si="44"/>
        <v>#N/A</v>
      </c>
      <c r="AJ24" s="106" t="str">
        <f t="shared" si="45"/>
        <v>#N/A</v>
      </c>
      <c r="AK24" s="108" t="str">
        <f t="shared" si="46"/>
        <v>#N/A</v>
      </c>
      <c r="AL24" s="109" t="str">
        <f t="shared" si="47"/>
        <v>#N/A</v>
      </c>
      <c r="AM24" s="110" t="str">
        <f t="shared" si="48"/>
        <v>#N/A</v>
      </c>
    </row>
    <row r="25" ht="15.75" customHeight="1">
      <c r="A25" s="271" t="s">
        <v>357</v>
      </c>
      <c r="B25" s="90" t="str">
        <f t="shared" si="26"/>
        <v>$BR</v>
      </c>
      <c r="C25" s="288">
        <v>4.0</v>
      </c>
      <c r="D25" s="289">
        <f t="shared" ref="D25:H25" si="50">COUNTIFS(INDIRECT("'" &amp; $B$16 &amp; "'!" &amp; $B$17 &amp; ":" &amp; $B$17),D$21,INDIRECT("'" &amp; $B$16 &amp; "'!" &amp; $B25 &amp; ":" &amp; $B25),1,INDIRECT("'" &amp; $B$16 &amp; "'!" &amp; $B$12 &amp; ":" &amp; $B$12), "*" &amp; $B$4 &amp; "*")
</f>
        <v>0</v>
      </c>
      <c r="E25" s="289">
        <f t="shared" si="50"/>
        <v>0</v>
      </c>
      <c r="F25" s="289">
        <f t="shared" si="50"/>
        <v>0</v>
      </c>
      <c r="G25" s="289">
        <f t="shared" si="50"/>
        <v>0</v>
      </c>
      <c r="H25" s="289">
        <f t="shared" si="50"/>
        <v>0</v>
      </c>
      <c r="I25" s="289">
        <f t="shared" si="28"/>
        <v>0</v>
      </c>
      <c r="J25" s="290">
        <f>IFERROR(__xludf.DUMMYFUNCTION("VAR.S(FILTER(INDIRECT(""'"" &amp; $B$16 &amp; ""'!"" &amp; $B25 &amp; "":"" &amp; $B25), INDIRECT(""'"" &amp; $B$16 &amp; ""'!"" &amp; $B$17 &amp; "":"" &amp; $B$17) = J$21, ISNUMBER(SEARCH($B$4, INDIRECT(""'"" &amp; $B$16 &amp; ""'!"" &amp; $B$12 &amp; "":"" &amp; $B$12)))))/$D$6"),0.0)</f>
        <v>0</v>
      </c>
      <c r="K25" s="290" t="str">
        <f>IFERROR(__xludf.DUMMYFUNCTION("VAR.S(FILTER(INDIRECT(""'"" &amp; $B$16 &amp; ""'!"" &amp; $B25 &amp; "":"" &amp; $B25), INDIRECT(""'"" &amp; $B$16 &amp; ""'!"" &amp; $B$17 &amp; "":"" &amp; $B$17) = K$21, ISNUMBER(SEARCH($B$4, INDIRECT(""'"" &amp; $B$16 &amp; ""'!"" &amp; $B$12 &amp; "":"" &amp; $B$12)))))/$D$7"),"#N/A")</f>
        <v>#N/A</v>
      </c>
      <c r="L25" s="290" t="str">
        <f>IFERROR(__xludf.DUMMYFUNCTION("VAR.S(FILTER(INDIRECT(""'"" &amp; $B$16 &amp; ""'!"" &amp; $B25 &amp; "":"" &amp; $B25), INDIRECT(""'"" &amp; $B$16 &amp; ""'!"" &amp; $B$17 &amp; "":"" &amp; $B$17) = L$21, ISNUMBER(SEARCH($B$4, INDIRECT(""'"" &amp; $B$16 &amp; ""'!"" &amp; $B$12 &amp; "":"" &amp; $B$12)))))/$D$8"),"#N/A")</f>
        <v>#N/A</v>
      </c>
      <c r="M25" s="290" t="str">
        <f>IFERROR(__xludf.DUMMYFUNCTION("VAR.S(FILTER(INDIRECT(""'"" &amp; $B$16 &amp; ""'!"" &amp; $B25 &amp; "":"" &amp; $B25), INDIRECT(""'"" &amp; $B$16 &amp; ""'!"" &amp; $B$17 &amp; "":"" &amp; $B$17) = M$21, ISNUMBER(SEARCH($B$4, INDIRECT(""'"" &amp; $B$16 &amp; ""'!"" &amp; $B$12 &amp; "":"" &amp; $B$12)))))/$D$9"),"#N/A")</f>
        <v>#N/A</v>
      </c>
      <c r="N25" s="290" t="str">
        <f>IFERROR(__xludf.DUMMYFUNCTION("VAR.S(FILTER(INDIRECT(""'"" &amp; $B$16 &amp; ""'!"" &amp; $B25 &amp; "":"" &amp; $B25), INDIRECT(""'"" &amp; $B$16 &amp; ""'!"" &amp; $B$17 &amp; "":"" &amp; $B$17) = N$21, ISNUMBER(SEARCH($B$4, INDIRECT(""'"" &amp; $B$16 &amp; ""'!"" &amp; $B$12 &amp; "":"" &amp; $B$12)))))/$D$10"),"#N/A")</f>
        <v>#N/A</v>
      </c>
      <c r="O25" s="291">
        <f>IFERROR(__xludf.DUMMYFUNCTION("AVERAGE(FILTER(INDIRECT(""'"" &amp; $B$16 &amp; ""'!"" &amp; $B25 &amp; "":"" &amp; $B25), INDIRECT(""'"" &amp; $B$16 &amp; ""'!"" &amp; $B$17 &amp; "":"" &amp; $B$17) = O$21, ISNUMBER(SEARCH($B$4, INDIRECT(""'"" &amp; $B$16 &amp; ""'!"" &amp; $B$12 &amp; "":"" &amp; $B$12)))))"),0.0)</f>
        <v>0</v>
      </c>
      <c r="P25" s="291" t="str">
        <f>IFERROR(__xludf.DUMMYFUNCTION("AVERAGE(FILTER(INDIRECT(""'"" &amp; $B$16 &amp; ""'!"" &amp; $B25 &amp; "":"" &amp; $B25), INDIRECT(""'"" &amp; $B$16 &amp; ""'!"" &amp; $B$17 &amp; "":"" &amp; $B$17) = P$21, ISNUMBER(SEARCH($B$4, INDIRECT(""'"" &amp; $B$16 &amp; ""'!"" &amp; $B$12 &amp; "":"" &amp; $B$12)))))"),"#N/A")</f>
        <v>#N/A</v>
      </c>
      <c r="Q25" s="291" t="str">
        <f>IFERROR(__xludf.DUMMYFUNCTION("AVERAGE(FILTER(INDIRECT(""'"" &amp; $B$16 &amp; ""'!"" &amp; $B25 &amp; "":"" &amp; $B25), INDIRECT(""'"" &amp; $B$16 &amp; ""'!"" &amp; $B$17 &amp; "":"" &amp; $B$17) = Q$21, ISNUMBER(SEARCH($B$4, INDIRECT(""'"" &amp; $B$16 &amp; ""'!"" &amp; $B$12 &amp; "":"" &amp; $B$12)))))"),"#N/A")</f>
        <v>#N/A</v>
      </c>
      <c r="R25" s="291" t="str">
        <f>IFERROR(__xludf.DUMMYFUNCTION("AVERAGE(FILTER(INDIRECT(""'"" &amp; $B$16 &amp; ""'!"" &amp; $B25 &amp; "":"" &amp; $B25), INDIRECT(""'"" &amp; $B$16 &amp; ""'!"" &amp; $B$17 &amp; "":"" &amp; $B$17) = R$21, ISNUMBER(SEARCH($B$4, INDIRECT(""'"" &amp; $B$16 &amp; ""'!"" &amp; $B$12 &amp; "":"" &amp; $B$12)))))"),"#N/A")</f>
        <v>#N/A</v>
      </c>
      <c r="S25" s="291" t="str">
        <f>IFERROR(__xludf.DUMMYFUNCTION("AVERAGE(FILTER(INDIRECT(""'"" &amp; $B$16 &amp; ""'!"" &amp; $B25 &amp; "":"" &amp; $B25), INDIRECT(""'"" &amp; $B$16 &amp; ""'!"" &amp; $B$17 &amp; "":"" &amp; $B$17) = S$21, ISNUMBER(SEARCH($B$4, INDIRECT(""'"" &amp; $B$16 &amp; ""'!"" &amp; $B$12 &amp; "":"" &amp; $B$12)))))"),"#N/A")</f>
        <v>#N/A</v>
      </c>
      <c r="T25" s="106">
        <f t="shared" si="29"/>
        <v>0</v>
      </c>
      <c r="U25" s="106" t="str">
        <f t="shared" si="30"/>
        <v>#N/A</v>
      </c>
      <c r="V25" s="106" t="str">
        <f t="shared" si="31"/>
        <v>#N/A</v>
      </c>
      <c r="W25" s="106" t="str">
        <f t="shared" si="32"/>
        <v>#N/A</v>
      </c>
      <c r="X25" s="106" t="str">
        <f t="shared" si="33"/>
        <v>#N/A</v>
      </c>
      <c r="Y25" s="106">
        <f t="shared" si="34"/>
        <v>0</v>
      </c>
      <c r="Z25" s="106" t="str">
        <f t="shared" si="35"/>
        <v>#N/A</v>
      </c>
      <c r="AA25" s="106" t="str">
        <f t="shared" si="36"/>
        <v>#N/A</v>
      </c>
      <c r="AB25" s="106" t="str">
        <f t="shared" si="37"/>
        <v>#N/A</v>
      </c>
      <c r="AC25" s="106" t="str">
        <f t="shared" si="38"/>
        <v>#N/A</v>
      </c>
      <c r="AD25" s="107">
        <f t="shared" si="39"/>
        <v>0</v>
      </c>
      <c r="AE25" s="107" t="str">
        <f t="shared" si="40"/>
        <v>#N/A</v>
      </c>
      <c r="AF25" s="107" t="str">
        <f t="shared" si="41"/>
        <v>#N/A</v>
      </c>
      <c r="AG25" s="107" t="str">
        <f t="shared" si="42"/>
        <v>#N/A</v>
      </c>
      <c r="AH25" s="107" t="str">
        <f t="shared" si="43"/>
        <v>#N/A</v>
      </c>
      <c r="AI25" s="106" t="str">
        <f t="shared" si="44"/>
        <v>#N/A</v>
      </c>
      <c r="AJ25" s="106" t="str">
        <f t="shared" si="45"/>
        <v>#N/A</v>
      </c>
      <c r="AK25" s="108" t="str">
        <f t="shared" si="46"/>
        <v>#N/A</v>
      </c>
      <c r="AL25" s="109" t="str">
        <f t="shared" si="47"/>
        <v>#N/A</v>
      </c>
      <c r="AM25" s="110" t="str">
        <f t="shared" si="48"/>
        <v>#N/A</v>
      </c>
    </row>
    <row r="26" ht="15.75" customHeight="1">
      <c r="A26" s="271" t="s">
        <v>360</v>
      </c>
      <c r="B26" s="90" t="str">
        <f t="shared" si="26"/>
        <v>$BS</v>
      </c>
      <c r="C26" s="288">
        <v>7.0</v>
      </c>
      <c r="D26" s="289">
        <f t="shared" ref="D26:H26" si="51">COUNTIFS(INDIRECT("'" &amp; $B$16 &amp; "'!" &amp; $B$17 &amp; ":" &amp; $B$17),D$21,INDIRECT("'" &amp; $B$16 &amp; "'!" &amp; $B26 &amp; ":" &amp; $B26),1,INDIRECT("'" &amp; $B$16 &amp; "'!" &amp; $B$12 &amp; ":" &amp; $B$12), "*" &amp; $B$4 &amp; "*")
</f>
        <v>0</v>
      </c>
      <c r="E26" s="289">
        <f t="shared" si="51"/>
        <v>0</v>
      </c>
      <c r="F26" s="289">
        <f t="shared" si="51"/>
        <v>0</v>
      </c>
      <c r="G26" s="289">
        <f t="shared" si="51"/>
        <v>0</v>
      </c>
      <c r="H26" s="289">
        <f t="shared" si="51"/>
        <v>0</v>
      </c>
      <c r="I26" s="289">
        <f t="shared" si="28"/>
        <v>0</v>
      </c>
      <c r="J26" s="290">
        <f>IFERROR(__xludf.DUMMYFUNCTION("VAR.S(FILTER(INDIRECT(""'"" &amp; $B$16 &amp; ""'!"" &amp; $B26 &amp; "":"" &amp; $B26), INDIRECT(""'"" &amp; $B$16 &amp; ""'!"" &amp; $B$17 &amp; "":"" &amp; $B$17) = J$21, ISNUMBER(SEARCH($B$4, INDIRECT(""'"" &amp; $B$16 &amp; ""'!"" &amp; $B$12 &amp; "":"" &amp; $B$12)))))/$D$6"),0.0)</f>
        <v>0</v>
      </c>
      <c r="K26" s="290" t="str">
        <f>IFERROR(__xludf.DUMMYFUNCTION("VAR.S(FILTER(INDIRECT(""'"" &amp; $B$16 &amp; ""'!"" &amp; $B26 &amp; "":"" &amp; $B26), INDIRECT(""'"" &amp; $B$16 &amp; ""'!"" &amp; $B$17 &amp; "":"" &amp; $B$17) = K$21, ISNUMBER(SEARCH($B$4, INDIRECT(""'"" &amp; $B$16 &amp; ""'!"" &amp; $B$12 &amp; "":"" &amp; $B$12)))))/$D$7"),"#N/A")</f>
        <v>#N/A</v>
      </c>
      <c r="L26" s="290" t="str">
        <f>IFERROR(__xludf.DUMMYFUNCTION("VAR.S(FILTER(INDIRECT(""'"" &amp; $B$16 &amp; ""'!"" &amp; $B26 &amp; "":"" &amp; $B26), INDIRECT(""'"" &amp; $B$16 &amp; ""'!"" &amp; $B$17 &amp; "":"" &amp; $B$17) = L$21, ISNUMBER(SEARCH($B$4, INDIRECT(""'"" &amp; $B$16 &amp; ""'!"" &amp; $B$12 &amp; "":"" &amp; $B$12)))))/$D$8"),"#N/A")</f>
        <v>#N/A</v>
      </c>
      <c r="M26" s="290" t="str">
        <f>IFERROR(__xludf.DUMMYFUNCTION("VAR.S(FILTER(INDIRECT(""'"" &amp; $B$16 &amp; ""'!"" &amp; $B26 &amp; "":"" &amp; $B26), INDIRECT(""'"" &amp; $B$16 &amp; ""'!"" &amp; $B$17 &amp; "":"" &amp; $B$17) = M$21, ISNUMBER(SEARCH($B$4, INDIRECT(""'"" &amp; $B$16 &amp; ""'!"" &amp; $B$12 &amp; "":"" &amp; $B$12)))))/$D$9"),"#N/A")</f>
        <v>#N/A</v>
      </c>
      <c r="N26" s="290" t="str">
        <f>IFERROR(__xludf.DUMMYFUNCTION("VAR.S(FILTER(INDIRECT(""'"" &amp; $B$16 &amp; ""'!"" &amp; $B26 &amp; "":"" &amp; $B26), INDIRECT(""'"" &amp; $B$16 &amp; ""'!"" &amp; $B$17 &amp; "":"" &amp; $B$17) = N$21, ISNUMBER(SEARCH($B$4, INDIRECT(""'"" &amp; $B$16 &amp; ""'!"" &amp; $B$12 &amp; "":"" &amp; $B$12)))))/$D$10"),"#N/A")</f>
        <v>#N/A</v>
      </c>
      <c r="O26" s="291">
        <f>IFERROR(__xludf.DUMMYFUNCTION("AVERAGE(FILTER(INDIRECT(""'"" &amp; $B$16 &amp; ""'!"" &amp; $B26 &amp; "":"" &amp; $B26), INDIRECT(""'"" &amp; $B$16 &amp; ""'!"" &amp; $B$17 &amp; "":"" &amp; $B$17) = O$21, ISNUMBER(SEARCH($B$4, INDIRECT(""'"" &amp; $B$16 &amp; ""'!"" &amp; $B$12 &amp; "":"" &amp; $B$12)))))"),0.0)</f>
        <v>0</v>
      </c>
      <c r="P26" s="291" t="str">
        <f>IFERROR(__xludf.DUMMYFUNCTION("AVERAGE(FILTER(INDIRECT(""'"" &amp; $B$16 &amp; ""'!"" &amp; $B26 &amp; "":"" &amp; $B26), INDIRECT(""'"" &amp; $B$16 &amp; ""'!"" &amp; $B$17 &amp; "":"" &amp; $B$17) = P$21, ISNUMBER(SEARCH($B$4, INDIRECT(""'"" &amp; $B$16 &amp; ""'!"" &amp; $B$12 &amp; "":"" &amp; $B$12)))))"),"#N/A")</f>
        <v>#N/A</v>
      </c>
      <c r="Q26" s="291" t="str">
        <f>IFERROR(__xludf.DUMMYFUNCTION("AVERAGE(FILTER(INDIRECT(""'"" &amp; $B$16 &amp; ""'!"" &amp; $B26 &amp; "":"" &amp; $B26), INDIRECT(""'"" &amp; $B$16 &amp; ""'!"" &amp; $B$17 &amp; "":"" &amp; $B$17) = Q$21, ISNUMBER(SEARCH($B$4, INDIRECT(""'"" &amp; $B$16 &amp; ""'!"" &amp; $B$12 &amp; "":"" &amp; $B$12)))))"),"#N/A")</f>
        <v>#N/A</v>
      </c>
      <c r="R26" s="291" t="str">
        <f>IFERROR(__xludf.DUMMYFUNCTION("AVERAGE(FILTER(INDIRECT(""'"" &amp; $B$16 &amp; ""'!"" &amp; $B26 &amp; "":"" &amp; $B26), INDIRECT(""'"" &amp; $B$16 &amp; ""'!"" &amp; $B$17 &amp; "":"" &amp; $B$17) = R$21, ISNUMBER(SEARCH($B$4, INDIRECT(""'"" &amp; $B$16 &amp; ""'!"" &amp; $B$12 &amp; "":"" &amp; $B$12)))))"),"#N/A")</f>
        <v>#N/A</v>
      </c>
      <c r="S26" s="291" t="str">
        <f>IFERROR(__xludf.DUMMYFUNCTION("AVERAGE(FILTER(INDIRECT(""'"" &amp; $B$16 &amp; ""'!"" &amp; $B26 &amp; "":"" &amp; $B26), INDIRECT(""'"" &amp; $B$16 &amp; ""'!"" &amp; $B$17 &amp; "":"" &amp; $B$17) = S$21, ISNUMBER(SEARCH($B$4, INDIRECT(""'"" &amp; $B$16 &amp; ""'!"" &amp; $B$12 &amp; "":"" &amp; $B$12)))))"),"#N/A")</f>
        <v>#N/A</v>
      </c>
      <c r="T26" s="106">
        <f t="shared" si="29"/>
        <v>0</v>
      </c>
      <c r="U26" s="106" t="str">
        <f t="shared" si="30"/>
        <v>#N/A</v>
      </c>
      <c r="V26" s="106" t="str">
        <f t="shared" si="31"/>
        <v>#N/A</v>
      </c>
      <c r="W26" s="106" t="str">
        <f t="shared" si="32"/>
        <v>#N/A</v>
      </c>
      <c r="X26" s="106" t="str">
        <f t="shared" si="33"/>
        <v>#N/A</v>
      </c>
      <c r="Y26" s="106">
        <f t="shared" si="34"/>
        <v>0</v>
      </c>
      <c r="Z26" s="106" t="str">
        <f t="shared" si="35"/>
        <v>#N/A</v>
      </c>
      <c r="AA26" s="106" t="str">
        <f t="shared" si="36"/>
        <v>#N/A</v>
      </c>
      <c r="AB26" s="106" t="str">
        <f t="shared" si="37"/>
        <v>#N/A</v>
      </c>
      <c r="AC26" s="106" t="str">
        <f t="shared" si="38"/>
        <v>#N/A</v>
      </c>
      <c r="AD26" s="107">
        <f t="shared" si="39"/>
        <v>0</v>
      </c>
      <c r="AE26" s="107" t="str">
        <f t="shared" si="40"/>
        <v>#N/A</v>
      </c>
      <c r="AF26" s="107" t="str">
        <f t="shared" si="41"/>
        <v>#N/A</v>
      </c>
      <c r="AG26" s="107" t="str">
        <f t="shared" si="42"/>
        <v>#N/A</v>
      </c>
      <c r="AH26" s="107" t="str">
        <f t="shared" si="43"/>
        <v>#N/A</v>
      </c>
      <c r="AI26" s="106" t="str">
        <f t="shared" si="44"/>
        <v>#N/A</v>
      </c>
      <c r="AJ26" s="106" t="str">
        <f t="shared" si="45"/>
        <v>#N/A</v>
      </c>
      <c r="AK26" s="108" t="str">
        <f t="shared" si="46"/>
        <v>#N/A</v>
      </c>
      <c r="AL26" s="109" t="str">
        <f t="shared" si="47"/>
        <v>#N/A</v>
      </c>
      <c r="AM26" s="110" t="str">
        <f t="shared" si="48"/>
        <v>#N/A</v>
      </c>
    </row>
    <row r="27" ht="15.75" customHeight="1">
      <c r="A27" s="271" t="s">
        <v>363</v>
      </c>
      <c r="B27" s="90" t="str">
        <f t="shared" si="26"/>
        <v>$BT</v>
      </c>
      <c r="C27" s="288">
        <v>8.0</v>
      </c>
      <c r="D27" s="289">
        <f t="shared" ref="D27:H27" si="52">COUNTIFS(INDIRECT("'" &amp; $B$16 &amp; "'!" &amp; $B$17 &amp; ":" &amp; $B$17),D$21,INDIRECT("'" &amp; $B$16 &amp; "'!" &amp; $B27 &amp; ":" &amp; $B27),1,INDIRECT("'" &amp; $B$16 &amp; "'!" &amp; $B$12 &amp; ":" &amp; $B$12), "*" &amp; $B$4 &amp; "*")
</f>
        <v>0</v>
      </c>
      <c r="E27" s="289">
        <f t="shared" si="52"/>
        <v>0</v>
      </c>
      <c r="F27" s="289">
        <f t="shared" si="52"/>
        <v>0</v>
      </c>
      <c r="G27" s="289">
        <f t="shared" si="52"/>
        <v>0</v>
      </c>
      <c r="H27" s="289">
        <f t="shared" si="52"/>
        <v>0</v>
      </c>
      <c r="I27" s="289">
        <f t="shared" si="28"/>
        <v>0</v>
      </c>
      <c r="J27" s="290">
        <f>IFERROR(__xludf.DUMMYFUNCTION("VAR.S(FILTER(INDIRECT(""'"" &amp; $B$16 &amp; ""'!"" &amp; $B27 &amp; "":"" &amp; $B27), INDIRECT(""'"" &amp; $B$16 &amp; ""'!"" &amp; $B$17 &amp; "":"" &amp; $B$17) = J$21, ISNUMBER(SEARCH($B$4, INDIRECT(""'"" &amp; $B$16 &amp; ""'!"" &amp; $B$12 &amp; "":"" &amp; $B$12)))))/$D$6"),0.0)</f>
        <v>0</v>
      </c>
      <c r="K27" s="290" t="str">
        <f>IFERROR(__xludf.DUMMYFUNCTION("VAR.S(FILTER(INDIRECT(""'"" &amp; $B$16 &amp; ""'!"" &amp; $B27 &amp; "":"" &amp; $B27), INDIRECT(""'"" &amp; $B$16 &amp; ""'!"" &amp; $B$17 &amp; "":"" &amp; $B$17) = K$21, ISNUMBER(SEARCH($B$4, INDIRECT(""'"" &amp; $B$16 &amp; ""'!"" &amp; $B$12 &amp; "":"" &amp; $B$12)))))/$D$7"),"#N/A")</f>
        <v>#N/A</v>
      </c>
      <c r="L27" s="290" t="str">
        <f>IFERROR(__xludf.DUMMYFUNCTION("VAR.S(FILTER(INDIRECT(""'"" &amp; $B$16 &amp; ""'!"" &amp; $B27 &amp; "":"" &amp; $B27), INDIRECT(""'"" &amp; $B$16 &amp; ""'!"" &amp; $B$17 &amp; "":"" &amp; $B$17) = L$21, ISNUMBER(SEARCH($B$4, INDIRECT(""'"" &amp; $B$16 &amp; ""'!"" &amp; $B$12 &amp; "":"" &amp; $B$12)))))/$D$8"),"#N/A")</f>
        <v>#N/A</v>
      </c>
      <c r="M27" s="290" t="str">
        <f>IFERROR(__xludf.DUMMYFUNCTION("VAR.S(FILTER(INDIRECT(""'"" &amp; $B$16 &amp; ""'!"" &amp; $B27 &amp; "":"" &amp; $B27), INDIRECT(""'"" &amp; $B$16 &amp; ""'!"" &amp; $B$17 &amp; "":"" &amp; $B$17) = M$21, ISNUMBER(SEARCH($B$4, INDIRECT(""'"" &amp; $B$16 &amp; ""'!"" &amp; $B$12 &amp; "":"" &amp; $B$12)))))/$D$9"),"#N/A")</f>
        <v>#N/A</v>
      </c>
      <c r="N27" s="290" t="str">
        <f>IFERROR(__xludf.DUMMYFUNCTION("VAR.S(FILTER(INDIRECT(""'"" &amp; $B$16 &amp; ""'!"" &amp; $B27 &amp; "":"" &amp; $B27), INDIRECT(""'"" &amp; $B$16 &amp; ""'!"" &amp; $B$17 &amp; "":"" &amp; $B$17) = N$21, ISNUMBER(SEARCH($B$4, INDIRECT(""'"" &amp; $B$16 &amp; ""'!"" &amp; $B$12 &amp; "":"" &amp; $B$12)))))/$D$10"),"#N/A")</f>
        <v>#N/A</v>
      </c>
      <c r="O27" s="291">
        <f>IFERROR(__xludf.DUMMYFUNCTION("AVERAGE(FILTER(INDIRECT(""'"" &amp; $B$16 &amp; ""'!"" &amp; $B27 &amp; "":"" &amp; $B27), INDIRECT(""'"" &amp; $B$16 &amp; ""'!"" &amp; $B$17 &amp; "":"" &amp; $B$17) = O$21, ISNUMBER(SEARCH($B$4, INDIRECT(""'"" &amp; $B$16 &amp; ""'!"" &amp; $B$12 &amp; "":"" &amp; $B$12)))))"),0.0)</f>
        <v>0</v>
      </c>
      <c r="P27" s="291" t="str">
        <f>IFERROR(__xludf.DUMMYFUNCTION("AVERAGE(FILTER(INDIRECT(""'"" &amp; $B$16 &amp; ""'!"" &amp; $B27 &amp; "":"" &amp; $B27), INDIRECT(""'"" &amp; $B$16 &amp; ""'!"" &amp; $B$17 &amp; "":"" &amp; $B$17) = P$21, ISNUMBER(SEARCH($B$4, INDIRECT(""'"" &amp; $B$16 &amp; ""'!"" &amp; $B$12 &amp; "":"" &amp; $B$12)))))"),"#N/A")</f>
        <v>#N/A</v>
      </c>
      <c r="Q27" s="291" t="str">
        <f>IFERROR(__xludf.DUMMYFUNCTION("AVERAGE(FILTER(INDIRECT(""'"" &amp; $B$16 &amp; ""'!"" &amp; $B27 &amp; "":"" &amp; $B27), INDIRECT(""'"" &amp; $B$16 &amp; ""'!"" &amp; $B$17 &amp; "":"" &amp; $B$17) = Q$21, ISNUMBER(SEARCH($B$4, INDIRECT(""'"" &amp; $B$16 &amp; ""'!"" &amp; $B$12 &amp; "":"" &amp; $B$12)))))"),"#N/A")</f>
        <v>#N/A</v>
      </c>
      <c r="R27" s="291" t="str">
        <f>IFERROR(__xludf.DUMMYFUNCTION("AVERAGE(FILTER(INDIRECT(""'"" &amp; $B$16 &amp; ""'!"" &amp; $B27 &amp; "":"" &amp; $B27), INDIRECT(""'"" &amp; $B$16 &amp; ""'!"" &amp; $B$17 &amp; "":"" &amp; $B$17) = R$21, ISNUMBER(SEARCH($B$4, INDIRECT(""'"" &amp; $B$16 &amp; ""'!"" &amp; $B$12 &amp; "":"" &amp; $B$12)))))"),"#N/A")</f>
        <v>#N/A</v>
      </c>
      <c r="S27" s="291" t="str">
        <f>IFERROR(__xludf.DUMMYFUNCTION("AVERAGE(FILTER(INDIRECT(""'"" &amp; $B$16 &amp; ""'!"" &amp; $B27 &amp; "":"" &amp; $B27), INDIRECT(""'"" &amp; $B$16 &amp; ""'!"" &amp; $B$17 &amp; "":"" &amp; $B$17) = S$21, ISNUMBER(SEARCH($B$4, INDIRECT(""'"" &amp; $B$16 &amp; ""'!"" &amp; $B$12 &amp; "":"" &amp; $B$12)))))"),"#N/A")</f>
        <v>#N/A</v>
      </c>
      <c r="T27" s="106">
        <f t="shared" si="29"/>
        <v>0</v>
      </c>
      <c r="U27" s="106" t="str">
        <f t="shared" si="30"/>
        <v>#N/A</v>
      </c>
      <c r="V27" s="106" t="str">
        <f t="shared" si="31"/>
        <v>#N/A</v>
      </c>
      <c r="W27" s="106" t="str">
        <f t="shared" si="32"/>
        <v>#N/A</v>
      </c>
      <c r="X27" s="106" t="str">
        <f t="shared" si="33"/>
        <v>#N/A</v>
      </c>
      <c r="Y27" s="106">
        <f t="shared" si="34"/>
        <v>0</v>
      </c>
      <c r="Z27" s="106" t="str">
        <f t="shared" si="35"/>
        <v>#N/A</v>
      </c>
      <c r="AA27" s="106" t="str">
        <f t="shared" si="36"/>
        <v>#N/A</v>
      </c>
      <c r="AB27" s="106" t="str">
        <f t="shared" si="37"/>
        <v>#N/A</v>
      </c>
      <c r="AC27" s="106" t="str">
        <f t="shared" si="38"/>
        <v>#N/A</v>
      </c>
      <c r="AD27" s="107">
        <f t="shared" si="39"/>
        <v>0</v>
      </c>
      <c r="AE27" s="107" t="str">
        <f t="shared" si="40"/>
        <v>#N/A</v>
      </c>
      <c r="AF27" s="107" t="str">
        <f t="shared" si="41"/>
        <v>#N/A</v>
      </c>
      <c r="AG27" s="107" t="str">
        <f t="shared" si="42"/>
        <v>#N/A</v>
      </c>
      <c r="AH27" s="107" t="str">
        <f t="shared" si="43"/>
        <v>#N/A</v>
      </c>
      <c r="AI27" s="106" t="str">
        <f t="shared" si="44"/>
        <v>#N/A</v>
      </c>
      <c r="AJ27" s="106" t="str">
        <f t="shared" si="45"/>
        <v>#N/A</v>
      </c>
      <c r="AK27" s="108" t="str">
        <f t="shared" si="46"/>
        <v>#N/A</v>
      </c>
      <c r="AL27" s="109" t="str">
        <f t="shared" si="47"/>
        <v>#N/A</v>
      </c>
      <c r="AM27" s="110" t="str">
        <f t="shared" si="48"/>
        <v>#N/A</v>
      </c>
    </row>
    <row r="28" ht="15.75" customHeight="1">
      <c r="A28" s="271" t="s">
        <v>366</v>
      </c>
      <c r="B28" s="90" t="str">
        <f t="shared" si="26"/>
        <v>$BU</v>
      </c>
      <c r="C28" s="288">
        <v>9.0</v>
      </c>
      <c r="D28" s="289">
        <f t="shared" ref="D28:H28" si="53">COUNTIFS(INDIRECT("'" &amp; $B$16 &amp; "'!" &amp; $B$17 &amp; ":" &amp; $B$17),D$21,INDIRECT("'" &amp; $B$16 &amp; "'!" &amp; $B28 &amp; ":" &amp; $B28),1,INDIRECT("'" &amp; $B$16 &amp; "'!" &amp; $B$12 &amp; ":" &amp; $B$12), "*" &amp; $B$4 &amp; "*")
</f>
        <v>0</v>
      </c>
      <c r="E28" s="289">
        <f t="shared" si="53"/>
        <v>0</v>
      </c>
      <c r="F28" s="289">
        <f t="shared" si="53"/>
        <v>0</v>
      </c>
      <c r="G28" s="289">
        <f t="shared" si="53"/>
        <v>0</v>
      </c>
      <c r="H28" s="289">
        <f t="shared" si="53"/>
        <v>0</v>
      </c>
      <c r="I28" s="289">
        <f t="shared" si="28"/>
        <v>0</v>
      </c>
      <c r="J28" s="290">
        <f>IFERROR(__xludf.DUMMYFUNCTION("VAR.S(FILTER(INDIRECT(""'"" &amp; $B$16 &amp; ""'!"" &amp; $B28 &amp; "":"" &amp; $B28), INDIRECT(""'"" &amp; $B$16 &amp; ""'!"" &amp; $B$17 &amp; "":"" &amp; $B$17) = J$21, ISNUMBER(SEARCH($B$4, INDIRECT(""'"" &amp; $B$16 &amp; ""'!"" &amp; $B$12 &amp; "":"" &amp; $B$12)))))/$D$6"),0.0)</f>
        <v>0</v>
      </c>
      <c r="K28" s="290" t="str">
        <f>IFERROR(__xludf.DUMMYFUNCTION("VAR.S(FILTER(INDIRECT(""'"" &amp; $B$16 &amp; ""'!"" &amp; $B28 &amp; "":"" &amp; $B28), INDIRECT(""'"" &amp; $B$16 &amp; ""'!"" &amp; $B$17 &amp; "":"" &amp; $B$17) = K$21, ISNUMBER(SEARCH($B$4, INDIRECT(""'"" &amp; $B$16 &amp; ""'!"" &amp; $B$12 &amp; "":"" &amp; $B$12)))))/$D$7"),"#N/A")</f>
        <v>#N/A</v>
      </c>
      <c r="L28" s="290" t="str">
        <f>IFERROR(__xludf.DUMMYFUNCTION("VAR.S(FILTER(INDIRECT(""'"" &amp; $B$16 &amp; ""'!"" &amp; $B28 &amp; "":"" &amp; $B28), INDIRECT(""'"" &amp; $B$16 &amp; ""'!"" &amp; $B$17 &amp; "":"" &amp; $B$17) = L$21, ISNUMBER(SEARCH($B$4, INDIRECT(""'"" &amp; $B$16 &amp; ""'!"" &amp; $B$12 &amp; "":"" &amp; $B$12)))))/$D$8"),"#N/A")</f>
        <v>#N/A</v>
      </c>
      <c r="M28" s="290" t="str">
        <f>IFERROR(__xludf.DUMMYFUNCTION("VAR.S(FILTER(INDIRECT(""'"" &amp; $B$16 &amp; ""'!"" &amp; $B28 &amp; "":"" &amp; $B28), INDIRECT(""'"" &amp; $B$16 &amp; ""'!"" &amp; $B$17 &amp; "":"" &amp; $B$17) = M$21, ISNUMBER(SEARCH($B$4, INDIRECT(""'"" &amp; $B$16 &amp; ""'!"" &amp; $B$12 &amp; "":"" &amp; $B$12)))))/$D$9"),"#N/A")</f>
        <v>#N/A</v>
      </c>
      <c r="N28" s="290" t="str">
        <f>IFERROR(__xludf.DUMMYFUNCTION("VAR.S(FILTER(INDIRECT(""'"" &amp; $B$16 &amp; ""'!"" &amp; $B28 &amp; "":"" &amp; $B28), INDIRECT(""'"" &amp; $B$16 &amp; ""'!"" &amp; $B$17 &amp; "":"" &amp; $B$17) = N$21, ISNUMBER(SEARCH($B$4, INDIRECT(""'"" &amp; $B$16 &amp; ""'!"" &amp; $B$12 &amp; "":"" &amp; $B$12)))))/$D$10"),"#N/A")</f>
        <v>#N/A</v>
      </c>
      <c r="O28" s="291">
        <f>IFERROR(__xludf.DUMMYFUNCTION("AVERAGE(FILTER(INDIRECT(""'"" &amp; $B$16 &amp; ""'!"" &amp; $B28 &amp; "":"" &amp; $B28), INDIRECT(""'"" &amp; $B$16 &amp; ""'!"" &amp; $B$17 &amp; "":"" &amp; $B$17) = O$21, ISNUMBER(SEARCH($B$4, INDIRECT(""'"" &amp; $B$16 &amp; ""'!"" &amp; $B$12 &amp; "":"" &amp; $B$12)))))"),0.0)</f>
        <v>0</v>
      </c>
      <c r="P28" s="291" t="str">
        <f>IFERROR(__xludf.DUMMYFUNCTION("AVERAGE(FILTER(INDIRECT(""'"" &amp; $B$16 &amp; ""'!"" &amp; $B28 &amp; "":"" &amp; $B28), INDIRECT(""'"" &amp; $B$16 &amp; ""'!"" &amp; $B$17 &amp; "":"" &amp; $B$17) = P$21, ISNUMBER(SEARCH($B$4, INDIRECT(""'"" &amp; $B$16 &amp; ""'!"" &amp; $B$12 &amp; "":"" &amp; $B$12)))))"),"#N/A")</f>
        <v>#N/A</v>
      </c>
      <c r="Q28" s="291" t="str">
        <f>IFERROR(__xludf.DUMMYFUNCTION("AVERAGE(FILTER(INDIRECT(""'"" &amp; $B$16 &amp; ""'!"" &amp; $B28 &amp; "":"" &amp; $B28), INDIRECT(""'"" &amp; $B$16 &amp; ""'!"" &amp; $B$17 &amp; "":"" &amp; $B$17) = Q$21, ISNUMBER(SEARCH($B$4, INDIRECT(""'"" &amp; $B$16 &amp; ""'!"" &amp; $B$12 &amp; "":"" &amp; $B$12)))))"),"#N/A")</f>
        <v>#N/A</v>
      </c>
      <c r="R28" s="291" t="str">
        <f>IFERROR(__xludf.DUMMYFUNCTION("AVERAGE(FILTER(INDIRECT(""'"" &amp; $B$16 &amp; ""'!"" &amp; $B28 &amp; "":"" &amp; $B28), INDIRECT(""'"" &amp; $B$16 &amp; ""'!"" &amp; $B$17 &amp; "":"" &amp; $B$17) = R$21, ISNUMBER(SEARCH($B$4, INDIRECT(""'"" &amp; $B$16 &amp; ""'!"" &amp; $B$12 &amp; "":"" &amp; $B$12)))))"),"#N/A")</f>
        <v>#N/A</v>
      </c>
      <c r="S28" s="291" t="str">
        <f>IFERROR(__xludf.DUMMYFUNCTION("AVERAGE(FILTER(INDIRECT(""'"" &amp; $B$16 &amp; ""'!"" &amp; $B28 &amp; "":"" &amp; $B28), INDIRECT(""'"" &amp; $B$16 &amp; ""'!"" &amp; $B$17 &amp; "":"" &amp; $B$17) = S$21, ISNUMBER(SEARCH($B$4, INDIRECT(""'"" &amp; $B$16 &amp; ""'!"" &amp; $B$12 &amp; "":"" &amp; $B$12)))))"),"#N/A")</f>
        <v>#N/A</v>
      </c>
      <c r="T28" s="106">
        <f t="shared" si="29"/>
        <v>0</v>
      </c>
      <c r="U28" s="106" t="str">
        <f t="shared" si="30"/>
        <v>#N/A</v>
      </c>
      <c r="V28" s="106" t="str">
        <f t="shared" si="31"/>
        <v>#N/A</v>
      </c>
      <c r="W28" s="106" t="str">
        <f t="shared" si="32"/>
        <v>#N/A</v>
      </c>
      <c r="X28" s="106" t="str">
        <f t="shared" si="33"/>
        <v>#N/A</v>
      </c>
      <c r="Y28" s="106">
        <f t="shared" si="34"/>
        <v>0</v>
      </c>
      <c r="Z28" s="106" t="str">
        <f t="shared" si="35"/>
        <v>#N/A</v>
      </c>
      <c r="AA28" s="106" t="str">
        <f t="shared" si="36"/>
        <v>#N/A</v>
      </c>
      <c r="AB28" s="106" t="str">
        <f t="shared" si="37"/>
        <v>#N/A</v>
      </c>
      <c r="AC28" s="106" t="str">
        <f t="shared" si="38"/>
        <v>#N/A</v>
      </c>
      <c r="AD28" s="107">
        <f t="shared" si="39"/>
        <v>0</v>
      </c>
      <c r="AE28" s="107" t="str">
        <f t="shared" si="40"/>
        <v>#N/A</v>
      </c>
      <c r="AF28" s="107" t="str">
        <f t="shared" si="41"/>
        <v>#N/A</v>
      </c>
      <c r="AG28" s="107" t="str">
        <f t="shared" si="42"/>
        <v>#N/A</v>
      </c>
      <c r="AH28" s="107" t="str">
        <f t="shared" si="43"/>
        <v>#N/A</v>
      </c>
      <c r="AI28" s="106" t="str">
        <f t="shared" si="44"/>
        <v>#N/A</v>
      </c>
      <c r="AJ28" s="106" t="str">
        <f t="shared" si="45"/>
        <v>#N/A</v>
      </c>
      <c r="AK28" s="108" t="str">
        <f t="shared" si="46"/>
        <v>#N/A</v>
      </c>
      <c r="AL28" s="109" t="str">
        <f t="shared" si="47"/>
        <v>#N/A</v>
      </c>
      <c r="AM28" s="110" t="str">
        <f t="shared" si="48"/>
        <v>#N/A</v>
      </c>
    </row>
    <row r="29" ht="15.75" customHeight="1">
      <c r="A29" s="271" t="s">
        <v>369</v>
      </c>
      <c r="B29" s="90" t="str">
        <f t="shared" si="26"/>
        <v>$BV</v>
      </c>
      <c r="C29" s="288">
        <v>10.0</v>
      </c>
      <c r="D29" s="289">
        <f t="shared" ref="D29:H29" si="54">COUNTIFS(INDIRECT("'" &amp; $B$16 &amp; "'!" &amp; $B$17 &amp; ":" &amp; $B$17),D$21,INDIRECT("'" &amp; $B$16 &amp; "'!" &amp; $B29 &amp; ":" &amp; $B29),1,INDIRECT("'" &amp; $B$16 &amp; "'!" &amp; $B$12 &amp; ":" &amp; $B$12), "*" &amp; $B$4 &amp; "*")
</f>
        <v>0</v>
      </c>
      <c r="E29" s="289">
        <f t="shared" si="54"/>
        <v>0</v>
      </c>
      <c r="F29" s="289">
        <f t="shared" si="54"/>
        <v>0</v>
      </c>
      <c r="G29" s="289">
        <f t="shared" si="54"/>
        <v>0</v>
      </c>
      <c r="H29" s="289">
        <f t="shared" si="54"/>
        <v>0</v>
      </c>
      <c r="I29" s="289">
        <f t="shared" si="28"/>
        <v>0</v>
      </c>
      <c r="J29" s="290">
        <f>IFERROR(__xludf.DUMMYFUNCTION("VAR.S(FILTER(INDIRECT(""'"" &amp; $B$16 &amp; ""'!"" &amp; $B29 &amp; "":"" &amp; $B29), INDIRECT(""'"" &amp; $B$16 &amp; ""'!"" &amp; $B$17 &amp; "":"" &amp; $B$17) = J$21, ISNUMBER(SEARCH($B$4, INDIRECT(""'"" &amp; $B$16 &amp; ""'!"" &amp; $B$12 &amp; "":"" &amp; $B$12)))))/$D$6"),0.0)</f>
        <v>0</v>
      </c>
      <c r="K29" s="290" t="str">
        <f>IFERROR(__xludf.DUMMYFUNCTION("VAR.S(FILTER(INDIRECT(""'"" &amp; $B$16 &amp; ""'!"" &amp; $B29 &amp; "":"" &amp; $B29), INDIRECT(""'"" &amp; $B$16 &amp; ""'!"" &amp; $B$17 &amp; "":"" &amp; $B$17) = K$21, ISNUMBER(SEARCH($B$4, INDIRECT(""'"" &amp; $B$16 &amp; ""'!"" &amp; $B$12 &amp; "":"" &amp; $B$12)))))/$D$7"),"#N/A")</f>
        <v>#N/A</v>
      </c>
      <c r="L29" s="290" t="str">
        <f>IFERROR(__xludf.DUMMYFUNCTION("VAR.S(FILTER(INDIRECT(""'"" &amp; $B$16 &amp; ""'!"" &amp; $B29 &amp; "":"" &amp; $B29), INDIRECT(""'"" &amp; $B$16 &amp; ""'!"" &amp; $B$17 &amp; "":"" &amp; $B$17) = L$21, ISNUMBER(SEARCH($B$4, INDIRECT(""'"" &amp; $B$16 &amp; ""'!"" &amp; $B$12 &amp; "":"" &amp; $B$12)))))/$D$8"),"#N/A")</f>
        <v>#N/A</v>
      </c>
      <c r="M29" s="290" t="str">
        <f>IFERROR(__xludf.DUMMYFUNCTION("VAR.S(FILTER(INDIRECT(""'"" &amp; $B$16 &amp; ""'!"" &amp; $B29 &amp; "":"" &amp; $B29), INDIRECT(""'"" &amp; $B$16 &amp; ""'!"" &amp; $B$17 &amp; "":"" &amp; $B$17) = M$21, ISNUMBER(SEARCH($B$4, INDIRECT(""'"" &amp; $B$16 &amp; ""'!"" &amp; $B$12 &amp; "":"" &amp; $B$12)))))/$D$9"),"#N/A")</f>
        <v>#N/A</v>
      </c>
      <c r="N29" s="290" t="str">
        <f>IFERROR(__xludf.DUMMYFUNCTION("VAR.S(FILTER(INDIRECT(""'"" &amp; $B$16 &amp; ""'!"" &amp; $B29 &amp; "":"" &amp; $B29), INDIRECT(""'"" &amp; $B$16 &amp; ""'!"" &amp; $B$17 &amp; "":"" &amp; $B$17) = N$21, ISNUMBER(SEARCH($B$4, INDIRECT(""'"" &amp; $B$16 &amp; ""'!"" &amp; $B$12 &amp; "":"" &amp; $B$12)))))/$D$10"),"#N/A")</f>
        <v>#N/A</v>
      </c>
      <c r="O29" s="291">
        <f>IFERROR(__xludf.DUMMYFUNCTION("AVERAGE(FILTER(INDIRECT(""'"" &amp; $B$16 &amp; ""'!"" &amp; $B29 &amp; "":"" &amp; $B29), INDIRECT(""'"" &amp; $B$16 &amp; ""'!"" &amp; $B$17 &amp; "":"" &amp; $B$17) = O$21, ISNUMBER(SEARCH($B$4, INDIRECT(""'"" &amp; $B$16 &amp; ""'!"" &amp; $B$12 &amp; "":"" &amp; $B$12)))))"),0.0)</f>
        <v>0</v>
      </c>
      <c r="P29" s="291" t="str">
        <f>IFERROR(__xludf.DUMMYFUNCTION("AVERAGE(FILTER(INDIRECT(""'"" &amp; $B$16 &amp; ""'!"" &amp; $B29 &amp; "":"" &amp; $B29), INDIRECT(""'"" &amp; $B$16 &amp; ""'!"" &amp; $B$17 &amp; "":"" &amp; $B$17) = P$21, ISNUMBER(SEARCH($B$4, INDIRECT(""'"" &amp; $B$16 &amp; ""'!"" &amp; $B$12 &amp; "":"" &amp; $B$12)))))"),"#N/A")</f>
        <v>#N/A</v>
      </c>
      <c r="Q29" s="291" t="str">
        <f>IFERROR(__xludf.DUMMYFUNCTION("AVERAGE(FILTER(INDIRECT(""'"" &amp; $B$16 &amp; ""'!"" &amp; $B29 &amp; "":"" &amp; $B29), INDIRECT(""'"" &amp; $B$16 &amp; ""'!"" &amp; $B$17 &amp; "":"" &amp; $B$17) = Q$21, ISNUMBER(SEARCH($B$4, INDIRECT(""'"" &amp; $B$16 &amp; ""'!"" &amp; $B$12 &amp; "":"" &amp; $B$12)))))"),"#N/A")</f>
        <v>#N/A</v>
      </c>
      <c r="R29" s="291" t="str">
        <f>IFERROR(__xludf.DUMMYFUNCTION("AVERAGE(FILTER(INDIRECT(""'"" &amp; $B$16 &amp; ""'!"" &amp; $B29 &amp; "":"" &amp; $B29), INDIRECT(""'"" &amp; $B$16 &amp; ""'!"" &amp; $B$17 &amp; "":"" &amp; $B$17) = R$21, ISNUMBER(SEARCH($B$4, INDIRECT(""'"" &amp; $B$16 &amp; ""'!"" &amp; $B$12 &amp; "":"" &amp; $B$12)))))"),"#N/A")</f>
        <v>#N/A</v>
      </c>
      <c r="S29" s="291" t="str">
        <f>IFERROR(__xludf.DUMMYFUNCTION("AVERAGE(FILTER(INDIRECT(""'"" &amp; $B$16 &amp; ""'!"" &amp; $B29 &amp; "":"" &amp; $B29), INDIRECT(""'"" &amp; $B$16 &amp; ""'!"" &amp; $B$17 &amp; "":"" &amp; $B$17) = S$21, ISNUMBER(SEARCH($B$4, INDIRECT(""'"" &amp; $B$16 &amp; ""'!"" &amp; $B$12 &amp; "":"" &amp; $B$12)))))"),"#N/A")</f>
        <v>#N/A</v>
      </c>
      <c r="T29" s="106">
        <f t="shared" si="29"/>
        <v>0</v>
      </c>
      <c r="U29" s="106" t="str">
        <f t="shared" si="30"/>
        <v>#N/A</v>
      </c>
      <c r="V29" s="106" t="str">
        <f t="shared" si="31"/>
        <v>#N/A</v>
      </c>
      <c r="W29" s="106" t="str">
        <f t="shared" si="32"/>
        <v>#N/A</v>
      </c>
      <c r="X29" s="106" t="str">
        <f t="shared" si="33"/>
        <v>#N/A</v>
      </c>
      <c r="Y29" s="106">
        <f t="shared" si="34"/>
        <v>0</v>
      </c>
      <c r="Z29" s="106" t="str">
        <f t="shared" si="35"/>
        <v>#N/A</v>
      </c>
      <c r="AA29" s="106" t="str">
        <f t="shared" si="36"/>
        <v>#N/A</v>
      </c>
      <c r="AB29" s="106" t="str">
        <f t="shared" si="37"/>
        <v>#N/A</v>
      </c>
      <c r="AC29" s="106" t="str">
        <f t="shared" si="38"/>
        <v>#N/A</v>
      </c>
      <c r="AD29" s="107">
        <f t="shared" si="39"/>
        <v>0</v>
      </c>
      <c r="AE29" s="107" t="str">
        <f t="shared" si="40"/>
        <v>#N/A</v>
      </c>
      <c r="AF29" s="107" t="str">
        <f t="shared" si="41"/>
        <v>#N/A</v>
      </c>
      <c r="AG29" s="107" t="str">
        <f t="shared" si="42"/>
        <v>#N/A</v>
      </c>
      <c r="AH29" s="107" t="str">
        <f t="shared" si="43"/>
        <v>#N/A</v>
      </c>
      <c r="AI29" s="106" t="str">
        <f t="shared" si="44"/>
        <v>#N/A</v>
      </c>
      <c r="AJ29" s="106" t="str">
        <f t="shared" si="45"/>
        <v>#N/A</v>
      </c>
      <c r="AK29" s="108" t="str">
        <f t="shared" si="46"/>
        <v>#N/A</v>
      </c>
      <c r="AL29" s="109" t="str">
        <f t="shared" si="47"/>
        <v>#N/A</v>
      </c>
      <c r="AM29" s="110" t="str">
        <f t="shared" si="48"/>
        <v>#N/A</v>
      </c>
    </row>
    <row r="30" ht="15.75" customHeight="1">
      <c r="A30" s="271" t="s">
        <v>372</v>
      </c>
      <c r="B30" s="90" t="str">
        <f t="shared" si="26"/>
        <v>$BW</v>
      </c>
      <c r="C30" s="288">
        <v>11.0</v>
      </c>
      <c r="D30" s="289">
        <f t="shared" ref="D30:H30" si="55">COUNTIFS(INDIRECT("'" &amp; $B$16 &amp; "'!" &amp; $B$17 &amp; ":" &amp; $B$17),D$21,INDIRECT("'" &amp; $B$16 &amp; "'!" &amp; $B30 &amp; ":" &amp; $B30),1,INDIRECT("'" &amp; $B$16 &amp; "'!" &amp; $B$12 &amp; ":" &amp; $B$12), "*" &amp; $B$4 &amp; "*")
</f>
        <v>0</v>
      </c>
      <c r="E30" s="289">
        <f t="shared" si="55"/>
        <v>0</v>
      </c>
      <c r="F30" s="289">
        <f t="shared" si="55"/>
        <v>0</v>
      </c>
      <c r="G30" s="289">
        <f t="shared" si="55"/>
        <v>0</v>
      </c>
      <c r="H30" s="289">
        <f t="shared" si="55"/>
        <v>0</v>
      </c>
      <c r="I30" s="289">
        <f t="shared" si="28"/>
        <v>0</v>
      </c>
      <c r="J30" s="290">
        <f>IFERROR(__xludf.DUMMYFUNCTION("VAR.S(FILTER(INDIRECT(""'"" &amp; $B$16 &amp; ""'!"" &amp; $B30 &amp; "":"" &amp; $B30), INDIRECT(""'"" &amp; $B$16 &amp; ""'!"" &amp; $B$17 &amp; "":"" &amp; $B$17) = J$21, ISNUMBER(SEARCH($B$4, INDIRECT(""'"" &amp; $B$16 &amp; ""'!"" &amp; $B$12 &amp; "":"" &amp; $B$12)))))/$D$6"),0.0)</f>
        <v>0</v>
      </c>
      <c r="K30" s="290" t="str">
        <f>IFERROR(__xludf.DUMMYFUNCTION("VAR.S(FILTER(INDIRECT(""'"" &amp; $B$16 &amp; ""'!"" &amp; $B30 &amp; "":"" &amp; $B30), INDIRECT(""'"" &amp; $B$16 &amp; ""'!"" &amp; $B$17 &amp; "":"" &amp; $B$17) = K$21, ISNUMBER(SEARCH($B$4, INDIRECT(""'"" &amp; $B$16 &amp; ""'!"" &amp; $B$12 &amp; "":"" &amp; $B$12)))))/$D$7"),"#N/A")</f>
        <v>#N/A</v>
      </c>
      <c r="L30" s="290" t="str">
        <f>IFERROR(__xludf.DUMMYFUNCTION("VAR.S(FILTER(INDIRECT(""'"" &amp; $B$16 &amp; ""'!"" &amp; $B30 &amp; "":"" &amp; $B30), INDIRECT(""'"" &amp; $B$16 &amp; ""'!"" &amp; $B$17 &amp; "":"" &amp; $B$17) = L$21, ISNUMBER(SEARCH($B$4, INDIRECT(""'"" &amp; $B$16 &amp; ""'!"" &amp; $B$12 &amp; "":"" &amp; $B$12)))))/$D$8"),"#N/A")</f>
        <v>#N/A</v>
      </c>
      <c r="M30" s="290" t="str">
        <f>IFERROR(__xludf.DUMMYFUNCTION("VAR.S(FILTER(INDIRECT(""'"" &amp; $B$16 &amp; ""'!"" &amp; $B30 &amp; "":"" &amp; $B30), INDIRECT(""'"" &amp; $B$16 &amp; ""'!"" &amp; $B$17 &amp; "":"" &amp; $B$17) = M$21, ISNUMBER(SEARCH($B$4, INDIRECT(""'"" &amp; $B$16 &amp; ""'!"" &amp; $B$12 &amp; "":"" &amp; $B$12)))))/$D$9"),"#N/A")</f>
        <v>#N/A</v>
      </c>
      <c r="N30" s="290" t="str">
        <f>IFERROR(__xludf.DUMMYFUNCTION("VAR.S(FILTER(INDIRECT(""'"" &amp; $B$16 &amp; ""'!"" &amp; $B30 &amp; "":"" &amp; $B30), INDIRECT(""'"" &amp; $B$16 &amp; ""'!"" &amp; $B$17 &amp; "":"" &amp; $B$17) = N$21, ISNUMBER(SEARCH($B$4, INDIRECT(""'"" &amp; $B$16 &amp; ""'!"" &amp; $B$12 &amp; "":"" &amp; $B$12)))))/$D$10"),"#N/A")</f>
        <v>#N/A</v>
      </c>
      <c r="O30" s="291">
        <f>IFERROR(__xludf.DUMMYFUNCTION("AVERAGE(FILTER(INDIRECT(""'"" &amp; $B$16 &amp; ""'!"" &amp; $B30 &amp; "":"" &amp; $B30), INDIRECT(""'"" &amp; $B$16 &amp; ""'!"" &amp; $B$17 &amp; "":"" &amp; $B$17) = O$21, ISNUMBER(SEARCH($B$4, INDIRECT(""'"" &amp; $B$16 &amp; ""'!"" &amp; $B$12 &amp; "":"" &amp; $B$12)))))"),0.0)</f>
        <v>0</v>
      </c>
      <c r="P30" s="291" t="str">
        <f>IFERROR(__xludf.DUMMYFUNCTION("AVERAGE(FILTER(INDIRECT(""'"" &amp; $B$16 &amp; ""'!"" &amp; $B30 &amp; "":"" &amp; $B30), INDIRECT(""'"" &amp; $B$16 &amp; ""'!"" &amp; $B$17 &amp; "":"" &amp; $B$17) = P$21, ISNUMBER(SEARCH($B$4, INDIRECT(""'"" &amp; $B$16 &amp; ""'!"" &amp; $B$12 &amp; "":"" &amp; $B$12)))))"),"#N/A")</f>
        <v>#N/A</v>
      </c>
      <c r="Q30" s="291" t="str">
        <f>IFERROR(__xludf.DUMMYFUNCTION("AVERAGE(FILTER(INDIRECT(""'"" &amp; $B$16 &amp; ""'!"" &amp; $B30 &amp; "":"" &amp; $B30), INDIRECT(""'"" &amp; $B$16 &amp; ""'!"" &amp; $B$17 &amp; "":"" &amp; $B$17) = Q$21, ISNUMBER(SEARCH($B$4, INDIRECT(""'"" &amp; $B$16 &amp; ""'!"" &amp; $B$12 &amp; "":"" &amp; $B$12)))))"),"#N/A")</f>
        <v>#N/A</v>
      </c>
      <c r="R30" s="291" t="str">
        <f>IFERROR(__xludf.DUMMYFUNCTION("AVERAGE(FILTER(INDIRECT(""'"" &amp; $B$16 &amp; ""'!"" &amp; $B30 &amp; "":"" &amp; $B30), INDIRECT(""'"" &amp; $B$16 &amp; ""'!"" &amp; $B$17 &amp; "":"" &amp; $B$17) = R$21, ISNUMBER(SEARCH($B$4, INDIRECT(""'"" &amp; $B$16 &amp; ""'!"" &amp; $B$12 &amp; "":"" &amp; $B$12)))))"),"#N/A")</f>
        <v>#N/A</v>
      </c>
      <c r="S30" s="291" t="str">
        <f>IFERROR(__xludf.DUMMYFUNCTION("AVERAGE(FILTER(INDIRECT(""'"" &amp; $B$16 &amp; ""'!"" &amp; $B30 &amp; "":"" &amp; $B30), INDIRECT(""'"" &amp; $B$16 &amp; ""'!"" &amp; $B$17 &amp; "":"" &amp; $B$17) = S$21, ISNUMBER(SEARCH($B$4, INDIRECT(""'"" &amp; $B$16 &amp; ""'!"" &amp; $B$12 &amp; "":"" &amp; $B$12)))))"),"#N/A")</f>
        <v>#N/A</v>
      </c>
      <c r="T30" s="106">
        <f t="shared" si="29"/>
        <v>0</v>
      </c>
      <c r="U30" s="106" t="str">
        <f t="shared" si="30"/>
        <v>#N/A</v>
      </c>
      <c r="V30" s="106" t="str">
        <f t="shared" si="31"/>
        <v>#N/A</v>
      </c>
      <c r="W30" s="106" t="str">
        <f t="shared" si="32"/>
        <v>#N/A</v>
      </c>
      <c r="X30" s="106" t="str">
        <f t="shared" si="33"/>
        <v>#N/A</v>
      </c>
      <c r="Y30" s="106">
        <f t="shared" si="34"/>
        <v>0</v>
      </c>
      <c r="Z30" s="106" t="str">
        <f t="shared" si="35"/>
        <v>#N/A</v>
      </c>
      <c r="AA30" s="106" t="str">
        <f t="shared" si="36"/>
        <v>#N/A</v>
      </c>
      <c r="AB30" s="106" t="str">
        <f t="shared" si="37"/>
        <v>#N/A</v>
      </c>
      <c r="AC30" s="106" t="str">
        <f t="shared" si="38"/>
        <v>#N/A</v>
      </c>
      <c r="AD30" s="107">
        <f t="shared" si="39"/>
        <v>0</v>
      </c>
      <c r="AE30" s="107" t="str">
        <f t="shared" si="40"/>
        <v>#N/A</v>
      </c>
      <c r="AF30" s="107" t="str">
        <f t="shared" si="41"/>
        <v>#N/A</v>
      </c>
      <c r="AG30" s="107" t="str">
        <f t="shared" si="42"/>
        <v>#N/A</v>
      </c>
      <c r="AH30" s="107" t="str">
        <f t="shared" si="43"/>
        <v>#N/A</v>
      </c>
      <c r="AI30" s="106" t="str">
        <f t="shared" si="44"/>
        <v>#N/A</v>
      </c>
      <c r="AJ30" s="106" t="str">
        <f t="shared" si="45"/>
        <v>#N/A</v>
      </c>
      <c r="AK30" s="108" t="str">
        <f t="shared" si="46"/>
        <v>#N/A</v>
      </c>
      <c r="AL30" s="109" t="str">
        <f t="shared" si="47"/>
        <v>#N/A</v>
      </c>
      <c r="AM30" s="110" t="str">
        <f t="shared" si="48"/>
        <v>#N/A</v>
      </c>
    </row>
    <row r="31" ht="15.75" customHeight="1">
      <c r="A31" s="82" t="s">
        <v>487</v>
      </c>
      <c r="B31" s="82" t="s">
        <v>568</v>
      </c>
      <c r="C31" s="85"/>
      <c r="D31" s="85"/>
      <c r="E31" s="85"/>
      <c r="F31" s="85"/>
      <c r="G31" s="85"/>
      <c r="H31" s="85"/>
      <c r="I31" s="82">
        <f>SUM(I21:I30)</f>
        <v>1</v>
      </c>
      <c r="J31" s="85"/>
      <c r="K31" s="85"/>
      <c r="L31" s="85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292"/>
      <c r="AE31" s="292"/>
      <c r="AF31" s="292"/>
      <c r="AG31" s="292"/>
      <c r="AH31" s="292"/>
      <c r="AI31" s="85"/>
      <c r="AJ31" s="85"/>
      <c r="AK31" s="85"/>
      <c r="AL31" s="112"/>
      <c r="AM31" s="293" t="str">
        <f>SUM(AM22:AM30)</f>
        <v>#N/A</v>
      </c>
    </row>
    <row r="32" ht="15.75" customHeight="1">
      <c r="A32" s="115" t="s">
        <v>375</v>
      </c>
      <c r="B32" s="92" t="str">
        <f t="shared" ref="B32:B40" si="57">IFERROR("$" &amp; SUBSTITUTE(ADDRESS(1, MATCH(A32, INDIRECT("'" &amp; $B$16 &amp; "'!1:1"), 0), 4), "1", ""), "Not Found")
</f>
        <v>$BX</v>
      </c>
      <c r="C32" s="288">
        <v>1.0</v>
      </c>
      <c r="D32" s="294">
        <f t="shared" ref="D32:H32" si="56">COUNTIFS(INDIRECT("'" &amp; $B$16 &amp; "'!" &amp; $B$17 &amp; ":" &amp; $B$17),D$21,INDIRECT("'" &amp; $B$16 &amp; "'!" &amp; $B32 &amp; ":" &amp; $B32),1,INDIRECT("'" &amp; $B$16 &amp; "'!" &amp; $B$12 &amp; ":" &amp; $B$12), "*" &amp; $B$4 &amp; "*")
</f>
        <v>0</v>
      </c>
      <c r="E32" s="294">
        <f t="shared" si="56"/>
        <v>0</v>
      </c>
      <c r="F32" s="294">
        <f t="shared" si="56"/>
        <v>0</v>
      </c>
      <c r="G32" s="294">
        <f t="shared" si="56"/>
        <v>0</v>
      </c>
      <c r="H32" s="294">
        <f t="shared" si="56"/>
        <v>0</v>
      </c>
      <c r="I32" s="294">
        <f t="shared" ref="I32:I40" si="59">SUM(D32:H32)</f>
        <v>0</v>
      </c>
      <c r="J32" s="295">
        <f>IFERROR(__xludf.DUMMYFUNCTION("VAR.S(FILTER(INDIRECT(""'"" &amp; $B$16 &amp; ""'!"" &amp; $B32 &amp; "":"" &amp; $B32), INDIRECT(""'"" &amp; $B$16 &amp; ""'!"" &amp; $B$17 &amp; "":"" &amp; $B$17) = J$21, ISNUMBER(SEARCH($B$4, INDIRECT(""'"" &amp; $B$16 &amp; ""'!"" &amp; $B$12 &amp; "":"" &amp; $B$12)))))/$D$6"),0.0)</f>
        <v>0</v>
      </c>
      <c r="K32" s="295" t="str">
        <f>IFERROR(__xludf.DUMMYFUNCTION("VAR.S(FILTER(INDIRECT(""'"" &amp; $B$16 &amp; ""'!"" &amp; $B32 &amp; "":"" &amp; $B32), INDIRECT(""'"" &amp; $B$16 &amp; ""'!"" &amp; $B$17 &amp; "":"" &amp; $B$17) = K$21, ISNUMBER(SEARCH($B$4, INDIRECT(""'"" &amp; $B$16 &amp; ""'!"" &amp; $B$12 &amp; "":"" &amp; $B$12)))))/$D$7"),"#N/A")</f>
        <v>#N/A</v>
      </c>
      <c r="L32" s="295" t="str">
        <f>IFERROR(__xludf.DUMMYFUNCTION("VAR.S(FILTER(INDIRECT(""'"" &amp; $B$16 &amp; ""'!"" &amp; $B32 &amp; "":"" &amp; $B32), INDIRECT(""'"" &amp; $B$16 &amp; ""'!"" &amp; $B$17 &amp; "":"" &amp; $B$17) = L$21, ISNUMBER(SEARCH($B$4, INDIRECT(""'"" &amp; $B$16 &amp; ""'!"" &amp; $B$12 &amp; "":"" &amp; $B$12)))))/$D$8"),"#N/A")</f>
        <v>#N/A</v>
      </c>
      <c r="M32" s="296" t="str">
        <f>IFERROR(__xludf.DUMMYFUNCTION("VAR.S(FILTER(INDIRECT(""'"" &amp; $B$16 &amp; ""'!"" &amp; $B32 &amp; "":"" &amp; $B32), INDIRECT(""'"" &amp; $B$16 &amp; ""'!"" &amp; $B$17 &amp; "":"" &amp; $B$17) = M$21, ISNUMBER(SEARCH($B$4, INDIRECT(""'"" &amp; $B$16 &amp; ""'!"" &amp; $B$12 &amp; "":"" &amp; $B$12)))))/$D$9"),"#N/A")</f>
        <v>#N/A</v>
      </c>
      <c r="N32" s="296" t="str">
        <f>IFERROR(__xludf.DUMMYFUNCTION("VAR.S(FILTER(INDIRECT(""'"" &amp; $B$16 &amp; ""'!"" &amp; $B32 &amp; "":"" &amp; $B32), INDIRECT(""'"" &amp; $B$16 &amp; ""'!"" &amp; $B$17 &amp; "":"" &amp; $B$17) = N$21, ISNUMBER(SEARCH($B$4, INDIRECT(""'"" &amp; $B$16 &amp; ""'!"" &amp; $B$12 &amp; "":"" &amp; $B$12)))))/$D$10"),"#N/A")</f>
        <v>#N/A</v>
      </c>
      <c r="O32" s="297">
        <f>IFERROR(__xludf.DUMMYFUNCTION("AVERAGE(FILTER(INDIRECT(""'"" &amp; $B$16 &amp; ""'!"" &amp; $B32 &amp; "":"" &amp; $B32), INDIRECT(""'"" &amp; $B$16 &amp; ""'!"" &amp; $B$17 &amp; "":"" &amp; $B$17) = O$21, ISNUMBER(SEARCH($B$4, INDIRECT(""'"" &amp; $B$16 &amp; ""'!"" &amp; $B$12 &amp; "":"" &amp; $B$12)))))"),0.0)</f>
        <v>0</v>
      </c>
      <c r="P32" s="297" t="str">
        <f>IFERROR(__xludf.DUMMYFUNCTION("AVERAGE(FILTER(INDIRECT(""'"" &amp; $B$16 &amp; ""'!"" &amp; $B32 &amp; "":"" &amp; $B32), INDIRECT(""'"" &amp; $B$16 &amp; ""'!"" &amp; $B$17 &amp; "":"" &amp; $B$17) = P$21, ISNUMBER(SEARCH($B$4, INDIRECT(""'"" &amp; $B$16 &amp; ""'!"" &amp; $B$12 &amp; "":"" &amp; $B$12)))))"),"#N/A")</f>
        <v>#N/A</v>
      </c>
      <c r="Q32" s="297" t="str">
        <f>IFERROR(__xludf.DUMMYFUNCTION("AVERAGE(FILTER(INDIRECT(""'"" &amp; $B$16 &amp; ""'!"" &amp; $B32 &amp; "":"" &amp; $B32), INDIRECT(""'"" &amp; $B$16 &amp; ""'!"" &amp; $B$17 &amp; "":"" &amp; $B$17) = Q$21, ISNUMBER(SEARCH($B$4, INDIRECT(""'"" &amp; $B$16 &amp; ""'!"" &amp; $B$12 &amp; "":"" &amp; $B$12)))))"),"#N/A")</f>
        <v>#N/A</v>
      </c>
      <c r="R32" s="297" t="str">
        <f>IFERROR(__xludf.DUMMYFUNCTION("AVERAGE(FILTER(INDIRECT(""'"" &amp; $B$16 &amp; ""'!"" &amp; $B32 &amp; "":"" &amp; $B32), INDIRECT(""'"" &amp; $B$16 &amp; ""'!"" &amp; $B$17 &amp; "":"" &amp; $B$17) = R$21, ISNUMBER(SEARCH($B$4, INDIRECT(""'"" &amp; $B$16 &amp; ""'!"" &amp; $B$12 &amp; "":"" &amp; $B$12)))))"),"#N/A")</f>
        <v>#N/A</v>
      </c>
      <c r="S32" s="297" t="str">
        <f>IFERROR(__xludf.DUMMYFUNCTION("AVERAGE(FILTER(INDIRECT(""'"" &amp; $B$16 &amp; ""'!"" &amp; $B32 &amp; "":"" &amp; $B32), INDIRECT(""'"" &amp; $B$16 &amp; ""'!"" &amp; $B$17 &amp; "":"" &amp; $B$17) = S$21, ISNUMBER(SEARCH($B$4, INDIRECT(""'"" &amp; $B$16 &amp; ""'!"" &amp; $B$12 &amp; "":"" &amp; $B$12)))))"),"#N/A")</f>
        <v>#N/A</v>
      </c>
      <c r="T32" s="298">
        <f t="shared" ref="T32:T40" si="60">($B$6^2*J32)^0.5</f>
        <v>0</v>
      </c>
      <c r="U32" s="298" t="str">
        <f t="shared" ref="U32:U40" si="61">($B$7^2*K32)^0.5</f>
        <v>#N/A</v>
      </c>
      <c r="V32" s="298" t="str">
        <f t="shared" ref="V32:V40" si="62">($B$8^2*L32)^0.5</f>
        <v>#N/A</v>
      </c>
      <c r="W32" s="298" t="str">
        <f t="shared" ref="W32:W40" si="63">($B$9^2*M32)^0.5</f>
        <v>#N/A</v>
      </c>
      <c r="X32" s="298" t="str">
        <f t="shared" ref="X32:X40" si="64">($B$10^2*N32)^0.5</f>
        <v>#N/A</v>
      </c>
      <c r="Y32" s="298">
        <f t="shared" ref="Y32:Y40" si="65">O32*$B$6</f>
        <v>0</v>
      </c>
      <c r="Z32" s="298" t="str">
        <f t="shared" ref="Z32:Z40" si="66">P32*$B$7</f>
        <v>#N/A</v>
      </c>
      <c r="AA32" s="298" t="str">
        <f t="shared" ref="AA32:AA40" si="67">Q32*$B$8</f>
        <v>#N/A</v>
      </c>
      <c r="AB32" s="298" t="str">
        <f t="shared" ref="AB32:AB40" si="68">R32*$B$9</f>
        <v>#N/A</v>
      </c>
      <c r="AC32" s="298" t="str">
        <f t="shared" ref="AC32:AC40" si="69">S32*$B$10</f>
        <v>#N/A</v>
      </c>
      <c r="AD32" s="297">
        <f t="shared" ref="AD32:AD40" si="70">O32*$C$6</f>
        <v>0</v>
      </c>
      <c r="AE32" s="297" t="str">
        <f t="shared" ref="AE32:AE40" si="71">P32*$C$7</f>
        <v>#N/A</v>
      </c>
      <c r="AF32" s="297" t="str">
        <f t="shared" ref="AF32:AF40" si="72">Q32*$C$8</f>
        <v>#N/A</v>
      </c>
      <c r="AG32" s="297" t="str">
        <f t="shared" ref="AG32:AG40" si="73">R32*$C$9</f>
        <v>#N/A</v>
      </c>
      <c r="AH32" s="297" t="str">
        <f t="shared" ref="AH32:AH40" si="74">S32*$C$10</f>
        <v>#N/A</v>
      </c>
      <c r="AI32" s="298" t="str">
        <f t="shared" ref="AI32:AI40" si="75">(T32*T32+U32*U32+V32*V32+W32*W32+X32*X32)^0.5</f>
        <v>#N/A</v>
      </c>
      <c r="AJ32" s="298" t="str">
        <f t="shared" ref="AJ32:AJ40" si="76">AI32*$B$14</f>
        <v>#N/A</v>
      </c>
      <c r="AK32" s="298" t="str">
        <f t="shared" ref="AK32:AK40" si="77">SUM(Y32:AC32)</f>
        <v>#N/A</v>
      </c>
      <c r="AL32" s="299" t="str">
        <f t="shared" ref="AL32:AL40" si="78">IF(AJ32=0,0,AJ32/AK32)</f>
        <v>#N/A</v>
      </c>
      <c r="AM32" s="121" t="str">
        <f t="shared" ref="AM32:AM40" si="79">AK32/$B$2</f>
        <v>#N/A</v>
      </c>
    </row>
    <row r="33" ht="15.75" customHeight="1">
      <c r="A33" s="115" t="s">
        <v>378</v>
      </c>
      <c r="B33" s="90" t="str">
        <f t="shared" si="57"/>
        <v>$BY</v>
      </c>
      <c r="C33" s="288">
        <v>2.0</v>
      </c>
      <c r="D33" s="294">
        <f t="shared" ref="D33:H33" si="58">COUNTIFS(INDIRECT("'" &amp; $B$16 &amp; "'!" &amp; $B$17 &amp; ":" &amp; $B$17),D$21,INDIRECT("'" &amp; $B$16 &amp; "'!" &amp; $B33 &amp; ":" &amp; $B33),1,INDIRECT("'" &amp; $B$16 &amp; "'!" &amp; $B$12 &amp; ":" &amp; $B$12), "*" &amp; $B$4 &amp; "*")
</f>
        <v>0</v>
      </c>
      <c r="E33" s="294">
        <f t="shared" si="58"/>
        <v>0</v>
      </c>
      <c r="F33" s="294">
        <f t="shared" si="58"/>
        <v>0</v>
      </c>
      <c r="G33" s="294">
        <f t="shared" si="58"/>
        <v>0</v>
      </c>
      <c r="H33" s="294">
        <f t="shared" si="58"/>
        <v>0</v>
      </c>
      <c r="I33" s="294">
        <f t="shared" si="59"/>
        <v>0</v>
      </c>
      <c r="J33" s="295">
        <f>IFERROR(__xludf.DUMMYFUNCTION("VAR.S(FILTER(INDIRECT(""'"" &amp; $B$16 &amp; ""'!"" &amp; $B33 &amp; "":"" &amp; $B33), INDIRECT(""'"" &amp; $B$16 &amp; ""'!"" &amp; $B$17 &amp; "":"" &amp; $B$17) = J$21, ISNUMBER(SEARCH($B$4, INDIRECT(""'"" &amp; $B$16 &amp; ""'!"" &amp; $B$12 &amp; "":"" &amp; $B$12)))))/$D$6"),0.0)</f>
        <v>0</v>
      </c>
      <c r="K33" s="295" t="str">
        <f>IFERROR(__xludf.DUMMYFUNCTION("VAR.S(FILTER(INDIRECT(""'"" &amp; $B$16 &amp; ""'!"" &amp; $B33 &amp; "":"" &amp; $B33), INDIRECT(""'"" &amp; $B$16 &amp; ""'!"" &amp; $B$17 &amp; "":"" &amp; $B$17) = K$21, ISNUMBER(SEARCH($B$4, INDIRECT(""'"" &amp; $B$16 &amp; ""'!"" &amp; $B$12 &amp; "":"" &amp; $B$12)))))/$D$7"),"#N/A")</f>
        <v>#N/A</v>
      </c>
      <c r="L33" s="295" t="str">
        <f>IFERROR(__xludf.DUMMYFUNCTION("VAR.S(FILTER(INDIRECT(""'"" &amp; $B$16 &amp; ""'!"" &amp; $B33 &amp; "":"" &amp; $B33), INDIRECT(""'"" &amp; $B$16 &amp; ""'!"" &amp; $B$17 &amp; "":"" &amp; $B$17) = L$21, ISNUMBER(SEARCH($B$4, INDIRECT(""'"" &amp; $B$16 &amp; ""'!"" &amp; $B$12 &amp; "":"" &amp; $B$12)))))/$D$8"),"#N/A")</f>
        <v>#N/A</v>
      </c>
      <c r="M33" s="296" t="str">
        <f>IFERROR(__xludf.DUMMYFUNCTION("VAR.S(FILTER(INDIRECT(""'"" &amp; $B$16 &amp; ""'!"" &amp; $B33 &amp; "":"" &amp; $B33), INDIRECT(""'"" &amp; $B$16 &amp; ""'!"" &amp; $B$17 &amp; "":"" &amp; $B$17) = M$21, ISNUMBER(SEARCH($B$4, INDIRECT(""'"" &amp; $B$16 &amp; ""'!"" &amp; $B$12 &amp; "":"" &amp; $B$12)))))/$D$9"),"#N/A")</f>
        <v>#N/A</v>
      </c>
      <c r="N33" s="296" t="str">
        <f>IFERROR(__xludf.DUMMYFUNCTION("VAR.S(FILTER(INDIRECT(""'"" &amp; $B$16 &amp; ""'!"" &amp; $B33 &amp; "":"" &amp; $B33), INDIRECT(""'"" &amp; $B$16 &amp; ""'!"" &amp; $B$17 &amp; "":"" &amp; $B$17) = N$21, ISNUMBER(SEARCH($B$4, INDIRECT(""'"" &amp; $B$16 &amp; ""'!"" &amp; $B$12 &amp; "":"" &amp; $B$12)))))/$D$10"),"#N/A")</f>
        <v>#N/A</v>
      </c>
      <c r="O33" s="297">
        <f>IFERROR(__xludf.DUMMYFUNCTION("AVERAGE(FILTER(INDIRECT(""'"" &amp; $B$16 &amp; ""'!"" &amp; $B33 &amp; "":"" &amp; $B33), INDIRECT(""'"" &amp; $B$16 &amp; ""'!"" &amp; $B$17 &amp; "":"" &amp; $B$17) = O$21, ISNUMBER(SEARCH($B$4, INDIRECT(""'"" &amp; $B$16 &amp; ""'!"" &amp; $B$12 &amp; "":"" &amp; $B$12)))))"),0.0)</f>
        <v>0</v>
      </c>
      <c r="P33" s="297" t="str">
        <f>IFERROR(__xludf.DUMMYFUNCTION("AVERAGE(FILTER(INDIRECT(""'"" &amp; $B$16 &amp; ""'!"" &amp; $B33 &amp; "":"" &amp; $B33), INDIRECT(""'"" &amp; $B$16 &amp; ""'!"" &amp; $B$17 &amp; "":"" &amp; $B$17) = P$21, ISNUMBER(SEARCH($B$4, INDIRECT(""'"" &amp; $B$16 &amp; ""'!"" &amp; $B$12 &amp; "":"" &amp; $B$12)))))"),"#N/A")</f>
        <v>#N/A</v>
      </c>
      <c r="Q33" s="297" t="str">
        <f>IFERROR(__xludf.DUMMYFUNCTION("AVERAGE(FILTER(INDIRECT(""'"" &amp; $B$16 &amp; ""'!"" &amp; $B33 &amp; "":"" &amp; $B33), INDIRECT(""'"" &amp; $B$16 &amp; ""'!"" &amp; $B$17 &amp; "":"" &amp; $B$17) = Q$21, ISNUMBER(SEARCH($B$4, INDIRECT(""'"" &amp; $B$16 &amp; ""'!"" &amp; $B$12 &amp; "":"" &amp; $B$12)))))"),"#N/A")</f>
        <v>#N/A</v>
      </c>
      <c r="R33" s="297" t="str">
        <f>IFERROR(__xludf.DUMMYFUNCTION("AVERAGE(FILTER(INDIRECT(""'"" &amp; $B$16 &amp; ""'!"" &amp; $B33 &amp; "":"" &amp; $B33), INDIRECT(""'"" &amp; $B$16 &amp; ""'!"" &amp; $B$17 &amp; "":"" &amp; $B$17) = R$21, ISNUMBER(SEARCH($B$4, INDIRECT(""'"" &amp; $B$16 &amp; ""'!"" &amp; $B$12 &amp; "":"" &amp; $B$12)))))"),"#N/A")</f>
        <v>#N/A</v>
      </c>
      <c r="S33" s="297" t="str">
        <f>IFERROR(__xludf.DUMMYFUNCTION("AVERAGE(FILTER(INDIRECT(""'"" &amp; $B$16 &amp; ""'!"" &amp; $B33 &amp; "":"" &amp; $B33), INDIRECT(""'"" &amp; $B$16 &amp; ""'!"" &amp; $B$17 &amp; "":"" &amp; $B$17) = S$21, ISNUMBER(SEARCH($B$4, INDIRECT(""'"" &amp; $B$16 &amp; ""'!"" &amp; $B$12 &amp; "":"" &amp; $B$12)))))"),"#N/A")</f>
        <v>#N/A</v>
      </c>
      <c r="T33" s="298">
        <f t="shared" si="60"/>
        <v>0</v>
      </c>
      <c r="U33" s="298" t="str">
        <f t="shared" si="61"/>
        <v>#N/A</v>
      </c>
      <c r="V33" s="298" t="str">
        <f t="shared" si="62"/>
        <v>#N/A</v>
      </c>
      <c r="W33" s="298" t="str">
        <f t="shared" si="63"/>
        <v>#N/A</v>
      </c>
      <c r="X33" s="298" t="str">
        <f t="shared" si="64"/>
        <v>#N/A</v>
      </c>
      <c r="Y33" s="298">
        <f t="shared" si="65"/>
        <v>0</v>
      </c>
      <c r="Z33" s="298" t="str">
        <f t="shared" si="66"/>
        <v>#N/A</v>
      </c>
      <c r="AA33" s="298" t="str">
        <f t="shared" si="67"/>
        <v>#N/A</v>
      </c>
      <c r="AB33" s="298" t="str">
        <f t="shared" si="68"/>
        <v>#N/A</v>
      </c>
      <c r="AC33" s="298" t="str">
        <f t="shared" si="69"/>
        <v>#N/A</v>
      </c>
      <c r="AD33" s="297">
        <f t="shared" si="70"/>
        <v>0</v>
      </c>
      <c r="AE33" s="297" t="str">
        <f t="shared" si="71"/>
        <v>#N/A</v>
      </c>
      <c r="AF33" s="297" t="str">
        <f t="shared" si="72"/>
        <v>#N/A</v>
      </c>
      <c r="AG33" s="297" t="str">
        <f t="shared" si="73"/>
        <v>#N/A</v>
      </c>
      <c r="AH33" s="297" t="str">
        <f t="shared" si="74"/>
        <v>#N/A</v>
      </c>
      <c r="AI33" s="298" t="str">
        <f t="shared" si="75"/>
        <v>#N/A</v>
      </c>
      <c r="AJ33" s="298" t="str">
        <f t="shared" si="76"/>
        <v>#N/A</v>
      </c>
      <c r="AK33" s="298" t="str">
        <f t="shared" si="77"/>
        <v>#N/A</v>
      </c>
      <c r="AL33" s="299" t="str">
        <f t="shared" si="78"/>
        <v>#N/A</v>
      </c>
      <c r="AM33" s="121" t="str">
        <f t="shared" si="79"/>
        <v>#N/A</v>
      </c>
    </row>
    <row r="34" ht="15.75" customHeight="1">
      <c r="A34" s="115" t="s">
        <v>381</v>
      </c>
      <c r="B34" s="90" t="str">
        <f t="shared" si="57"/>
        <v>$BZ</v>
      </c>
      <c r="C34" s="288">
        <v>3.0</v>
      </c>
      <c r="D34" s="294">
        <f t="shared" ref="D34:H34" si="80">COUNTIFS(INDIRECT("'" &amp; $B$16 &amp; "'!" &amp; $B$17 &amp; ":" &amp; $B$17),D$21,INDIRECT("'" &amp; $B$16 &amp; "'!" &amp; $B34 &amp; ":" &amp; $B34),1,INDIRECT("'" &amp; $B$16 &amp; "'!" &amp; $B$12 &amp; ":" &amp; $B$12), "*" &amp; $B$4 &amp; "*")
</f>
        <v>0</v>
      </c>
      <c r="E34" s="294">
        <f t="shared" si="80"/>
        <v>0</v>
      </c>
      <c r="F34" s="294">
        <f t="shared" si="80"/>
        <v>0</v>
      </c>
      <c r="G34" s="294">
        <f t="shared" si="80"/>
        <v>0</v>
      </c>
      <c r="H34" s="294">
        <f t="shared" si="80"/>
        <v>0</v>
      </c>
      <c r="I34" s="294">
        <f t="shared" si="59"/>
        <v>0</v>
      </c>
      <c r="J34" s="295">
        <f>IFERROR(__xludf.DUMMYFUNCTION("VAR.S(FILTER(INDIRECT(""'"" &amp; $B$16 &amp; ""'!"" &amp; $B34 &amp; "":"" &amp; $B34), INDIRECT(""'"" &amp; $B$16 &amp; ""'!"" &amp; $B$17 &amp; "":"" &amp; $B$17) = J$21, ISNUMBER(SEARCH($B$4, INDIRECT(""'"" &amp; $B$16 &amp; ""'!"" &amp; $B$12 &amp; "":"" &amp; $B$12)))))/$D$6"),0.0)</f>
        <v>0</v>
      </c>
      <c r="K34" s="295" t="str">
        <f>IFERROR(__xludf.DUMMYFUNCTION("VAR.S(FILTER(INDIRECT(""'"" &amp; $B$16 &amp; ""'!"" &amp; $B34 &amp; "":"" &amp; $B34), INDIRECT(""'"" &amp; $B$16 &amp; ""'!"" &amp; $B$17 &amp; "":"" &amp; $B$17) = K$21, ISNUMBER(SEARCH($B$4, INDIRECT(""'"" &amp; $B$16 &amp; ""'!"" &amp; $B$12 &amp; "":"" &amp; $B$12)))))/$D$7"),"#N/A")</f>
        <v>#N/A</v>
      </c>
      <c r="L34" s="295" t="str">
        <f>IFERROR(__xludf.DUMMYFUNCTION("VAR.S(FILTER(INDIRECT(""'"" &amp; $B$16 &amp; ""'!"" &amp; $B34 &amp; "":"" &amp; $B34), INDIRECT(""'"" &amp; $B$16 &amp; ""'!"" &amp; $B$17 &amp; "":"" &amp; $B$17) = L$21, ISNUMBER(SEARCH($B$4, INDIRECT(""'"" &amp; $B$16 &amp; ""'!"" &amp; $B$12 &amp; "":"" &amp; $B$12)))))/$D$8"),"#N/A")</f>
        <v>#N/A</v>
      </c>
      <c r="M34" s="296" t="str">
        <f>IFERROR(__xludf.DUMMYFUNCTION("VAR.S(FILTER(INDIRECT(""'"" &amp; $B$16 &amp; ""'!"" &amp; $B34 &amp; "":"" &amp; $B34), INDIRECT(""'"" &amp; $B$16 &amp; ""'!"" &amp; $B$17 &amp; "":"" &amp; $B$17) = M$21, ISNUMBER(SEARCH($B$4, INDIRECT(""'"" &amp; $B$16 &amp; ""'!"" &amp; $B$12 &amp; "":"" &amp; $B$12)))))/$D$9"),"#N/A")</f>
        <v>#N/A</v>
      </c>
      <c r="N34" s="296" t="str">
        <f>IFERROR(__xludf.DUMMYFUNCTION("VAR.S(FILTER(INDIRECT(""'"" &amp; $B$16 &amp; ""'!"" &amp; $B34 &amp; "":"" &amp; $B34), INDIRECT(""'"" &amp; $B$16 &amp; ""'!"" &amp; $B$17 &amp; "":"" &amp; $B$17) = N$21, ISNUMBER(SEARCH($B$4, INDIRECT(""'"" &amp; $B$16 &amp; ""'!"" &amp; $B$12 &amp; "":"" &amp; $B$12)))))/$D$10"),"#N/A")</f>
        <v>#N/A</v>
      </c>
      <c r="O34" s="297">
        <f>IFERROR(__xludf.DUMMYFUNCTION("AVERAGE(FILTER(INDIRECT(""'"" &amp; $B$16 &amp; ""'!"" &amp; $B34 &amp; "":"" &amp; $B34), INDIRECT(""'"" &amp; $B$16 &amp; ""'!"" &amp; $B$17 &amp; "":"" &amp; $B$17) = O$21, ISNUMBER(SEARCH($B$4, INDIRECT(""'"" &amp; $B$16 &amp; ""'!"" &amp; $B$12 &amp; "":"" &amp; $B$12)))))"),0.0)</f>
        <v>0</v>
      </c>
      <c r="P34" s="297" t="str">
        <f>IFERROR(__xludf.DUMMYFUNCTION("AVERAGE(FILTER(INDIRECT(""'"" &amp; $B$16 &amp; ""'!"" &amp; $B34 &amp; "":"" &amp; $B34), INDIRECT(""'"" &amp; $B$16 &amp; ""'!"" &amp; $B$17 &amp; "":"" &amp; $B$17) = P$21, ISNUMBER(SEARCH($B$4, INDIRECT(""'"" &amp; $B$16 &amp; ""'!"" &amp; $B$12 &amp; "":"" &amp; $B$12)))))"),"#N/A")</f>
        <v>#N/A</v>
      </c>
      <c r="Q34" s="297" t="str">
        <f>IFERROR(__xludf.DUMMYFUNCTION("AVERAGE(FILTER(INDIRECT(""'"" &amp; $B$16 &amp; ""'!"" &amp; $B34 &amp; "":"" &amp; $B34), INDIRECT(""'"" &amp; $B$16 &amp; ""'!"" &amp; $B$17 &amp; "":"" &amp; $B$17) = Q$21, ISNUMBER(SEARCH($B$4, INDIRECT(""'"" &amp; $B$16 &amp; ""'!"" &amp; $B$12 &amp; "":"" &amp; $B$12)))))"),"#N/A")</f>
        <v>#N/A</v>
      </c>
      <c r="R34" s="297" t="str">
        <f>IFERROR(__xludf.DUMMYFUNCTION("AVERAGE(FILTER(INDIRECT(""'"" &amp; $B$16 &amp; ""'!"" &amp; $B34 &amp; "":"" &amp; $B34), INDIRECT(""'"" &amp; $B$16 &amp; ""'!"" &amp; $B$17 &amp; "":"" &amp; $B$17) = R$21, ISNUMBER(SEARCH($B$4, INDIRECT(""'"" &amp; $B$16 &amp; ""'!"" &amp; $B$12 &amp; "":"" &amp; $B$12)))))"),"#N/A")</f>
        <v>#N/A</v>
      </c>
      <c r="S34" s="297" t="str">
        <f>IFERROR(__xludf.DUMMYFUNCTION("AVERAGE(FILTER(INDIRECT(""'"" &amp; $B$16 &amp; ""'!"" &amp; $B34 &amp; "":"" &amp; $B34), INDIRECT(""'"" &amp; $B$16 &amp; ""'!"" &amp; $B$17 &amp; "":"" &amp; $B$17) = S$21, ISNUMBER(SEARCH($B$4, INDIRECT(""'"" &amp; $B$16 &amp; ""'!"" &amp; $B$12 &amp; "":"" &amp; $B$12)))))"),"#N/A")</f>
        <v>#N/A</v>
      </c>
      <c r="T34" s="298">
        <f t="shared" si="60"/>
        <v>0</v>
      </c>
      <c r="U34" s="298" t="str">
        <f t="shared" si="61"/>
        <v>#N/A</v>
      </c>
      <c r="V34" s="298" t="str">
        <f t="shared" si="62"/>
        <v>#N/A</v>
      </c>
      <c r="W34" s="298" t="str">
        <f t="shared" si="63"/>
        <v>#N/A</v>
      </c>
      <c r="X34" s="298" t="str">
        <f t="shared" si="64"/>
        <v>#N/A</v>
      </c>
      <c r="Y34" s="298">
        <f t="shared" si="65"/>
        <v>0</v>
      </c>
      <c r="Z34" s="298" t="str">
        <f t="shared" si="66"/>
        <v>#N/A</v>
      </c>
      <c r="AA34" s="298" t="str">
        <f t="shared" si="67"/>
        <v>#N/A</v>
      </c>
      <c r="AB34" s="298" t="str">
        <f t="shared" si="68"/>
        <v>#N/A</v>
      </c>
      <c r="AC34" s="298" t="str">
        <f t="shared" si="69"/>
        <v>#N/A</v>
      </c>
      <c r="AD34" s="297">
        <f t="shared" si="70"/>
        <v>0</v>
      </c>
      <c r="AE34" s="297" t="str">
        <f t="shared" si="71"/>
        <v>#N/A</v>
      </c>
      <c r="AF34" s="297" t="str">
        <f t="shared" si="72"/>
        <v>#N/A</v>
      </c>
      <c r="AG34" s="297" t="str">
        <f t="shared" si="73"/>
        <v>#N/A</v>
      </c>
      <c r="AH34" s="297" t="str">
        <f t="shared" si="74"/>
        <v>#N/A</v>
      </c>
      <c r="AI34" s="298" t="str">
        <f t="shared" si="75"/>
        <v>#N/A</v>
      </c>
      <c r="AJ34" s="298" t="str">
        <f t="shared" si="76"/>
        <v>#N/A</v>
      </c>
      <c r="AK34" s="298" t="str">
        <f t="shared" si="77"/>
        <v>#N/A</v>
      </c>
      <c r="AL34" s="299" t="str">
        <f t="shared" si="78"/>
        <v>#N/A</v>
      </c>
      <c r="AM34" s="121" t="str">
        <f t="shared" si="79"/>
        <v>#N/A</v>
      </c>
    </row>
    <row r="35" ht="15.75" customHeight="1">
      <c r="A35" s="115" t="s">
        <v>384</v>
      </c>
      <c r="B35" s="90" t="str">
        <f t="shared" si="57"/>
        <v>$CA</v>
      </c>
      <c r="C35" s="288">
        <v>4.0</v>
      </c>
      <c r="D35" s="294">
        <f t="shared" ref="D35:H35" si="81">COUNTIFS(INDIRECT("'" &amp; $B$16 &amp; "'!" &amp; $B$17 &amp; ":" &amp; $B$17),D$21,INDIRECT("'" &amp; $B$16 &amp; "'!" &amp; $B35 &amp; ":" &amp; $B35),1,INDIRECT("'" &amp; $B$16 &amp; "'!" &amp; $B$12 &amp; ":" &amp; $B$12), "*" &amp; $B$4 &amp; "*")
</f>
        <v>0</v>
      </c>
      <c r="E35" s="294">
        <f t="shared" si="81"/>
        <v>0</v>
      </c>
      <c r="F35" s="294">
        <f t="shared" si="81"/>
        <v>0</v>
      </c>
      <c r="G35" s="294">
        <f t="shared" si="81"/>
        <v>0</v>
      </c>
      <c r="H35" s="294">
        <f t="shared" si="81"/>
        <v>0</v>
      </c>
      <c r="I35" s="294">
        <f t="shared" si="59"/>
        <v>0</v>
      </c>
      <c r="J35" s="295">
        <f>IFERROR(__xludf.DUMMYFUNCTION("VAR.S(FILTER(INDIRECT(""'"" &amp; $B$16 &amp; ""'!"" &amp; $B35 &amp; "":"" &amp; $B35), INDIRECT(""'"" &amp; $B$16 &amp; ""'!"" &amp; $B$17 &amp; "":"" &amp; $B$17) = J$21, ISNUMBER(SEARCH($B$4, INDIRECT(""'"" &amp; $B$16 &amp; ""'!"" &amp; $B$12 &amp; "":"" &amp; $B$12)))))/$D$6"),0.0)</f>
        <v>0</v>
      </c>
      <c r="K35" s="295" t="str">
        <f>IFERROR(__xludf.DUMMYFUNCTION("VAR.S(FILTER(INDIRECT(""'"" &amp; $B$16 &amp; ""'!"" &amp; $B35 &amp; "":"" &amp; $B35), INDIRECT(""'"" &amp; $B$16 &amp; ""'!"" &amp; $B$17 &amp; "":"" &amp; $B$17) = K$21, ISNUMBER(SEARCH($B$4, INDIRECT(""'"" &amp; $B$16 &amp; ""'!"" &amp; $B$12 &amp; "":"" &amp; $B$12)))))/$D$7"),"#N/A")</f>
        <v>#N/A</v>
      </c>
      <c r="L35" s="295" t="str">
        <f>IFERROR(__xludf.DUMMYFUNCTION("VAR.S(FILTER(INDIRECT(""'"" &amp; $B$16 &amp; ""'!"" &amp; $B35 &amp; "":"" &amp; $B35), INDIRECT(""'"" &amp; $B$16 &amp; ""'!"" &amp; $B$17 &amp; "":"" &amp; $B$17) = L$21, ISNUMBER(SEARCH($B$4, INDIRECT(""'"" &amp; $B$16 &amp; ""'!"" &amp; $B$12 &amp; "":"" &amp; $B$12)))))/$D$8"),"#N/A")</f>
        <v>#N/A</v>
      </c>
      <c r="M35" s="296" t="str">
        <f>IFERROR(__xludf.DUMMYFUNCTION("VAR.S(FILTER(INDIRECT(""'"" &amp; $B$16 &amp; ""'!"" &amp; $B35 &amp; "":"" &amp; $B35), INDIRECT(""'"" &amp; $B$16 &amp; ""'!"" &amp; $B$17 &amp; "":"" &amp; $B$17) = M$21, ISNUMBER(SEARCH($B$4, INDIRECT(""'"" &amp; $B$16 &amp; ""'!"" &amp; $B$12 &amp; "":"" &amp; $B$12)))))/$D$9"),"#N/A")</f>
        <v>#N/A</v>
      </c>
      <c r="N35" s="296" t="str">
        <f>IFERROR(__xludf.DUMMYFUNCTION("VAR.S(FILTER(INDIRECT(""'"" &amp; $B$16 &amp; ""'!"" &amp; $B35 &amp; "":"" &amp; $B35), INDIRECT(""'"" &amp; $B$16 &amp; ""'!"" &amp; $B$17 &amp; "":"" &amp; $B$17) = N$21, ISNUMBER(SEARCH($B$4, INDIRECT(""'"" &amp; $B$16 &amp; ""'!"" &amp; $B$12 &amp; "":"" &amp; $B$12)))))/$D$10"),"#N/A")</f>
        <v>#N/A</v>
      </c>
      <c r="O35" s="297">
        <f>IFERROR(__xludf.DUMMYFUNCTION("AVERAGE(FILTER(INDIRECT(""'"" &amp; $B$16 &amp; ""'!"" &amp; $B35 &amp; "":"" &amp; $B35), INDIRECT(""'"" &amp; $B$16 &amp; ""'!"" &amp; $B$17 &amp; "":"" &amp; $B$17) = O$21, ISNUMBER(SEARCH($B$4, INDIRECT(""'"" &amp; $B$16 &amp; ""'!"" &amp; $B$12 &amp; "":"" &amp; $B$12)))))"),0.0)</f>
        <v>0</v>
      </c>
      <c r="P35" s="297" t="str">
        <f>IFERROR(__xludf.DUMMYFUNCTION("AVERAGE(FILTER(INDIRECT(""'"" &amp; $B$16 &amp; ""'!"" &amp; $B35 &amp; "":"" &amp; $B35), INDIRECT(""'"" &amp; $B$16 &amp; ""'!"" &amp; $B$17 &amp; "":"" &amp; $B$17) = P$21, ISNUMBER(SEARCH($B$4, INDIRECT(""'"" &amp; $B$16 &amp; ""'!"" &amp; $B$12 &amp; "":"" &amp; $B$12)))))"),"#N/A")</f>
        <v>#N/A</v>
      </c>
      <c r="Q35" s="297" t="str">
        <f>IFERROR(__xludf.DUMMYFUNCTION("AVERAGE(FILTER(INDIRECT(""'"" &amp; $B$16 &amp; ""'!"" &amp; $B35 &amp; "":"" &amp; $B35), INDIRECT(""'"" &amp; $B$16 &amp; ""'!"" &amp; $B$17 &amp; "":"" &amp; $B$17) = Q$21, ISNUMBER(SEARCH($B$4, INDIRECT(""'"" &amp; $B$16 &amp; ""'!"" &amp; $B$12 &amp; "":"" &amp; $B$12)))))"),"#N/A")</f>
        <v>#N/A</v>
      </c>
      <c r="R35" s="297" t="str">
        <f>IFERROR(__xludf.DUMMYFUNCTION("AVERAGE(FILTER(INDIRECT(""'"" &amp; $B$16 &amp; ""'!"" &amp; $B35 &amp; "":"" &amp; $B35), INDIRECT(""'"" &amp; $B$16 &amp; ""'!"" &amp; $B$17 &amp; "":"" &amp; $B$17) = R$21, ISNUMBER(SEARCH($B$4, INDIRECT(""'"" &amp; $B$16 &amp; ""'!"" &amp; $B$12 &amp; "":"" &amp; $B$12)))))"),"#N/A")</f>
        <v>#N/A</v>
      </c>
      <c r="S35" s="297" t="str">
        <f>IFERROR(__xludf.DUMMYFUNCTION("AVERAGE(FILTER(INDIRECT(""'"" &amp; $B$16 &amp; ""'!"" &amp; $B35 &amp; "":"" &amp; $B35), INDIRECT(""'"" &amp; $B$16 &amp; ""'!"" &amp; $B$17 &amp; "":"" &amp; $B$17) = S$21, ISNUMBER(SEARCH($B$4, INDIRECT(""'"" &amp; $B$16 &amp; ""'!"" &amp; $B$12 &amp; "":"" &amp; $B$12)))))"),"#N/A")</f>
        <v>#N/A</v>
      </c>
      <c r="T35" s="298">
        <f t="shared" si="60"/>
        <v>0</v>
      </c>
      <c r="U35" s="298" t="str">
        <f t="shared" si="61"/>
        <v>#N/A</v>
      </c>
      <c r="V35" s="298" t="str">
        <f t="shared" si="62"/>
        <v>#N/A</v>
      </c>
      <c r="W35" s="298" t="str">
        <f t="shared" si="63"/>
        <v>#N/A</v>
      </c>
      <c r="X35" s="298" t="str">
        <f t="shared" si="64"/>
        <v>#N/A</v>
      </c>
      <c r="Y35" s="298">
        <f t="shared" si="65"/>
        <v>0</v>
      </c>
      <c r="Z35" s="298" t="str">
        <f t="shared" si="66"/>
        <v>#N/A</v>
      </c>
      <c r="AA35" s="298" t="str">
        <f t="shared" si="67"/>
        <v>#N/A</v>
      </c>
      <c r="AB35" s="298" t="str">
        <f t="shared" si="68"/>
        <v>#N/A</v>
      </c>
      <c r="AC35" s="298" t="str">
        <f t="shared" si="69"/>
        <v>#N/A</v>
      </c>
      <c r="AD35" s="297">
        <f t="shared" si="70"/>
        <v>0</v>
      </c>
      <c r="AE35" s="297" t="str">
        <f t="shared" si="71"/>
        <v>#N/A</v>
      </c>
      <c r="AF35" s="297" t="str">
        <f t="shared" si="72"/>
        <v>#N/A</v>
      </c>
      <c r="AG35" s="297" t="str">
        <f t="shared" si="73"/>
        <v>#N/A</v>
      </c>
      <c r="AH35" s="297" t="str">
        <f t="shared" si="74"/>
        <v>#N/A</v>
      </c>
      <c r="AI35" s="298" t="str">
        <f t="shared" si="75"/>
        <v>#N/A</v>
      </c>
      <c r="AJ35" s="298" t="str">
        <f t="shared" si="76"/>
        <v>#N/A</v>
      </c>
      <c r="AK35" s="298" t="str">
        <f t="shared" si="77"/>
        <v>#N/A</v>
      </c>
      <c r="AL35" s="299" t="str">
        <f t="shared" si="78"/>
        <v>#N/A</v>
      </c>
      <c r="AM35" s="121" t="str">
        <f t="shared" si="79"/>
        <v>#N/A</v>
      </c>
    </row>
    <row r="36" ht="15.75" customHeight="1">
      <c r="A36" s="115" t="s">
        <v>387</v>
      </c>
      <c r="B36" s="90" t="str">
        <f t="shared" si="57"/>
        <v>$CB</v>
      </c>
      <c r="C36" s="288">
        <v>7.0</v>
      </c>
      <c r="D36" s="294">
        <f t="shared" ref="D36:H36" si="82">COUNTIFS(INDIRECT("'" &amp; $B$16 &amp; "'!" &amp; $B$17 &amp; ":" &amp; $B$17),D$21,INDIRECT("'" &amp; $B$16 &amp; "'!" &amp; $B36 &amp; ":" &amp; $B36),1,INDIRECT("'" &amp; $B$16 &amp; "'!" &amp; $B$12 &amp; ":" &amp; $B$12), "*" &amp; $B$4 &amp; "*")
</f>
        <v>0</v>
      </c>
      <c r="E36" s="294">
        <f t="shared" si="82"/>
        <v>0</v>
      </c>
      <c r="F36" s="294">
        <f t="shared" si="82"/>
        <v>0</v>
      </c>
      <c r="G36" s="294">
        <f t="shared" si="82"/>
        <v>0</v>
      </c>
      <c r="H36" s="294">
        <f t="shared" si="82"/>
        <v>0</v>
      </c>
      <c r="I36" s="294">
        <f t="shared" si="59"/>
        <v>0</v>
      </c>
      <c r="J36" s="295">
        <f>IFERROR(__xludf.DUMMYFUNCTION("VAR.S(FILTER(INDIRECT(""'"" &amp; $B$16 &amp; ""'!"" &amp; $B36 &amp; "":"" &amp; $B36), INDIRECT(""'"" &amp; $B$16 &amp; ""'!"" &amp; $B$17 &amp; "":"" &amp; $B$17) = J$21, ISNUMBER(SEARCH($B$4, INDIRECT(""'"" &amp; $B$16 &amp; ""'!"" &amp; $B$12 &amp; "":"" &amp; $B$12)))))/$D$6"),0.0)</f>
        <v>0</v>
      </c>
      <c r="K36" s="295" t="str">
        <f>IFERROR(__xludf.DUMMYFUNCTION("VAR.S(FILTER(INDIRECT(""'"" &amp; $B$16 &amp; ""'!"" &amp; $B36 &amp; "":"" &amp; $B36), INDIRECT(""'"" &amp; $B$16 &amp; ""'!"" &amp; $B$17 &amp; "":"" &amp; $B$17) = K$21, ISNUMBER(SEARCH($B$4, INDIRECT(""'"" &amp; $B$16 &amp; ""'!"" &amp; $B$12 &amp; "":"" &amp; $B$12)))))/$D$7"),"#N/A")</f>
        <v>#N/A</v>
      </c>
      <c r="L36" s="295" t="str">
        <f>IFERROR(__xludf.DUMMYFUNCTION("VAR.S(FILTER(INDIRECT(""'"" &amp; $B$16 &amp; ""'!"" &amp; $B36 &amp; "":"" &amp; $B36), INDIRECT(""'"" &amp; $B$16 &amp; ""'!"" &amp; $B$17 &amp; "":"" &amp; $B$17) = L$21, ISNUMBER(SEARCH($B$4, INDIRECT(""'"" &amp; $B$16 &amp; ""'!"" &amp; $B$12 &amp; "":"" &amp; $B$12)))))/$D$8"),"#N/A")</f>
        <v>#N/A</v>
      </c>
      <c r="M36" s="296" t="str">
        <f>IFERROR(__xludf.DUMMYFUNCTION("VAR.S(FILTER(INDIRECT(""'"" &amp; $B$16 &amp; ""'!"" &amp; $B36 &amp; "":"" &amp; $B36), INDIRECT(""'"" &amp; $B$16 &amp; ""'!"" &amp; $B$17 &amp; "":"" &amp; $B$17) = M$21, ISNUMBER(SEARCH($B$4, INDIRECT(""'"" &amp; $B$16 &amp; ""'!"" &amp; $B$12 &amp; "":"" &amp; $B$12)))))/$D$9"),"#N/A")</f>
        <v>#N/A</v>
      </c>
      <c r="N36" s="296" t="str">
        <f>IFERROR(__xludf.DUMMYFUNCTION("VAR.S(FILTER(INDIRECT(""'"" &amp; $B$16 &amp; ""'!"" &amp; $B36 &amp; "":"" &amp; $B36), INDIRECT(""'"" &amp; $B$16 &amp; ""'!"" &amp; $B$17 &amp; "":"" &amp; $B$17) = N$21, ISNUMBER(SEARCH($B$4, INDIRECT(""'"" &amp; $B$16 &amp; ""'!"" &amp; $B$12 &amp; "":"" &amp; $B$12)))))/$D$10"),"#N/A")</f>
        <v>#N/A</v>
      </c>
      <c r="O36" s="297">
        <f>IFERROR(__xludf.DUMMYFUNCTION("AVERAGE(FILTER(INDIRECT(""'"" &amp; $B$16 &amp; ""'!"" &amp; $B36 &amp; "":"" &amp; $B36), INDIRECT(""'"" &amp; $B$16 &amp; ""'!"" &amp; $B$17 &amp; "":"" &amp; $B$17) = O$21, ISNUMBER(SEARCH($B$4, INDIRECT(""'"" &amp; $B$16 &amp; ""'!"" &amp; $B$12 &amp; "":"" &amp; $B$12)))))"),0.0)</f>
        <v>0</v>
      </c>
      <c r="P36" s="297" t="str">
        <f>IFERROR(__xludf.DUMMYFUNCTION("AVERAGE(FILTER(INDIRECT(""'"" &amp; $B$16 &amp; ""'!"" &amp; $B36 &amp; "":"" &amp; $B36), INDIRECT(""'"" &amp; $B$16 &amp; ""'!"" &amp; $B$17 &amp; "":"" &amp; $B$17) = P$21, ISNUMBER(SEARCH($B$4, INDIRECT(""'"" &amp; $B$16 &amp; ""'!"" &amp; $B$12 &amp; "":"" &amp; $B$12)))))"),"#N/A")</f>
        <v>#N/A</v>
      </c>
      <c r="Q36" s="297" t="str">
        <f>IFERROR(__xludf.DUMMYFUNCTION("AVERAGE(FILTER(INDIRECT(""'"" &amp; $B$16 &amp; ""'!"" &amp; $B36 &amp; "":"" &amp; $B36), INDIRECT(""'"" &amp; $B$16 &amp; ""'!"" &amp; $B$17 &amp; "":"" &amp; $B$17) = Q$21, ISNUMBER(SEARCH($B$4, INDIRECT(""'"" &amp; $B$16 &amp; ""'!"" &amp; $B$12 &amp; "":"" &amp; $B$12)))))"),"#N/A")</f>
        <v>#N/A</v>
      </c>
      <c r="R36" s="297" t="str">
        <f>IFERROR(__xludf.DUMMYFUNCTION("AVERAGE(FILTER(INDIRECT(""'"" &amp; $B$16 &amp; ""'!"" &amp; $B36 &amp; "":"" &amp; $B36), INDIRECT(""'"" &amp; $B$16 &amp; ""'!"" &amp; $B$17 &amp; "":"" &amp; $B$17) = R$21, ISNUMBER(SEARCH($B$4, INDIRECT(""'"" &amp; $B$16 &amp; ""'!"" &amp; $B$12 &amp; "":"" &amp; $B$12)))))"),"#N/A")</f>
        <v>#N/A</v>
      </c>
      <c r="S36" s="297" t="str">
        <f>IFERROR(__xludf.DUMMYFUNCTION("AVERAGE(FILTER(INDIRECT(""'"" &amp; $B$16 &amp; ""'!"" &amp; $B36 &amp; "":"" &amp; $B36), INDIRECT(""'"" &amp; $B$16 &amp; ""'!"" &amp; $B$17 &amp; "":"" &amp; $B$17) = S$21, ISNUMBER(SEARCH($B$4, INDIRECT(""'"" &amp; $B$16 &amp; ""'!"" &amp; $B$12 &amp; "":"" &amp; $B$12)))))"),"#N/A")</f>
        <v>#N/A</v>
      </c>
      <c r="T36" s="298">
        <f t="shared" si="60"/>
        <v>0</v>
      </c>
      <c r="U36" s="298" t="str">
        <f t="shared" si="61"/>
        <v>#N/A</v>
      </c>
      <c r="V36" s="298" t="str">
        <f t="shared" si="62"/>
        <v>#N/A</v>
      </c>
      <c r="W36" s="298" t="str">
        <f t="shared" si="63"/>
        <v>#N/A</v>
      </c>
      <c r="X36" s="298" t="str">
        <f t="shared" si="64"/>
        <v>#N/A</v>
      </c>
      <c r="Y36" s="298">
        <f t="shared" si="65"/>
        <v>0</v>
      </c>
      <c r="Z36" s="298" t="str">
        <f t="shared" si="66"/>
        <v>#N/A</v>
      </c>
      <c r="AA36" s="298" t="str">
        <f t="shared" si="67"/>
        <v>#N/A</v>
      </c>
      <c r="AB36" s="298" t="str">
        <f t="shared" si="68"/>
        <v>#N/A</v>
      </c>
      <c r="AC36" s="298" t="str">
        <f t="shared" si="69"/>
        <v>#N/A</v>
      </c>
      <c r="AD36" s="297">
        <f t="shared" si="70"/>
        <v>0</v>
      </c>
      <c r="AE36" s="297" t="str">
        <f t="shared" si="71"/>
        <v>#N/A</v>
      </c>
      <c r="AF36" s="297" t="str">
        <f t="shared" si="72"/>
        <v>#N/A</v>
      </c>
      <c r="AG36" s="297" t="str">
        <f t="shared" si="73"/>
        <v>#N/A</v>
      </c>
      <c r="AH36" s="297" t="str">
        <f t="shared" si="74"/>
        <v>#N/A</v>
      </c>
      <c r="AI36" s="298" t="str">
        <f t="shared" si="75"/>
        <v>#N/A</v>
      </c>
      <c r="AJ36" s="298" t="str">
        <f t="shared" si="76"/>
        <v>#N/A</v>
      </c>
      <c r="AK36" s="298" t="str">
        <f t="shared" si="77"/>
        <v>#N/A</v>
      </c>
      <c r="AL36" s="299" t="str">
        <f t="shared" si="78"/>
        <v>#N/A</v>
      </c>
      <c r="AM36" s="121" t="str">
        <f t="shared" si="79"/>
        <v>#N/A</v>
      </c>
    </row>
    <row r="37" ht="15.75" customHeight="1">
      <c r="A37" s="115" t="s">
        <v>390</v>
      </c>
      <c r="B37" s="90" t="str">
        <f t="shared" si="57"/>
        <v>$CC</v>
      </c>
      <c r="C37" s="288">
        <v>8.0</v>
      </c>
      <c r="D37" s="294">
        <f t="shared" ref="D37:H37" si="83">COUNTIFS(INDIRECT("'" &amp; $B$16 &amp; "'!" &amp; $B$17 &amp; ":" &amp; $B$17),D$21,INDIRECT("'" &amp; $B$16 &amp; "'!" &amp; $B37 &amp; ":" &amp; $B37),1,INDIRECT("'" &amp; $B$16 &amp; "'!" &amp; $B$12 &amp; ":" &amp; $B$12), "*" &amp; $B$4 &amp; "*")
</f>
        <v>0</v>
      </c>
      <c r="E37" s="294">
        <f t="shared" si="83"/>
        <v>0</v>
      </c>
      <c r="F37" s="294">
        <f t="shared" si="83"/>
        <v>0</v>
      </c>
      <c r="G37" s="294">
        <f t="shared" si="83"/>
        <v>0</v>
      </c>
      <c r="H37" s="294">
        <f t="shared" si="83"/>
        <v>0</v>
      </c>
      <c r="I37" s="294">
        <f t="shared" si="59"/>
        <v>0</v>
      </c>
      <c r="J37" s="295">
        <f>IFERROR(__xludf.DUMMYFUNCTION("VAR.S(FILTER(INDIRECT(""'"" &amp; $B$16 &amp; ""'!"" &amp; $B37 &amp; "":"" &amp; $B37), INDIRECT(""'"" &amp; $B$16 &amp; ""'!"" &amp; $B$17 &amp; "":"" &amp; $B$17) = J$21, ISNUMBER(SEARCH($B$4, INDIRECT(""'"" &amp; $B$16 &amp; ""'!"" &amp; $B$12 &amp; "":"" &amp; $B$12)))))/$D$6"),0.0)</f>
        <v>0</v>
      </c>
      <c r="K37" s="295" t="str">
        <f>IFERROR(__xludf.DUMMYFUNCTION("VAR.S(FILTER(INDIRECT(""'"" &amp; $B$16 &amp; ""'!"" &amp; $B37 &amp; "":"" &amp; $B37), INDIRECT(""'"" &amp; $B$16 &amp; ""'!"" &amp; $B$17 &amp; "":"" &amp; $B$17) = K$21, ISNUMBER(SEARCH($B$4, INDIRECT(""'"" &amp; $B$16 &amp; ""'!"" &amp; $B$12 &amp; "":"" &amp; $B$12)))))/$D$7"),"#N/A")</f>
        <v>#N/A</v>
      </c>
      <c r="L37" s="295" t="str">
        <f>IFERROR(__xludf.DUMMYFUNCTION("VAR.S(FILTER(INDIRECT(""'"" &amp; $B$16 &amp; ""'!"" &amp; $B37 &amp; "":"" &amp; $B37), INDIRECT(""'"" &amp; $B$16 &amp; ""'!"" &amp; $B$17 &amp; "":"" &amp; $B$17) = L$21, ISNUMBER(SEARCH($B$4, INDIRECT(""'"" &amp; $B$16 &amp; ""'!"" &amp; $B$12 &amp; "":"" &amp; $B$12)))))/$D$8"),"#N/A")</f>
        <v>#N/A</v>
      </c>
      <c r="M37" s="296" t="str">
        <f>IFERROR(__xludf.DUMMYFUNCTION("VAR.S(FILTER(INDIRECT(""'"" &amp; $B$16 &amp; ""'!"" &amp; $B37 &amp; "":"" &amp; $B37), INDIRECT(""'"" &amp; $B$16 &amp; ""'!"" &amp; $B$17 &amp; "":"" &amp; $B$17) = M$21, ISNUMBER(SEARCH($B$4, INDIRECT(""'"" &amp; $B$16 &amp; ""'!"" &amp; $B$12 &amp; "":"" &amp; $B$12)))))/$D$9"),"#N/A")</f>
        <v>#N/A</v>
      </c>
      <c r="N37" s="296" t="str">
        <f>IFERROR(__xludf.DUMMYFUNCTION("VAR.S(FILTER(INDIRECT(""'"" &amp; $B$16 &amp; ""'!"" &amp; $B37 &amp; "":"" &amp; $B37), INDIRECT(""'"" &amp; $B$16 &amp; ""'!"" &amp; $B$17 &amp; "":"" &amp; $B$17) = N$21, ISNUMBER(SEARCH($B$4, INDIRECT(""'"" &amp; $B$16 &amp; ""'!"" &amp; $B$12 &amp; "":"" &amp; $B$12)))))/$D$10"),"#N/A")</f>
        <v>#N/A</v>
      </c>
      <c r="O37" s="297">
        <f>IFERROR(__xludf.DUMMYFUNCTION("AVERAGE(FILTER(INDIRECT(""'"" &amp; $B$16 &amp; ""'!"" &amp; $B37 &amp; "":"" &amp; $B37), INDIRECT(""'"" &amp; $B$16 &amp; ""'!"" &amp; $B$17 &amp; "":"" &amp; $B$17) = O$21, ISNUMBER(SEARCH($B$4, INDIRECT(""'"" &amp; $B$16 &amp; ""'!"" &amp; $B$12 &amp; "":"" &amp; $B$12)))))"),0.0)</f>
        <v>0</v>
      </c>
      <c r="P37" s="297" t="str">
        <f>IFERROR(__xludf.DUMMYFUNCTION("AVERAGE(FILTER(INDIRECT(""'"" &amp; $B$16 &amp; ""'!"" &amp; $B37 &amp; "":"" &amp; $B37), INDIRECT(""'"" &amp; $B$16 &amp; ""'!"" &amp; $B$17 &amp; "":"" &amp; $B$17) = P$21, ISNUMBER(SEARCH($B$4, INDIRECT(""'"" &amp; $B$16 &amp; ""'!"" &amp; $B$12 &amp; "":"" &amp; $B$12)))))"),"#N/A")</f>
        <v>#N/A</v>
      </c>
      <c r="Q37" s="297" t="str">
        <f>IFERROR(__xludf.DUMMYFUNCTION("AVERAGE(FILTER(INDIRECT(""'"" &amp; $B$16 &amp; ""'!"" &amp; $B37 &amp; "":"" &amp; $B37), INDIRECT(""'"" &amp; $B$16 &amp; ""'!"" &amp; $B$17 &amp; "":"" &amp; $B$17) = Q$21, ISNUMBER(SEARCH($B$4, INDIRECT(""'"" &amp; $B$16 &amp; ""'!"" &amp; $B$12 &amp; "":"" &amp; $B$12)))))"),"#N/A")</f>
        <v>#N/A</v>
      </c>
      <c r="R37" s="297" t="str">
        <f>IFERROR(__xludf.DUMMYFUNCTION("AVERAGE(FILTER(INDIRECT(""'"" &amp; $B$16 &amp; ""'!"" &amp; $B37 &amp; "":"" &amp; $B37), INDIRECT(""'"" &amp; $B$16 &amp; ""'!"" &amp; $B$17 &amp; "":"" &amp; $B$17) = R$21, ISNUMBER(SEARCH($B$4, INDIRECT(""'"" &amp; $B$16 &amp; ""'!"" &amp; $B$12 &amp; "":"" &amp; $B$12)))))"),"#N/A")</f>
        <v>#N/A</v>
      </c>
      <c r="S37" s="297" t="str">
        <f>IFERROR(__xludf.DUMMYFUNCTION("AVERAGE(FILTER(INDIRECT(""'"" &amp; $B$16 &amp; ""'!"" &amp; $B37 &amp; "":"" &amp; $B37), INDIRECT(""'"" &amp; $B$16 &amp; ""'!"" &amp; $B$17 &amp; "":"" &amp; $B$17) = S$21, ISNUMBER(SEARCH($B$4, INDIRECT(""'"" &amp; $B$16 &amp; ""'!"" &amp; $B$12 &amp; "":"" &amp; $B$12)))))"),"#N/A")</f>
        <v>#N/A</v>
      </c>
      <c r="T37" s="298">
        <f t="shared" si="60"/>
        <v>0</v>
      </c>
      <c r="U37" s="298" t="str">
        <f t="shared" si="61"/>
        <v>#N/A</v>
      </c>
      <c r="V37" s="298" t="str">
        <f t="shared" si="62"/>
        <v>#N/A</v>
      </c>
      <c r="W37" s="298" t="str">
        <f t="shared" si="63"/>
        <v>#N/A</v>
      </c>
      <c r="X37" s="298" t="str">
        <f t="shared" si="64"/>
        <v>#N/A</v>
      </c>
      <c r="Y37" s="298">
        <f t="shared" si="65"/>
        <v>0</v>
      </c>
      <c r="Z37" s="298" t="str">
        <f t="shared" si="66"/>
        <v>#N/A</v>
      </c>
      <c r="AA37" s="298" t="str">
        <f t="shared" si="67"/>
        <v>#N/A</v>
      </c>
      <c r="AB37" s="298" t="str">
        <f t="shared" si="68"/>
        <v>#N/A</v>
      </c>
      <c r="AC37" s="298" t="str">
        <f t="shared" si="69"/>
        <v>#N/A</v>
      </c>
      <c r="AD37" s="297">
        <f t="shared" si="70"/>
        <v>0</v>
      </c>
      <c r="AE37" s="297" t="str">
        <f t="shared" si="71"/>
        <v>#N/A</v>
      </c>
      <c r="AF37" s="297" t="str">
        <f t="shared" si="72"/>
        <v>#N/A</v>
      </c>
      <c r="AG37" s="297" t="str">
        <f t="shared" si="73"/>
        <v>#N/A</v>
      </c>
      <c r="AH37" s="297" t="str">
        <f t="shared" si="74"/>
        <v>#N/A</v>
      </c>
      <c r="AI37" s="298" t="str">
        <f t="shared" si="75"/>
        <v>#N/A</v>
      </c>
      <c r="AJ37" s="298" t="str">
        <f t="shared" si="76"/>
        <v>#N/A</v>
      </c>
      <c r="AK37" s="298" t="str">
        <f t="shared" si="77"/>
        <v>#N/A</v>
      </c>
      <c r="AL37" s="299" t="str">
        <f t="shared" si="78"/>
        <v>#N/A</v>
      </c>
      <c r="AM37" s="121" t="str">
        <f t="shared" si="79"/>
        <v>#N/A</v>
      </c>
    </row>
    <row r="38" ht="15.75" customHeight="1">
      <c r="A38" s="115" t="s">
        <v>393</v>
      </c>
      <c r="B38" s="90" t="str">
        <f t="shared" si="57"/>
        <v>$CD</v>
      </c>
      <c r="C38" s="288">
        <v>9.0</v>
      </c>
      <c r="D38" s="294">
        <f t="shared" ref="D38:H38" si="84">COUNTIFS(INDIRECT("'" &amp; $B$16 &amp; "'!" &amp; $B$17 &amp; ":" &amp; $B$17),D$21,INDIRECT("'" &amp; $B$16 &amp; "'!" &amp; $B38 &amp; ":" &amp; $B38),1,INDIRECT("'" &amp; $B$16 &amp; "'!" &amp; $B$12 &amp; ":" &amp; $B$12), "*" &amp; $B$4 &amp; "*")
</f>
        <v>0</v>
      </c>
      <c r="E38" s="294">
        <f t="shared" si="84"/>
        <v>0</v>
      </c>
      <c r="F38" s="294">
        <f t="shared" si="84"/>
        <v>0</v>
      </c>
      <c r="G38" s="294">
        <f t="shared" si="84"/>
        <v>0</v>
      </c>
      <c r="H38" s="294">
        <f t="shared" si="84"/>
        <v>0</v>
      </c>
      <c r="I38" s="294">
        <f t="shared" si="59"/>
        <v>0</v>
      </c>
      <c r="J38" s="295">
        <f>IFERROR(__xludf.DUMMYFUNCTION("VAR.S(FILTER(INDIRECT(""'"" &amp; $B$16 &amp; ""'!"" &amp; $B38 &amp; "":"" &amp; $B38), INDIRECT(""'"" &amp; $B$16 &amp; ""'!"" &amp; $B$17 &amp; "":"" &amp; $B$17) = J$21, ISNUMBER(SEARCH($B$4, INDIRECT(""'"" &amp; $B$16 &amp; ""'!"" &amp; $B$12 &amp; "":"" &amp; $B$12)))))/$D$6"),0.0)</f>
        <v>0</v>
      </c>
      <c r="K38" s="295" t="str">
        <f>IFERROR(__xludf.DUMMYFUNCTION("VAR.S(FILTER(INDIRECT(""'"" &amp; $B$16 &amp; ""'!"" &amp; $B38 &amp; "":"" &amp; $B38), INDIRECT(""'"" &amp; $B$16 &amp; ""'!"" &amp; $B$17 &amp; "":"" &amp; $B$17) = K$21, ISNUMBER(SEARCH($B$4, INDIRECT(""'"" &amp; $B$16 &amp; ""'!"" &amp; $B$12 &amp; "":"" &amp; $B$12)))))/$D$7"),"#N/A")</f>
        <v>#N/A</v>
      </c>
      <c r="L38" s="295" t="str">
        <f>IFERROR(__xludf.DUMMYFUNCTION("VAR.S(FILTER(INDIRECT(""'"" &amp; $B$16 &amp; ""'!"" &amp; $B38 &amp; "":"" &amp; $B38), INDIRECT(""'"" &amp; $B$16 &amp; ""'!"" &amp; $B$17 &amp; "":"" &amp; $B$17) = L$21, ISNUMBER(SEARCH($B$4, INDIRECT(""'"" &amp; $B$16 &amp; ""'!"" &amp; $B$12 &amp; "":"" &amp; $B$12)))))/$D$8"),"#N/A")</f>
        <v>#N/A</v>
      </c>
      <c r="M38" s="296" t="str">
        <f>IFERROR(__xludf.DUMMYFUNCTION("VAR.S(FILTER(INDIRECT(""'"" &amp; $B$16 &amp; ""'!"" &amp; $B38 &amp; "":"" &amp; $B38), INDIRECT(""'"" &amp; $B$16 &amp; ""'!"" &amp; $B$17 &amp; "":"" &amp; $B$17) = M$21, ISNUMBER(SEARCH($B$4, INDIRECT(""'"" &amp; $B$16 &amp; ""'!"" &amp; $B$12 &amp; "":"" &amp; $B$12)))))/$D$9"),"#N/A")</f>
        <v>#N/A</v>
      </c>
      <c r="N38" s="296" t="str">
        <f>IFERROR(__xludf.DUMMYFUNCTION("VAR.S(FILTER(INDIRECT(""'"" &amp; $B$16 &amp; ""'!"" &amp; $B38 &amp; "":"" &amp; $B38), INDIRECT(""'"" &amp; $B$16 &amp; ""'!"" &amp; $B$17 &amp; "":"" &amp; $B$17) = N$21, ISNUMBER(SEARCH($B$4, INDIRECT(""'"" &amp; $B$16 &amp; ""'!"" &amp; $B$12 &amp; "":"" &amp; $B$12)))))/$D$10"),"#N/A")</f>
        <v>#N/A</v>
      </c>
      <c r="O38" s="297">
        <f>IFERROR(__xludf.DUMMYFUNCTION("AVERAGE(FILTER(INDIRECT(""'"" &amp; $B$16 &amp; ""'!"" &amp; $B38 &amp; "":"" &amp; $B38), INDIRECT(""'"" &amp; $B$16 &amp; ""'!"" &amp; $B$17 &amp; "":"" &amp; $B$17) = O$21, ISNUMBER(SEARCH($B$4, INDIRECT(""'"" &amp; $B$16 &amp; ""'!"" &amp; $B$12 &amp; "":"" &amp; $B$12)))))"),0.0)</f>
        <v>0</v>
      </c>
      <c r="P38" s="297" t="str">
        <f>IFERROR(__xludf.DUMMYFUNCTION("AVERAGE(FILTER(INDIRECT(""'"" &amp; $B$16 &amp; ""'!"" &amp; $B38 &amp; "":"" &amp; $B38), INDIRECT(""'"" &amp; $B$16 &amp; ""'!"" &amp; $B$17 &amp; "":"" &amp; $B$17) = P$21, ISNUMBER(SEARCH($B$4, INDIRECT(""'"" &amp; $B$16 &amp; ""'!"" &amp; $B$12 &amp; "":"" &amp; $B$12)))))"),"#N/A")</f>
        <v>#N/A</v>
      </c>
      <c r="Q38" s="297" t="str">
        <f>IFERROR(__xludf.DUMMYFUNCTION("AVERAGE(FILTER(INDIRECT(""'"" &amp; $B$16 &amp; ""'!"" &amp; $B38 &amp; "":"" &amp; $B38), INDIRECT(""'"" &amp; $B$16 &amp; ""'!"" &amp; $B$17 &amp; "":"" &amp; $B$17) = Q$21, ISNUMBER(SEARCH($B$4, INDIRECT(""'"" &amp; $B$16 &amp; ""'!"" &amp; $B$12 &amp; "":"" &amp; $B$12)))))"),"#N/A")</f>
        <v>#N/A</v>
      </c>
      <c r="R38" s="297" t="str">
        <f>IFERROR(__xludf.DUMMYFUNCTION("AVERAGE(FILTER(INDIRECT(""'"" &amp; $B$16 &amp; ""'!"" &amp; $B38 &amp; "":"" &amp; $B38), INDIRECT(""'"" &amp; $B$16 &amp; ""'!"" &amp; $B$17 &amp; "":"" &amp; $B$17) = R$21, ISNUMBER(SEARCH($B$4, INDIRECT(""'"" &amp; $B$16 &amp; ""'!"" &amp; $B$12 &amp; "":"" &amp; $B$12)))))"),"#N/A")</f>
        <v>#N/A</v>
      </c>
      <c r="S38" s="297" t="str">
        <f>IFERROR(__xludf.DUMMYFUNCTION("AVERAGE(FILTER(INDIRECT(""'"" &amp; $B$16 &amp; ""'!"" &amp; $B38 &amp; "":"" &amp; $B38), INDIRECT(""'"" &amp; $B$16 &amp; ""'!"" &amp; $B$17 &amp; "":"" &amp; $B$17) = S$21, ISNUMBER(SEARCH($B$4, INDIRECT(""'"" &amp; $B$16 &amp; ""'!"" &amp; $B$12 &amp; "":"" &amp; $B$12)))))"),"#N/A")</f>
        <v>#N/A</v>
      </c>
      <c r="T38" s="298">
        <f t="shared" si="60"/>
        <v>0</v>
      </c>
      <c r="U38" s="298" t="str">
        <f t="shared" si="61"/>
        <v>#N/A</v>
      </c>
      <c r="V38" s="298" t="str">
        <f t="shared" si="62"/>
        <v>#N/A</v>
      </c>
      <c r="W38" s="298" t="str">
        <f t="shared" si="63"/>
        <v>#N/A</v>
      </c>
      <c r="X38" s="298" t="str">
        <f t="shared" si="64"/>
        <v>#N/A</v>
      </c>
      <c r="Y38" s="298">
        <f t="shared" si="65"/>
        <v>0</v>
      </c>
      <c r="Z38" s="298" t="str">
        <f t="shared" si="66"/>
        <v>#N/A</v>
      </c>
      <c r="AA38" s="298" t="str">
        <f t="shared" si="67"/>
        <v>#N/A</v>
      </c>
      <c r="AB38" s="298" t="str">
        <f t="shared" si="68"/>
        <v>#N/A</v>
      </c>
      <c r="AC38" s="298" t="str">
        <f t="shared" si="69"/>
        <v>#N/A</v>
      </c>
      <c r="AD38" s="297">
        <f t="shared" si="70"/>
        <v>0</v>
      </c>
      <c r="AE38" s="297" t="str">
        <f t="shared" si="71"/>
        <v>#N/A</v>
      </c>
      <c r="AF38" s="297" t="str">
        <f t="shared" si="72"/>
        <v>#N/A</v>
      </c>
      <c r="AG38" s="297" t="str">
        <f t="shared" si="73"/>
        <v>#N/A</v>
      </c>
      <c r="AH38" s="297" t="str">
        <f t="shared" si="74"/>
        <v>#N/A</v>
      </c>
      <c r="AI38" s="298" t="str">
        <f t="shared" si="75"/>
        <v>#N/A</v>
      </c>
      <c r="AJ38" s="298" t="str">
        <f t="shared" si="76"/>
        <v>#N/A</v>
      </c>
      <c r="AK38" s="298" t="str">
        <f t="shared" si="77"/>
        <v>#N/A</v>
      </c>
      <c r="AL38" s="299" t="str">
        <f t="shared" si="78"/>
        <v>#N/A</v>
      </c>
      <c r="AM38" s="121" t="str">
        <f t="shared" si="79"/>
        <v>#N/A</v>
      </c>
    </row>
    <row r="39" ht="15.75" customHeight="1">
      <c r="A39" s="115" t="s">
        <v>396</v>
      </c>
      <c r="B39" s="90" t="str">
        <f t="shared" si="57"/>
        <v>$CE</v>
      </c>
      <c r="C39" s="288">
        <v>10.0</v>
      </c>
      <c r="D39" s="294">
        <f t="shared" ref="D39:H39" si="85">COUNTIFS(INDIRECT("'" &amp; $B$16 &amp; "'!" &amp; $B$17 &amp; ":" &amp; $B$17),D$21,INDIRECT("'" &amp; $B$16 &amp; "'!" &amp; $B39 &amp; ":" &amp; $B39),1,INDIRECT("'" &amp; $B$16 &amp; "'!" &amp; $B$12 &amp; ":" &amp; $B$12), "*" &amp; $B$4 &amp; "*")
</f>
        <v>0</v>
      </c>
      <c r="E39" s="294">
        <f t="shared" si="85"/>
        <v>0</v>
      </c>
      <c r="F39" s="294">
        <f t="shared" si="85"/>
        <v>0</v>
      </c>
      <c r="G39" s="294">
        <f t="shared" si="85"/>
        <v>0</v>
      </c>
      <c r="H39" s="294">
        <f t="shared" si="85"/>
        <v>0</v>
      </c>
      <c r="I39" s="294">
        <f t="shared" si="59"/>
        <v>0</v>
      </c>
      <c r="J39" s="295">
        <f>IFERROR(__xludf.DUMMYFUNCTION("VAR.S(FILTER(INDIRECT(""'"" &amp; $B$16 &amp; ""'!"" &amp; $B39 &amp; "":"" &amp; $B39), INDIRECT(""'"" &amp; $B$16 &amp; ""'!"" &amp; $B$17 &amp; "":"" &amp; $B$17) = J$21, ISNUMBER(SEARCH($B$4, INDIRECT(""'"" &amp; $B$16 &amp; ""'!"" &amp; $B$12 &amp; "":"" &amp; $B$12)))))/$D$6"),0.0)</f>
        <v>0</v>
      </c>
      <c r="K39" s="295" t="str">
        <f>IFERROR(__xludf.DUMMYFUNCTION("VAR.S(FILTER(INDIRECT(""'"" &amp; $B$16 &amp; ""'!"" &amp; $B39 &amp; "":"" &amp; $B39), INDIRECT(""'"" &amp; $B$16 &amp; ""'!"" &amp; $B$17 &amp; "":"" &amp; $B$17) = K$21, ISNUMBER(SEARCH($B$4, INDIRECT(""'"" &amp; $B$16 &amp; ""'!"" &amp; $B$12 &amp; "":"" &amp; $B$12)))))/$D$7"),"#N/A")</f>
        <v>#N/A</v>
      </c>
      <c r="L39" s="295" t="str">
        <f>IFERROR(__xludf.DUMMYFUNCTION("VAR.S(FILTER(INDIRECT(""'"" &amp; $B$16 &amp; ""'!"" &amp; $B39 &amp; "":"" &amp; $B39), INDIRECT(""'"" &amp; $B$16 &amp; ""'!"" &amp; $B$17 &amp; "":"" &amp; $B$17) = L$21, ISNUMBER(SEARCH($B$4, INDIRECT(""'"" &amp; $B$16 &amp; ""'!"" &amp; $B$12 &amp; "":"" &amp; $B$12)))))/$D$8"),"#N/A")</f>
        <v>#N/A</v>
      </c>
      <c r="M39" s="296" t="str">
        <f>IFERROR(__xludf.DUMMYFUNCTION("VAR.S(FILTER(INDIRECT(""'"" &amp; $B$16 &amp; ""'!"" &amp; $B39 &amp; "":"" &amp; $B39), INDIRECT(""'"" &amp; $B$16 &amp; ""'!"" &amp; $B$17 &amp; "":"" &amp; $B$17) = M$21, ISNUMBER(SEARCH($B$4, INDIRECT(""'"" &amp; $B$16 &amp; ""'!"" &amp; $B$12 &amp; "":"" &amp; $B$12)))))/$D$9"),"#N/A")</f>
        <v>#N/A</v>
      </c>
      <c r="N39" s="296" t="str">
        <f>IFERROR(__xludf.DUMMYFUNCTION("VAR.S(FILTER(INDIRECT(""'"" &amp; $B$16 &amp; ""'!"" &amp; $B39 &amp; "":"" &amp; $B39), INDIRECT(""'"" &amp; $B$16 &amp; ""'!"" &amp; $B$17 &amp; "":"" &amp; $B$17) = N$21, ISNUMBER(SEARCH($B$4, INDIRECT(""'"" &amp; $B$16 &amp; ""'!"" &amp; $B$12 &amp; "":"" &amp; $B$12)))))/$D$10"),"#N/A")</f>
        <v>#N/A</v>
      </c>
      <c r="O39" s="297">
        <f>IFERROR(__xludf.DUMMYFUNCTION("AVERAGE(FILTER(INDIRECT(""'"" &amp; $B$16 &amp; ""'!"" &amp; $B39 &amp; "":"" &amp; $B39), INDIRECT(""'"" &amp; $B$16 &amp; ""'!"" &amp; $B$17 &amp; "":"" &amp; $B$17) = O$21, ISNUMBER(SEARCH($B$4, INDIRECT(""'"" &amp; $B$16 &amp; ""'!"" &amp; $B$12 &amp; "":"" &amp; $B$12)))))"),0.0)</f>
        <v>0</v>
      </c>
      <c r="P39" s="297" t="str">
        <f>IFERROR(__xludf.DUMMYFUNCTION("AVERAGE(FILTER(INDIRECT(""'"" &amp; $B$16 &amp; ""'!"" &amp; $B39 &amp; "":"" &amp; $B39), INDIRECT(""'"" &amp; $B$16 &amp; ""'!"" &amp; $B$17 &amp; "":"" &amp; $B$17) = P$21, ISNUMBER(SEARCH($B$4, INDIRECT(""'"" &amp; $B$16 &amp; ""'!"" &amp; $B$12 &amp; "":"" &amp; $B$12)))))"),"#N/A")</f>
        <v>#N/A</v>
      </c>
      <c r="Q39" s="297" t="str">
        <f>IFERROR(__xludf.DUMMYFUNCTION("AVERAGE(FILTER(INDIRECT(""'"" &amp; $B$16 &amp; ""'!"" &amp; $B39 &amp; "":"" &amp; $B39), INDIRECT(""'"" &amp; $B$16 &amp; ""'!"" &amp; $B$17 &amp; "":"" &amp; $B$17) = Q$21, ISNUMBER(SEARCH($B$4, INDIRECT(""'"" &amp; $B$16 &amp; ""'!"" &amp; $B$12 &amp; "":"" &amp; $B$12)))))"),"#N/A")</f>
        <v>#N/A</v>
      </c>
      <c r="R39" s="297" t="str">
        <f>IFERROR(__xludf.DUMMYFUNCTION("AVERAGE(FILTER(INDIRECT(""'"" &amp; $B$16 &amp; ""'!"" &amp; $B39 &amp; "":"" &amp; $B39), INDIRECT(""'"" &amp; $B$16 &amp; ""'!"" &amp; $B$17 &amp; "":"" &amp; $B$17) = R$21, ISNUMBER(SEARCH($B$4, INDIRECT(""'"" &amp; $B$16 &amp; ""'!"" &amp; $B$12 &amp; "":"" &amp; $B$12)))))"),"#N/A")</f>
        <v>#N/A</v>
      </c>
      <c r="S39" s="297" t="str">
        <f>IFERROR(__xludf.DUMMYFUNCTION("AVERAGE(FILTER(INDIRECT(""'"" &amp; $B$16 &amp; ""'!"" &amp; $B39 &amp; "":"" &amp; $B39), INDIRECT(""'"" &amp; $B$16 &amp; ""'!"" &amp; $B$17 &amp; "":"" &amp; $B$17) = S$21, ISNUMBER(SEARCH($B$4, INDIRECT(""'"" &amp; $B$16 &amp; ""'!"" &amp; $B$12 &amp; "":"" &amp; $B$12)))))"),"#N/A")</f>
        <v>#N/A</v>
      </c>
      <c r="T39" s="298">
        <f t="shared" si="60"/>
        <v>0</v>
      </c>
      <c r="U39" s="298" t="str">
        <f t="shared" si="61"/>
        <v>#N/A</v>
      </c>
      <c r="V39" s="298" t="str">
        <f t="shared" si="62"/>
        <v>#N/A</v>
      </c>
      <c r="W39" s="298" t="str">
        <f t="shared" si="63"/>
        <v>#N/A</v>
      </c>
      <c r="X39" s="298" t="str">
        <f t="shared" si="64"/>
        <v>#N/A</v>
      </c>
      <c r="Y39" s="298">
        <f t="shared" si="65"/>
        <v>0</v>
      </c>
      <c r="Z39" s="298" t="str">
        <f t="shared" si="66"/>
        <v>#N/A</v>
      </c>
      <c r="AA39" s="298" t="str">
        <f t="shared" si="67"/>
        <v>#N/A</v>
      </c>
      <c r="AB39" s="298" t="str">
        <f t="shared" si="68"/>
        <v>#N/A</v>
      </c>
      <c r="AC39" s="298" t="str">
        <f t="shared" si="69"/>
        <v>#N/A</v>
      </c>
      <c r="AD39" s="297">
        <f t="shared" si="70"/>
        <v>0</v>
      </c>
      <c r="AE39" s="297" t="str">
        <f t="shared" si="71"/>
        <v>#N/A</v>
      </c>
      <c r="AF39" s="297" t="str">
        <f t="shared" si="72"/>
        <v>#N/A</v>
      </c>
      <c r="AG39" s="297" t="str">
        <f t="shared" si="73"/>
        <v>#N/A</v>
      </c>
      <c r="AH39" s="297" t="str">
        <f t="shared" si="74"/>
        <v>#N/A</v>
      </c>
      <c r="AI39" s="298" t="str">
        <f t="shared" si="75"/>
        <v>#N/A</v>
      </c>
      <c r="AJ39" s="298" t="str">
        <f t="shared" si="76"/>
        <v>#N/A</v>
      </c>
      <c r="AK39" s="298" t="str">
        <f t="shared" si="77"/>
        <v>#N/A</v>
      </c>
      <c r="AL39" s="299" t="str">
        <f t="shared" si="78"/>
        <v>#N/A</v>
      </c>
      <c r="AM39" s="121" t="str">
        <f t="shared" si="79"/>
        <v>#N/A</v>
      </c>
    </row>
    <row r="40" ht="15.75" customHeight="1">
      <c r="A40" s="115" t="s">
        <v>399</v>
      </c>
      <c r="B40" s="90" t="str">
        <f t="shared" si="57"/>
        <v>$CF</v>
      </c>
      <c r="C40" s="288">
        <v>11.0</v>
      </c>
      <c r="D40" s="294">
        <f t="shared" ref="D40:H40" si="86">COUNTIFS(INDIRECT("'" &amp; $B$16 &amp; "'!" &amp; $B$17 &amp; ":" &amp; $B$17),D$21,INDIRECT("'" &amp; $B$16 &amp; "'!" &amp; $B40 &amp; ":" &amp; $B40),1,INDIRECT("'" &amp; $B$16 &amp; "'!" &amp; $B$12 &amp; ":" &amp; $B$12), "*" &amp; $B$4 &amp; "*")
</f>
        <v>0</v>
      </c>
      <c r="E40" s="294">
        <f t="shared" si="86"/>
        <v>0</v>
      </c>
      <c r="F40" s="294">
        <f t="shared" si="86"/>
        <v>0</v>
      </c>
      <c r="G40" s="294">
        <f t="shared" si="86"/>
        <v>0</v>
      </c>
      <c r="H40" s="294">
        <f t="shared" si="86"/>
        <v>0</v>
      </c>
      <c r="I40" s="294">
        <f t="shared" si="59"/>
        <v>0</v>
      </c>
      <c r="J40" s="295">
        <f>IFERROR(__xludf.DUMMYFUNCTION("VAR.S(FILTER(INDIRECT(""'"" &amp; $B$16 &amp; ""'!"" &amp; $B40 &amp; "":"" &amp; $B40), INDIRECT(""'"" &amp; $B$16 &amp; ""'!"" &amp; $B$17 &amp; "":"" &amp; $B$17) = J$21, ISNUMBER(SEARCH($B$4, INDIRECT(""'"" &amp; $B$16 &amp; ""'!"" &amp; $B$12 &amp; "":"" &amp; $B$12)))))/$D$6"),0.0)</f>
        <v>0</v>
      </c>
      <c r="K40" s="295" t="str">
        <f>IFERROR(__xludf.DUMMYFUNCTION("VAR.S(FILTER(INDIRECT(""'"" &amp; $B$16 &amp; ""'!"" &amp; $B40 &amp; "":"" &amp; $B40), INDIRECT(""'"" &amp; $B$16 &amp; ""'!"" &amp; $B$17 &amp; "":"" &amp; $B$17) = K$21, ISNUMBER(SEARCH($B$4, INDIRECT(""'"" &amp; $B$16 &amp; ""'!"" &amp; $B$12 &amp; "":"" &amp; $B$12)))))/$D$7"),"#N/A")</f>
        <v>#N/A</v>
      </c>
      <c r="L40" s="295" t="str">
        <f>IFERROR(__xludf.DUMMYFUNCTION("VAR.S(FILTER(INDIRECT(""'"" &amp; $B$16 &amp; ""'!"" &amp; $B40 &amp; "":"" &amp; $B40), INDIRECT(""'"" &amp; $B$16 &amp; ""'!"" &amp; $B$17 &amp; "":"" &amp; $B$17) = L$21, ISNUMBER(SEARCH($B$4, INDIRECT(""'"" &amp; $B$16 &amp; ""'!"" &amp; $B$12 &amp; "":"" &amp; $B$12)))))/$D$8"),"#N/A")</f>
        <v>#N/A</v>
      </c>
      <c r="M40" s="296" t="str">
        <f>IFERROR(__xludf.DUMMYFUNCTION("VAR.S(FILTER(INDIRECT(""'"" &amp; $B$16 &amp; ""'!"" &amp; $B40 &amp; "":"" &amp; $B40), INDIRECT(""'"" &amp; $B$16 &amp; ""'!"" &amp; $B$17 &amp; "":"" &amp; $B$17) = M$21, ISNUMBER(SEARCH($B$4, INDIRECT(""'"" &amp; $B$16 &amp; ""'!"" &amp; $B$12 &amp; "":"" &amp; $B$12)))))/$D$9"),"#N/A")</f>
        <v>#N/A</v>
      </c>
      <c r="N40" s="296" t="str">
        <f>IFERROR(__xludf.DUMMYFUNCTION("VAR.S(FILTER(INDIRECT(""'"" &amp; $B$16 &amp; ""'!"" &amp; $B40 &amp; "":"" &amp; $B40), INDIRECT(""'"" &amp; $B$16 &amp; ""'!"" &amp; $B$17 &amp; "":"" &amp; $B$17) = N$21, ISNUMBER(SEARCH($B$4, INDIRECT(""'"" &amp; $B$16 &amp; ""'!"" &amp; $B$12 &amp; "":"" &amp; $B$12)))))/$D$10"),"#N/A")</f>
        <v>#N/A</v>
      </c>
      <c r="O40" s="297">
        <f>IFERROR(__xludf.DUMMYFUNCTION("AVERAGE(FILTER(INDIRECT(""'"" &amp; $B$16 &amp; ""'!"" &amp; $B40 &amp; "":"" &amp; $B40), INDIRECT(""'"" &amp; $B$16 &amp; ""'!"" &amp; $B$17 &amp; "":"" &amp; $B$17) = O$21, ISNUMBER(SEARCH($B$4, INDIRECT(""'"" &amp; $B$16 &amp; ""'!"" &amp; $B$12 &amp; "":"" &amp; $B$12)))))"),0.0)</f>
        <v>0</v>
      </c>
      <c r="P40" s="297" t="str">
        <f>IFERROR(__xludf.DUMMYFUNCTION("AVERAGE(FILTER(INDIRECT(""'"" &amp; $B$16 &amp; ""'!"" &amp; $B40 &amp; "":"" &amp; $B40), INDIRECT(""'"" &amp; $B$16 &amp; ""'!"" &amp; $B$17 &amp; "":"" &amp; $B$17) = P$21, ISNUMBER(SEARCH($B$4, INDIRECT(""'"" &amp; $B$16 &amp; ""'!"" &amp; $B$12 &amp; "":"" &amp; $B$12)))))"),"#N/A")</f>
        <v>#N/A</v>
      </c>
      <c r="Q40" s="297" t="str">
        <f>IFERROR(__xludf.DUMMYFUNCTION("AVERAGE(FILTER(INDIRECT(""'"" &amp; $B$16 &amp; ""'!"" &amp; $B40 &amp; "":"" &amp; $B40), INDIRECT(""'"" &amp; $B$16 &amp; ""'!"" &amp; $B$17 &amp; "":"" &amp; $B$17) = Q$21, ISNUMBER(SEARCH($B$4, INDIRECT(""'"" &amp; $B$16 &amp; ""'!"" &amp; $B$12 &amp; "":"" &amp; $B$12)))))"),"#N/A")</f>
        <v>#N/A</v>
      </c>
      <c r="R40" s="297" t="str">
        <f>IFERROR(__xludf.DUMMYFUNCTION("AVERAGE(FILTER(INDIRECT(""'"" &amp; $B$16 &amp; ""'!"" &amp; $B40 &amp; "":"" &amp; $B40), INDIRECT(""'"" &amp; $B$16 &amp; ""'!"" &amp; $B$17 &amp; "":"" &amp; $B$17) = R$21, ISNUMBER(SEARCH($B$4, INDIRECT(""'"" &amp; $B$16 &amp; ""'!"" &amp; $B$12 &amp; "":"" &amp; $B$12)))))"),"#N/A")</f>
        <v>#N/A</v>
      </c>
      <c r="S40" s="297" t="str">
        <f>IFERROR(__xludf.DUMMYFUNCTION("AVERAGE(FILTER(INDIRECT(""'"" &amp; $B$16 &amp; ""'!"" &amp; $B40 &amp; "":"" &amp; $B40), INDIRECT(""'"" &amp; $B$16 &amp; ""'!"" &amp; $B$17 &amp; "":"" &amp; $B$17) = S$21, ISNUMBER(SEARCH($B$4, INDIRECT(""'"" &amp; $B$16 &amp; ""'!"" &amp; $B$12 &amp; "":"" &amp; $B$12)))))"),"#N/A")</f>
        <v>#N/A</v>
      </c>
      <c r="T40" s="298">
        <f t="shared" si="60"/>
        <v>0</v>
      </c>
      <c r="U40" s="298" t="str">
        <f t="shared" si="61"/>
        <v>#N/A</v>
      </c>
      <c r="V40" s="298" t="str">
        <f t="shared" si="62"/>
        <v>#N/A</v>
      </c>
      <c r="W40" s="298" t="str">
        <f t="shared" si="63"/>
        <v>#N/A</v>
      </c>
      <c r="X40" s="298" t="str">
        <f t="shared" si="64"/>
        <v>#N/A</v>
      </c>
      <c r="Y40" s="298">
        <f t="shared" si="65"/>
        <v>0</v>
      </c>
      <c r="Z40" s="298" t="str">
        <f t="shared" si="66"/>
        <v>#N/A</v>
      </c>
      <c r="AA40" s="298" t="str">
        <f t="shared" si="67"/>
        <v>#N/A</v>
      </c>
      <c r="AB40" s="298" t="str">
        <f t="shared" si="68"/>
        <v>#N/A</v>
      </c>
      <c r="AC40" s="298" t="str">
        <f t="shared" si="69"/>
        <v>#N/A</v>
      </c>
      <c r="AD40" s="297">
        <f t="shared" si="70"/>
        <v>0</v>
      </c>
      <c r="AE40" s="297" t="str">
        <f t="shared" si="71"/>
        <v>#N/A</v>
      </c>
      <c r="AF40" s="297" t="str">
        <f t="shared" si="72"/>
        <v>#N/A</v>
      </c>
      <c r="AG40" s="297" t="str">
        <f t="shared" si="73"/>
        <v>#N/A</v>
      </c>
      <c r="AH40" s="297" t="str">
        <f t="shared" si="74"/>
        <v>#N/A</v>
      </c>
      <c r="AI40" s="298" t="str">
        <f t="shared" si="75"/>
        <v>#N/A</v>
      </c>
      <c r="AJ40" s="298" t="str">
        <f t="shared" si="76"/>
        <v>#N/A</v>
      </c>
      <c r="AK40" s="298" t="str">
        <f t="shared" si="77"/>
        <v>#N/A</v>
      </c>
      <c r="AL40" s="299" t="str">
        <f t="shared" si="78"/>
        <v>#N/A</v>
      </c>
      <c r="AM40" s="121" t="str">
        <f t="shared" si="79"/>
        <v>#N/A</v>
      </c>
    </row>
    <row r="41" ht="15.75" customHeight="1">
      <c r="A41" s="82" t="s">
        <v>296</v>
      </c>
      <c r="B41" s="82" t="s">
        <v>296</v>
      </c>
      <c r="C41" s="85"/>
      <c r="D41" s="85"/>
      <c r="E41" s="85"/>
      <c r="F41" s="85"/>
      <c r="G41" s="85"/>
      <c r="H41" s="85"/>
      <c r="I41" s="82">
        <f>SUM(I32:I40)</f>
        <v>0</v>
      </c>
      <c r="J41" s="85"/>
      <c r="K41" s="85"/>
      <c r="L41" s="85"/>
      <c r="M41" s="112"/>
      <c r="N41" s="112"/>
      <c r="O41" s="292"/>
      <c r="P41" s="292"/>
      <c r="Q41" s="292"/>
      <c r="R41" s="292"/>
      <c r="S41" s="29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292"/>
      <c r="AE41" s="292"/>
      <c r="AF41" s="292"/>
      <c r="AG41" s="292"/>
      <c r="AH41" s="292"/>
      <c r="AI41" s="85"/>
      <c r="AJ41" s="85"/>
      <c r="AK41" s="85"/>
      <c r="AL41" s="85"/>
      <c r="AM41" s="293" t="str">
        <f>SUM(AM32:AM40)</f>
        <v>#N/A</v>
      </c>
    </row>
    <row r="42" ht="15.75" customHeight="1">
      <c r="A42" s="300" t="s">
        <v>402</v>
      </c>
      <c r="B42" s="92" t="str">
        <f t="shared" ref="B42:B50" si="88">IFERROR("$" &amp; SUBSTITUTE(ADDRESS(1, MATCH(A42, INDIRECT("'" &amp; $B$16 &amp; "'!1:1"), 0), 4), "1", ""), "Not Found")
</f>
        <v>$CG</v>
      </c>
      <c r="C42" s="288">
        <v>1.0</v>
      </c>
      <c r="D42" s="301">
        <f t="shared" ref="D42:H42" si="87">COUNTIFS(INDIRECT("'" &amp; $B$16 &amp; "'!" &amp; $B$17 &amp; ":" &amp; $B$17),D$21,INDIRECT("'" &amp; $B$16 &amp; "'!" &amp; $B42 &amp; ":" &amp; $B42),1,INDIRECT("'" &amp; $B$16 &amp; "'!" &amp; $B$12 &amp; ":" &amp; $B$12), "*" &amp; $B$4 &amp; "*")
</f>
        <v>0</v>
      </c>
      <c r="E42" s="301">
        <f t="shared" si="87"/>
        <v>0</v>
      </c>
      <c r="F42" s="301">
        <f t="shared" si="87"/>
        <v>0</v>
      </c>
      <c r="G42" s="301">
        <f t="shared" si="87"/>
        <v>0</v>
      </c>
      <c r="H42" s="301">
        <f t="shared" si="87"/>
        <v>0</v>
      </c>
      <c r="I42" s="301">
        <f t="shared" ref="I42:I50" si="90">SUM(D42:H42)</f>
        <v>0</v>
      </c>
      <c r="J42" s="302">
        <f>IFERROR(__xludf.DUMMYFUNCTION("VAR.S(FILTER(INDIRECT(""'"" &amp; $B$16 &amp; ""'!"" &amp; $B42 &amp; "":"" &amp; $B42), INDIRECT(""'"" &amp; $B$16 &amp; ""'!"" &amp; $B$17 &amp; "":"" &amp; $B$17) = J$21, ISNUMBER(SEARCH($B$4, INDIRECT(""'"" &amp; $B$16 &amp; ""'!"" &amp; $B$12 &amp; "":"" &amp; $B$12)))))/$D$6"),0.0)</f>
        <v>0</v>
      </c>
      <c r="K42" s="302" t="str">
        <f>IFERROR(__xludf.DUMMYFUNCTION("VAR.S(FILTER(INDIRECT(""'"" &amp; $B$16 &amp; ""'!"" &amp; $B42 &amp; "":"" &amp; $B42), INDIRECT(""'"" &amp; $B$16 &amp; ""'!"" &amp; $B$17 &amp; "":"" &amp; $B$17) = K$21, ISNUMBER(SEARCH($B$4, INDIRECT(""'"" &amp; $B$16 &amp; ""'!"" &amp; $B$12 &amp; "":"" &amp; $B$12)))))/$D$7"),"#N/A")</f>
        <v>#N/A</v>
      </c>
      <c r="L42" s="302" t="str">
        <f>IFERROR(__xludf.DUMMYFUNCTION("VAR.S(FILTER(INDIRECT(""'"" &amp; $B$16 &amp; ""'!"" &amp; $B42 &amp; "":"" &amp; $B42), INDIRECT(""'"" &amp; $B$16 &amp; ""'!"" &amp; $B$17 &amp; "":"" &amp; $B$17) = L$21, ISNUMBER(SEARCH($B$4, INDIRECT(""'"" &amp; $B$16 &amp; ""'!"" &amp; $B$12 &amp; "":"" &amp; $B$12)))))/$D$8"),"#N/A")</f>
        <v>#N/A</v>
      </c>
      <c r="M42" s="303" t="str">
        <f>IFERROR(__xludf.DUMMYFUNCTION("VAR.S(FILTER(INDIRECT(""'"" &amp; $B$16 &amp; ""'!"" &amp; $B42 &amp; "":"" &amp; $B42), INDIRECT(""'"" &amp; $B$16 &amp; ""'!"" &amp; $B$17 &amp; "":"" &amp; $B$17) = M$21, ISNUMBER(SEARCH($B$4, INDIRECT(""'"" &amp; $B$16 &amp; ""'!"" &amp; $B$12 &amp; "":"" &amp; $B$12)))))/$D$9"),"#N/A")</f>
        <v>#N/A</v>
      </c>
      <c r="N42" s="303" t="str">
        <f>IFERROR(__xludf.DUMMYFUNCTION("VAR.S(FILTER(INDIRECT(""'"" &amp; $B$16 &amp; ""'!"" &amp; $B42 &amp; "":"" &amp; $B42), INDIRECT(""'"" &amp; $B$16 &amp; ""'!"" &amp; $B$17 &amp; "":"" &amp; $B$17) = N$21, ISNUMBER(SEARCH($B$4, INDIRECT(""'"" &amp; $B$16 &amp; ""'!"" &amp; $B$12 &amp; "":"" &amp; $B$12)))))/$D$10"),"#N/A")</f>
        <v>#N/A</v>
      </c>
      <c r="O42" s="304">
        <f>IFERROR(__xludf.DUMMYFUNCTION("AVERAGE(FILTER(INDIRECT(""'"" &amp; $B$16 &amp; ""'!"" &amp; $B42 &amp; "":"" &amp; $B42), INDIRECT(""'"" &amp; $B$16 &amp; ""'!"" &amp; $B$17 &amp; "":"" &amp; $B$17) = O$21, ISNUMBER(SEARCH($B$4, INDIRECT(""'"" &amp; $B$16 &amp; ""'!"" &amp; $B$12 &amp; "":"" &amp; $B$12)))))"),0.0)</f>
        <v>0</v>
      </c>
      <c r="P42" s="304" t="str">
        <f>IFERROR(__xludf.DUMMYFUNCTION("AVERAGE(FILTER(INDIRECT(""'"" &amp; $B$16 &amp; ""'!"" &amp; $B42 &amp; "":"" &amp; $B42), INDIRECT(""'"" &amp; $B$16 &amp; ""'!"" &amp; $B$17 &amp; "":"" &amp; $B$17) = P$21, ISNUMBER(SEARCH($B$4, INDIRECT(""'"" &amp; $B$16 &amp; ""'!"" &amp; $B$12 &amp; "":"" &amp; $B$12)))))"),"#N/A")</f>
        <v>#N/A</v>
      </c>
      <c r="Q42" s="304" t="str">
        <f>IFERROR(__xludf.DUMMYFUNCTION("AVERAGE(FILTER(INDIRECT(""'"" &amp; $B$16 &amp; ""'!"" &amp; $B42 &amp; "":"" &amp; $B42), INDIRECT(""'"" &amp; $B$16 &amp; ""'!"" &amp; $B$17 &amp; "":"" &amp; $B$17) = Q$21, ISNUMBER(SEARCH($B$4, INDIRECT(""'"" &amp; $B$16 &amp; ""'!"" &amp; $B$12 &amp; "":"" &amp; $B$12)))))"),"#N/A")</f>
        <v>#N/A</v>
      </c>
      <c r="R42" s="304" t="str">
        <f>IFERROR(__xludf.DUMMYFUNCTION("AVERAGE(FILTER(INDIRECT(""'"" &amp; $B$16 &amp; ""'!"" &amp; $B42 &amp; "":"" &amp; $B42), INDIRECT(""'"" &amp; $B$16 &amp; ""'!"" &amp; $B$17 &amp; "":"" &amp; $B$17) = R$21, ISNUMBER(SEARCH($B$4, INDIRECT(""'"" &amp; $B$16 &amp; ""'!"" &amp; $B$12 &amp; "":"" &amp; $B$12)))))"),"#N/A")</f>
        <v>#N/A</v>
      </c>
      <c r="S42" s="304" t="str">
        <f>IFERROR(__xludf.DUMMYFUNCTION("AVERAGE(FILTER(INDIRECT(""'"" &amp; $B$16 &amp; ""'!"" &amp; $B42 &amp; "":"" &amp; $B42), INDIRECT(""'"" &amp; $B$16 &amp; ""'!"" &amp; $B$17 &amp; "":"" &amp; $B$17) = S$21, ISNUMBER(SEARCH($B$4, INDIRECT(""'"" &amp; $B$16 &amp; ""'!"" &amp; $B$12 &amp; "":"" &amp; $B$12)))))"),"#N/A")</f>
        <v>#N/A</v>
      </c>
      <c r="T42" s="305">
        <f t="shared" ref="T42:T50" si="91">($B$6^2*J42)^0.5</f>
        <v>0</v>
      </c>
      <c r="U42" s="305" t="str">
        <f t="shared" ref="U42:U50" si="92">($B$7^2*K42)^0.5</f>
        <v>#N/A</v>
      </c>
      <c r="V42" s="305" t="str">
        <f t="shared" ref="V42:V50" si="93">($B$8^2*L42)^0.5</f>
        <v>#N/A</v>
      </c>
      <c r="W42" s="305" t="str">
        <f t="shared" ref="W42:W50" si="94">($B$9^2*M42)^0.5</f>
        <v>#N/A</v>
      </c>
      <c r="X42" s="305" t="str">
        <f t="shared" ref="X42:X50" si="95">($B$10^2*N42)^0.5</f>
        <v>#N/A</v>
      </c>
      <c r="Y42" s="305">
        <f t="shared" ref="Y42:Y50" si="96">O42*$B$6</f>
        <v>0</v>
      </c>
      <c r="Z42" s="305" t="str">
        <f t="shared" ref="Z42:Z50" si="97">P42*$B$7</f>
        <v>#N/A</v>
      </c>
      <c r="AA42" s="305" t="str">
        <f t="shared" ref="AA42:AA50" si="98">Q42*$B$8</f>
        <v>#N/A</v>
      </c>
      <c r="AB42" s="305" t="str">
        <f t="shared" ref="AB42:AB50" si="99">R42*$B$9</f>
        <v>#N/A</v>
      </c>
      <c r="AC42" s="305" t="str">
        <f t="shared" ref="AC42:AC50" si="100">S42*$B$10</f>
        <v>#N/A</v>
      </c>
      <c r="AD42" s="304">
        <f t="shared" ref="AD42:AD50" si="101">O42*$C$6</f>
        <v>0</v>
      </c>
      <c r="AE42" s="304" t="str">
        <f t="shared" ref="AE42:AE50" si="102">P42*$C$7</f>
        <v>#N/A</v>
      </c>
      <c r="AF42" s="304" t="str">
        <f t="shared" ref="AF42:AF50" si="103">Q42*$C$8</f>
        <v>#N/A</v>
      </c>
      <c r="AG42" s="304" t="str">
        <f t="shared" ref="AG42:AG50" si="104">R42*$C$9</f>
        <v>#N/A</v>
      </c>
      <c r="AH42" s="304" t="str">
        <f t="shared" ref="AH42:AH50" si="105">S42*$C$10</f>
        <v>#N/A</v>
      </c>
      <c r="AI42" s="305" t="str">
        <f t="shared" ref="AI42:AI50" si="106">(T42*T42+U42*U42+V42*V42+W42*W42+X42*X42)^0.5</f>
        <v>#N/A</v>
      </c>
      <c r="AJ42" s="305" t="str">
        <f t="shared" ref="AJ42:AJ50" si="107">AI42*$B$14</f>
        <v>#N/A</v>
      </c>
      <c r="AK42" s="305" t="str">
        <f t="shared" ref="AK42:AK50" si="108">SUM(Y42:AC42)</f>
        <v>#N/A</v>
      </c>
      <c r="AL42" s="306" t="str">
        <f t="shared" ref="AL42:AL50" si="109">IF(AJ42=0,0,AJ42/AK42)</f>
        <v>#N/A</v>
      </c>
      <c r="AM42" s="146" t="str">
        <f t="shared" ref="AM42:AM50" si="110">AK42/$B$2</f>
        <v>#N/A</v>
      </c>
    </row>
    <row r="43" ht="15.75" customHeight="1">
      <c r="A43" s="300" t="s">
        <v>405</v>
      </c>
      <c r="B43" s="90" t="str">
        <f t="shared" si="88"/>
        <v>$CH</v>
      </c>
      <c r="C43" s="288">
        <v>2.0</v>
      </c>
      <c r="D43" s="301">
        <f t="shared" ref="D43:H43" si="89">COUNTIFS(INDIRECT("'" &amp; $B$16 &amp; "'!" &amp; $B$17 &amp; ":" &amp; $B$17),D$21,INDIRECT("'" &amp; $B$16 &amp; "'!" &amp; $B43 &amp; ":" &amp; $B43),1,INDIRECT("'" &amp; $B$16 &amp; "'!" &amp; $B$12 &amp; ":" &amp; $B$12), "*" &amp; $B$4 &amp; "*")
</f>
        <v>0</v>
      </c>
      <c r="E43" s="301">
        <f t="shared" si="89"/>
        <v>0</v>
      </c>
      <c r="F43" s="301">
        <f t="shared" si="89"/>
        <v>0</v>
      </c>
      <c r="G43" s="301">
        <f t="shared" si="89"/>
        <v>0</v>
      </c>
      <c r="H43" s="301">
        <f t="shared" si="89"/>
        <v>0</v>
      </c>
      <c r="I43" s="301">
        <f t="shared" si="90"/>
        <v>0</v>
      </c>
      <c r="J43" s="302">
        <f>IFERROR(__xludf.DUMMYFUNCTION("VAR.S(FILTER(INDIRECT(""'"" &amp; $B$16 &amp; ""'!"" &amp; $B43 &amp; "":"" &amp; $B43), INDIRECT(""'"" &amp; $B$16 &amp; ""'!"" &amp; $B$17 &amp; "":"" &amp; $B$17) = J$21, ISNUMBER(SEARCH($B$4, INDIRECT(""'"" &amp; $B$16 &amp; ""'!"" &amp; $B$12 &amp; "":"" &amp; $B$12)))))/$D$6"),0.0)</f>
        <v>0</v>
      </c>
      <c r="K43" s="302" t="str">
        <f>IFERROR(__xludf.DUMMYFUNCTION("VAR.S(FILTER(INDIRECT(""'"" &amp; $B$16 &amp; ""'!"" &amp; $B43 &amp; "":"" &amp; $B43), INDIRECT(""'"" &amp; $B$16 &amp; ""'!"" &amp; $B$17 &amp; "":"" &amp; $B$17) = K$21, ISNUMBER(SEARCH($B$4, INDIRECT(""'"" &amp; $B$16 &amp; ""'!"" &amp; $B$12 &amp; "":"" &amp; $B$12)))))/$D$7"),"#N/A")</f>
        <v>#N/A</v>
      </c>
      <c r="L43" s="302" t="str">
        <f>IFERROR(__xludf.DUMMYFUNCTION("VAR.S(FILTER(INDIRECT(""'"" &amp; $B$16 &amp; ""'!"" &amp; $B43 &amp; "":"" &amp; $B43), INDIRECT(""'"" &amp; $B$16 &amp; ""'!"" &amp; $B$17 &amp; "":"" &amp; $B$17) = L$21, ISNUMBER(SEARCH($B$4, INDIRECT(""'"" &amp; $B$16 &amp; ""'!"" &amp; $B$12 &amp; "":"" &amp; $B$12)))))/$D$8"),"#N/A")</f>
        <v>#N/A</v>
      </c>
      <c r="M43" s="303" t="str">
        <f>IFERROR(__xludf.DUMMYFUNCTION("VAR.S(FILTER(INDIRECT(""'"" &amp; $B$16 &amp; ""'!"" &amp; $B43 &amp; "":"" &amp; $B43), INDIRECT(""'"" &amp; $B$16 &amp; ""'!"" &amp; $B$17 &amp; "":"" &amp; $B$17) = M$21, ISNUMBER(SEARCH($B$4, INDIRECT(""'"" &amp; $B$16 &amp; ""'!"" &amp; $B$12 &amp; "":"" &amp; $B$12)))))/$D$9"),"#N/A")</f>
        <v>#N/A</v>
      </c>
      <c r="N43" s="303" t="str">
        <f>IFERROR(__xludf.DUMMYFUNCTION("VAR.S(FILTER(INDIRECT(""'"" &amp; $B$16 &amp; ""'!"" &amp; $B43 &amp; "":"" &amp; $B43), INDIRECT(""'"" &amp; $B$16 &amp; ""'!"" &amp; $B$17 &amp; "":"" &amp; $B$17) = N$21, ISNUMBER(SEARCH($B$4, INDIRECT(""'"" &amp; $B$16 &amp; ""'!"" &amp; $B$12 &amp; "":"" &amp; $B$12)))))/$D$10"),"#N/A")</f>
        <v>#N/A</v>
      </c>
      <c r="O43" s="304">
        <f>IFERROR(__xludf.DUMMYFUNCTION("AVERAGE(FILTER(INDIRECT(""'"" &amp; $B$16 &amp; ""'!"" &amp; $B43 &amp; "":"" &amp; $B43), INDIRECT(""'"" &amp; $B$16 &amp; ""'!"" &amp; $B$17 &amp; "":"" &amp; $B$17) = O$21, ISNUMBER(SEARCH($B$4, INDIRECT(""'"" &amp; $B$16 &amp; ""'!"" &amp; $B$12 &amp; "":"" &amp; $B$12)))))"),0.0)</f>
        <v>0</v>
      </c>
      <c r="P43" s="304" t="str">
        <f>IFERROR(__xludf.DUMMYFUNCTION("AVERAGE(FILTER(INDIRECT(""'"" &amp; $B$16 &amp; ""'!"" &amp; $B43 &amp; "":"" &amp; $B43), INDIRECT(""'"" &amp; $B$16 &amp; ""'!"" &amp; $B$17 &amp; "":"" &amp; $B$17) = P$21, ISNUMBER(SEARCH($B$4, INDIRECT(""'"" &amp; $B$16 &amp; ""'!"" &amp; $B$12 &amp; "":"" &amp; $B$12)))))"),"#N/A")</f>
        <v>#N/A</v>
      </c>
      <c r="Q43" s="304" t="str">
        <f>IFERROR(__xludf.DUMMYFUNCTION("AVERAGE(FILTER(INDIRECT(""'"" &amp; $B$16 &amp; ""'!"" &amp; $B43 &amp; "":"" &amp; $B43), INDIRECT(""'"" &amp; $B$16 &amp; ""'!"" &amp; $B$17 &amp; "":"" &amp; $B$17) = Q$21, ISNUMBER(SEARCH($B$4, INDIRECT(""'"" &amp; $B$16 &amp; ""'!"" &amp; $B$12 &amp; "":"" &amp; $B$12)))))"),"#N/A")</f>
        <v>#N/A</v>
      </c>
      <c r="R43" s="304" t="str">
        <f>IFERROR(__xludf.DUMMYFUNCTION("AVERAGE(FILTER(INDIRECT(""'"" &amp; $B$16 &amp; ""'!"" &amp; $B43 &amp; "":"" &amp; $B43), INDIRECT(""'"" &amp; $B$16 &amp; ""'!"" &amp; $B$17 &amp; "":"" &amp; $B$17) = R$21, ISNUMBER(SEARCH($B$4, INDIRECT(""'"" &amp; $B$16 &amp; ""'!"" &amp; $B$12 &amp; "":"" &amp; $B$12)))))"),"#N/A")</f>
        <v>#N/A</v>
      </c>
      <c r="S43" s="304" t="str">
        <f>IFERROR(__xludf.DUMMYFUNCTION("AVERAGE(FILTER(INDIRECT(""'"" &amp; $B$16 &amp; ""'!"" &amp; $B43 &amp; "":"" &amp; $B43), INDIRECT(""'"" &amp; $B$16 &amp; ""'!"" &amp; $B$17 &amp; "":"" &amp; $B$17) = S$21, ISNUMBER(SEARCH($B$4, INDIRECT(""'"" &amp; $B$16 &amp; ""'!"" &amp; $B$12 &amp; "":"" &amp; $B$12)))))"),"#N/A")</f>
        <v>#N/A</v>
      </c>
      <c r="T43" s="305">
        <f t="shared" si="91"/>
        <v>0</v>
      </c>
      <c r="U43" s="305" t="str">
        <f t="shared" si="92"/>
        <v>#N/A</v>
      </c>
      <c r="V43" s="305" t="str">
        <f t="shared" si="93"/>
        <v>#N/A</v>
      </c>
      <c r="W43" s="305" t="str">
        <f t="shared" si="94"/>
        <v>#N/A</v>
      </c>
      <c r="X43" s="305" t="str">
        <f t="shared" si="95"/>
        <v>#N/A</v>
      </c>
      <c r="Y43" s="305">
        <f t="shared" si="96"/>
        <v>0</v>
      </c>
      <c r="Z43" s="305" t="str">
        <f t="shared" si="97"/>
        <v>#N/A</v>
      </c>
      <c r="AA43" s="305" t="str">
        <f t="shared" si="98"/>
        <v>#N/A</v>
      </c>
      <c r="AB43" s="305" t="str">
        <f t="shared" si="99"/>
        <v>#N/A</v>
      </c>
      <c r="AC43" s="305" t="str">
        <f t="shared" si="100"/>
        <v>#N/A</v>
      </c>
      <c r="AD43" s="304">
        <f t="shared" si="101"/>
        <v>0</v>
      </c>
      <c r="AE43" s="304" t="str">
        <f t="shared" si="102"/>
        <v>#N/A</v>
      </c>
      <c r="AF43" s="304" t="str">
        <f t="shared" si="103"/>
        <v>#N/A</v>
      </c>
      <c r="AG43" s="304" t="str">
        <f t="shared" si="104"/>
        <v>#N/A</v>
      </c>
      <c r="AH43" s="304" t="str">
        <f t="shared" si="105"/>
        <v>#N/A</v>
      </c>
      <c r="AI43" s="305" t="str">
        <f t="shared" si="106"/>
        <v>#N/A</v>
      </c>
      <c r="AJ43" s="305" t="str">
        <f t="shared" si="107"/>
        <v>#N/A</v>
      </c>
      <c r="AK43" s="305" t="str">
        <f t="shared" si="108"/>
        <v>#N/A</v>
      </c>
      <c r="AL43" s="306" t="str">
        <f t="shared" si="109"/>
        <v>#N/A</v>
      </c>
      <c r="AM43" s="146" t="str">
        <f t="shared" si="110"/>
        <v>#N/A</v>
      </c>
    </row>
    <row r="44" ht="15.75" customHeight="1">
      <c r="A44" s="300" t="s">
        <v>408</v>
      </c>
      <c r="B44" s="90" t="str">
        <f t="shared" si="88"/>
        <v>$CI</v>
      </c>
      <c r="C44" s="288">
        <v>3.0</v>
      </c>
      <c r="D44" s="301">
        <f t="shared" ref="D44:H44" si="111">COUNTIFS(INDIRECT("'" &amp; $B$16 &amp; "'!" &amp; $B$17 &amp; ":" &amp; $B$17),D$21,INDIRECT("'" &amp; $B$16 &amp; "'!" &amp; $B44 &amp; ":" &amp; $B44),1,INDIRECT("'" &amp; $B$16 &amp; "'!" &amp; $B$12 &amp; ":" &amp; $B$12), "*" &amp; $B$4 &amp; "*")
</f>
        <v>0</v>
      </c>
      <c r="E44" s="301">
        <f t="shared" si="111"/>
        <v>0</v>
      </c>
      <c r="F44" s="301">
        <f t="shared" si="111"/>
        <v>0</v>
      </c>
      <c r="G44" s="301">
        <f t="shared" si="111"/>
        <v>0</v>
      </c>
      <c r="H44" s="301">
        <f t="shared" si="111"/>
        <v>0</v>
      </c>
      <c r="I44" s="301">
        <f t="shared" si="90"/>
        <v>0</v>
      </c>
      <c r="J44" s="302">
        <f>IFERROR(__xludf.DUMMYFUNCTION("VAR.S(FILTER(INDIRECT(""'"" &amp; $B$16 &amp; ""'!"" &amp; $B44 &amp; "":"" &amp; $B44), INDIRECT(""'"" &amp; $B$16 &amp; ""'!"" &amp; $B$17 &amp; "":"" &amp; $B$17) = J$21, ISNUMBER(SEARCH($B$4, INDIRECT(""'"" &amp; $B$16 &amp; ""'!"" &amp; $B$12 &amp; "":"" &amp; $B$12)))))/$D$6"),0.0)</f>
        <v>0</v>
      </c>
      <c r="K44" s="302" t="str">
        <f>IFERROR(__xludf.DUMMYFUNCTION("VAR.S(FILTER(INDIRECT(""'"" &amp; $B$16 &amp; ""'!"" &amp; $B44 &amp; "":"" &amp; $B44), INDIRECT(""'"" &amp; $B$16 &amp; ""'!"" &amp; $B$17 &amp; "":"" &amp; $B$17) = K$21, ISNUMBER(SEARCH($B$4, INDIRECT(""'"" &amp; $B$16 &amp; ""'!"" &amp; $B$12 &amp; "":"" &amp; $B$12)))))/$D$7"),"#N/A")</f>
        <v>#N/A</v>
      </c>
      <c r="L44" s="302" t="str">
        <f>IFERROR(__xludf.DUMMYFUNCTION("VAR.S(FILTER(INDIRECT(""'"" &amp; $B$16 &amp; ""'!"" &amp; $B44 &amp; "":"" &amp; $B44), INDIRECT(""'"" &amp; $B$16 &amp; ""'!"" &amp; $B$17 &amp; "":"" &amp; $B$17) = L$21, ISNUMBER(SEARCH($B$4, INDIRECT(""'"" &amp; $B$16 &amp; ""'!"" &amp; $B$12 &amp; "":"" &amp; $B$12)))))/$D$8"),"#N/A")</f>
        <v>#N/A</v>
      </c>
      <c r="M44" s="303" t="str">
        <f>IFERROR(__xludf.DUMMYFUNCTION("VAR.S(FILTER(INDIRECT(""'"" &amp; $B$16 &amp; ""'!"" &amp; $B44 &amp; "":"" &amp; $B44), INDIRECT(""'"" &amp; $B$16 &amp; ""'!"" &amp; $B$17 &amp; "":"" &amp; $B$17) = M$21, ISNUMBER(SEARCH($B$4, INDIRECT(""'"" &amp; $B$16 &amp; ""'!"" &amp; $B$12 &amp; "":"" &amp; $B$12)))))/$D$9"),"#N/A")</f>
        <v>#N/A</v>
      </c>
      <c r="N44" s="303" t="str">
        <f>IFERROR(__xludf.DUMMYFUNCTION("VAR.S(FILTER(INDIRECT(""'"" &amp; $B$16 &amp; ""'!"" &amp; $B44 &amp; "":"" &amp; $B44), INDIRECT(""'"" &amp; $B$16 &amp; ""'!"" &amp; $B$17 &amp; "":"" &amp; $B$17) = N$21, ISNUMBER(SEARCH($B$4, INDIRECT(""'"" &amp; $B$16 &amp; ""'!"" &amp; $B$12 &amp; "":"" &amp; $B$12)))))/$D$10"),"#N/A")</f>
        <v>#N/A</v>
      </c>
      <c r="O44" s="304">
        <f>IFERROR(__xludf.DUMMYFUNCTION("AVERAGE(FILTER(INDIRECT(""'"" &amp; $B$16 &amp; ""'!"" &amp; $B44 &amp; "":"" &amp; $B44), INDIRECT(""'"" &amp; $B$16 &amp; ""'!"" &amp; $B$17 &amp; "":"" &amp; $B$17) = O$21, ISNUMBER(SEARCH($B$4, INDIRECT(""'"" &amp; $B$16 &amp; ""'!"" &amp; $B$12 &amp; "":"" &amp; $B$12)))))"),0.0)</f>
        <v>0</v>
      </c>
      <c r="P44" s="304" t="str">
        <f>IFERROR(__xludf.DUMMYFUNCTION("AVERAGE(FILTER(INDIRECT(""'"" &amp; $B$16 &amp; ""'!"" &amp; $B44 &amp; "":"" &amp; $B44), INDIRECT(""'"" &amp; $B$16 &amp; ""'!"" &amp; $B$17 &amp; "":"" &amp; $B$17) = P$21, ISNUMBER(SEARCH($B$4, INDIRECT(""'"" &amp; $B$16 &amp; ""'!"" &amp; $B$12 &amp; "":"" &amp; $B$12)))))"),"#N/A")</f>
        <v>#N/A</v>
      </c>
      <c r="Q44" s="304" t="str">
        <f>IFERROR(__xludf.DUMMYFUNCTION("AVERAGE(FILTER(INDIRECT(""'"" &amp; $B$16 &amp; ""'!"" &amp; $B44 &amp; "":"" &amp; $B44), INDIRECT(""'"" &amp; $B$16 &amp; ""'!"" &amp; $B$17 &amp; "":"" &amp; $B$17) = Q$21, ISNUMBER(SEARCH($B$4, INDIRECT(""'"" &amp; $B$16 &amp; ""'!"" &amp; $B$12 &amp; "":"" &amp; $B$12)))))"),"#N/A")</f>
        <v>#N/A</v>
      </c>
      <c r="R44" s="304" t="str">
        <f>IFERROR(__xludf.DUMMYFUNCTION("AVERAGE(FILTER(INDIRECT(""'"" &amp; $B$16 &amp; ""'!"" &amp; $B44 &amp; "":"" &amp; $B44), INDIRECT(""'"" &amp; $B$16 &amp; ""'!"" &amp; $B$17 &amp; "":"" &amp; $B$17) = R$21, ISNUMBER(SEARCH($B$4, INDIRECT(""'"" &amp; $B$16 &amp; ""'!"" &amp; $B$12 &amp; "":"" &amp; $B$12)))))"),"#N/A")</f>
        <v>#N/A</v>
      </c>
      <c r="S44" s="304" t="str">
        <f>IFERROR(__xludf.DUMMYFUNCTION("AVERAGE(FILTER(INDIRECT(""'"" &amp; $B$16 &amp; ""'!"" &amp; $B44 &amp; "":"" &amp; $B44), INDIRECT(""'"" &amp; $B$16 &amp; ""'!"" &amp; $B$17 &amp; "":"" &amp; $B$17) = S$21, ISNUMBER(SEARCH($B$4, INDIRECT(""'"" &amp; $B$16 &amp; ""'!"" &amp; $B$12 &amp; "":"" &amp; $B$12)))))"),"#N/A")</f>
        <v>#N/A</v>
      </c>
      <c r="T44" s="305">
        <f t="shared" si="91"/>
        <v>0</v>
      </c>
      <c r="U44" s="305" t="str">
        <f t="shared" si="92"/>
        <v>#N/A</v>
      </c>
      <c r="V44" s="305" t="str">
        <f t="shared" si="93"/>
        <v>#N/A</v>
      </c>
      <c r="W44" s="305" t="str">
        <f t="shared" si="94"/>
        <v>#N/A</v>
      </c>
      <c r="X44" s="305" t="str">
        <f t="shared" si="95"/>
        <v>#N/A</v>
      </c>
      <c r="Y44" s="305">
        <f t="shared" si="96"/>
        <v>0</v>
      </c>
      <c r="Z44" s="305" t="str">
        <f t="shared" si="97"/>
        <v>#N/A</v>
      </c>
      <c r="AA44" s="305" t="str">
        <f t="shared" si="98"/>
        <v>#N/A</v>
      </c>
      <c r="AB44" s="305" t="str">
        <f t="shared" si="99"/>
        <v>#N/A</v>
      </c>
      <c r="AC44" s="305" t="str">
        <f t="shared" si="100"/>
        <v>#N/A</v>
      </c>
      <c r="AD44" s="304">
        <f t="shared" si="101"/>
        <v>0</v>
      </c>
      <c r="AE44" s="304" t="str">
        <f t="shared" si="102"/>
        <v>#N/A</v>
      </c>
      <c r="AF44" s="304" t="str">
        <f t="shared" si="103"/>
        <v>#N/A</v>
      </c>
      <c r="AG44" s="304" t="str">
        <f t="shared" si="104"/>
        <v>#N/A</v>
      </c>
      <c r="AH44" s="304" t="str">
        <f t="shared" si="105"/>
        <v>#N/A</v>
      </c>
      <c r="AI44" s="305" t="str">
        <f t="shared" si="106"/>
        <v>#N/A</v>
      </c>
      <c r="AJ44" s="305" t="str">
        <f t="shared" si="107"/>
        <v>#N/A</v>
      </c>
      <c r="AK44" s="305" t="str">
        <f t="shared" si="108"/>
        <v>#N/A</v>
      </c>
      <c r="AL44" s="306" t="str">
        <f t="shared" si="109"/>
        <v>#N/A</v>
      </c>
      <c r="AM44" s="146" t="str">
        <f t="shared" si="110"/>
        <v>#N/A</v>
      </c>
    </row>
    <row r="45" ht="15.75" customHeight="1">
      <c r="A45" s="300" t="s">
        <v>411</v>
      </c>
      <c r="B45" s="90" t="str">
        <f t="shared" si="88"/>
        <v>$CJ</v>
      </c>
      <c r="C45" s="288">
        <v>4.0</v>
      </c>
      <c r="D45" s="301">
        <f t="shared" ref="D45:H45" si="112">COUNTIFS(INDIRECT("'" &amp; $B$16 &amp; "'!" &amp; $B$17 &amp; ":" &amp; $B$17),D$21,INDIRECT("'" &amp; $B$16 &amp; "'!" &amp; $B45 &amp; ":" &amp; $B45),1,INDIRECT("'" &amp; $B$16 &amp; "'!" &amp; $B$12 &amp; ":" &amp; $B$12), "*" &amp; $B$4 &amp; "*")
</f>
        <v>0</v>
      </c>
      <c r="E45" s="301">
        <f t="shared" si="112"/>
        <v>0</v>
      </c>
      <c r="F45" s="301">
        <f t="shared" si="112"/>
        <v>0</v>
      </c>
      <c r="G45" s="301">
        <f t="shared" si="112"/>
        <v>0</v>
      </c>
      <c r="H45" s="301">
        <f t="shared" si="112"/>
        <v>0</v>
      </c>
      <c r="I45" s="301">
        <f t="shared" si="90"/>
        <v>0</v>
      </c>
      <c r="J45" s="302">
        <f>IFERROR(__xludf.DUMMYFUNCTION("VAR.S(FILTER(INDIRECT(""'"" &amp; $B$16 &amp; ""'!"" &amp; $B45 &amp; "":"" &amp; $B45), INDIRECT(""'"" &amp; $B$16 &amp; ""'!"" &amp; $B$17 &amp; "":"" &amp; $B$17) = J$21, ISNUMBER(SEARCH($B$4, INDIRECT(""'"" &amp; $B$16 &amp; ""'!"" &amp; $B$12 &amp; "":"" &amp; $B$12)))))/$D$6"),0.0)</f>
        <v>0</v>
      </c>
      <c r="K45" s="302" t="str">
        <f>IFERROR(__xludf.DUMMYFUNCTION("VAR.S(FILTER(INDIRECT(""'"" &amp; $B$16 &amp; ""'!"" &amp; $B45 &amp; "":"" &amp; $B45), INDIRECT(""'"" &amp; $B$16 &amp; ""'!"" &amp; $B$17 &amp; "":"" &amp; $B$17) = K$21, ISNUMBER(SEARCH($B$4, INDIRECT(""'"" &amp; $B$16 &amp; ""'!"" &amp; $B$12 &amp; "":"" &amp; $B$12)))))/$D$7"),"#N/A")</f>
        <v>#N/A</v>
      </c>
      <c r="L45" s="302" t="str">
        <f>IFERROR(__xludf.DUMMYFUNCTION("VAR.S(FILTER(INDIRECT(""'"" &amp; $B$16 &amp; ""'!"" &amp; $B45 &amp; "":"" &amp; $B45), INDIRECT(""'"" &amp; $B$16 &amp; ""'!"" &amp; $B$17 &amp; "":"" &amp; $B$17) = L$21, ISNUMBER(SEARCH($B$4, INDIRECT(""'"" &amp; $B$16 &amp; ""'!"" &amp; $B$12 &amp; "":"" &amp; $B$12)))))/$D$8"),"#N/A")</f>
        <v>#N/A</v>
      </c>
      <c r="M45" s="303" t="str">
        <f>IFERROR(__xludf.DUMMYFUNCTION("VAR.S(FILTER(INDIRECT(""'"" &amp; $B$16 &amp; ""'!"" &amp; $B45 &amp; "":"" &amp; $B45), INDIRECT(""'"" &amp; $B$16 &amp; ""'!"" &amp; $B$17 &amp; "":"" &amp; $B$17) = M$21, ISNUMBER(SEARCH($B$4, INDIRECT(""'"" &amp; $B$16 &amp; ""'!"" &amp; $B$12 &amp; "":"" &amp; $B$12)))))/$D$9"),"#N/A")</f>
        <v>#N/A</v>
      </c>
      <c r="N45" s="303" t="str">
        <f>IFERROR(__xludf.DUMMYFUNCTION("VAR.S(FILTER(INDIRECT(""'"" &amp; $B$16 &amp; ""'!"" &amp; $B45 &amp; "":"" &amp; $B45), INDIRECT(""'"" &amp; $B$16 &amp; ""'!"" &amp; $B$17 &amp; "":"" &amp; $B$17) = N$21, ISNUMBER(SEARCH($B$4, INDIRECT(""'"" &amp; $B$16 &amp; ""'!"" &amp; $B$12 &amp; "":"" &amp; $B$12)))))/$D$10"),"#N/A")</f>
        <v>#N/A</v>
      </c>
      <c r="O45" s="304">
        <f>IFERROR(__xludf.DUMMYFUNCTION("AVERAGE(FILTER(INDIRECT(""'"" &amp; $B$16 &amp; ""'!"" &amp; $B45 &amp; "":"" &amp; $B45), INDIRECT(""'"" &amp; $B$16 &amp; ""'!"" &amp; $B$17 &amp; "":"" &amp; $B$17) = O$21, ISNUMBER(SEARCH($B$4, INDIRECT(""'"" &amp; $B$16 &amp; ""'!"" &amp; $B$12 &amp; "":"" &amp; $B$12)))))"),0.0)</f>
        <v>0</v>
      </c>
      <c r="P45" s="304" t="str">
        <f>IFERROR(__xludf.DUMMYFUNCTION("AVERAGE(FILTER(INDIRECT(""'"" &amp; $B$16 &amp; ""'!"" &amp; $B45 &amp; "":"" &amp; $B45), INDIRECT(""'"" &amp; $B$16 &amp; ""'!"" &amp; $B$17 &amp; "":"" &amp; $B$17) = P$21, ISNUMBER(SEARCH($B$4, INDIRECT(""'"" &amp; $B$16 &amp; ""'!"" &amp; $B$12 &amp; "":"" &amp; $B$12)))))"),"#N/A")</f>
        <v>#N/A</v>
      </c>
      <c r="Q45" s="304" t="str">
        <f>IFERROR(__xludf.DUMMYFUNCTION("AVERAGE(FILTER(INDIRECT(""'"" &amp; $B$16 &amp; ""'!"" &amp; $B45 &amp; "":"" &amp; $B45), INDIRECT(""'"" &amp; $B$16 &amp; ""'!"" &amp; $B$17 &amp; "":"" &amp; $B$17) = Q$21, ISNUMBER(SEARCH($B$4, INDIRECT(""'"" &amp; $B$16 &amp; ""'!"" &amp; $B$12 &amp; "":"" &amp; $B$12)))))"),"#N/A")</f>
        <v>#N/A</v>
      </c>
      <c r="R45" s="304" t="str">
        <f>IFERROR(__xludf.DUMMYFUNCTION("AVERAGE(FILTER(INDIRECT(""'"" &amp; $B$16 &amp; ""'!"" &amp; $B45 &amp; "":"" &amp; $B45), INDIRECT(""'"" &amp; $B$16 &amp; ""'!"" &amp; $B$17 &amp; "":"" &amp; $B$17) = R$21, ISNUMBER(SEARCH($B$4, INDIRECT(""'"" &amp; $B$16 &amp; ""'!"" &amp; $B$12 &amp; "":"" &amp; $B$12)))))"),"#N/A")</f>
        <v>#N/A</v>
      </c>
      <c r="S45" s="304" t="str">
        <f>IFERROR(__xludf.DUMMYFUNCTION("AVERAGE(FILTER(INDIRECT(""'"" &amp; $B$16 &amp; ""'!"" &amp; $B45 &amp; "":"" &amp; $B45), INDIRECT(""'"" &amp; $B$16 &amp; ""'!"" &amp; $B$17 &amp; "":"" &amp; $B$17) = S$21, ISNUMBER(SEARCH($B$4, INDIRECT(""'"" &amp; $B$16 &amp; ""'!"" &amp; $B$12 &amp; "":"" &amp; $B$12)))))"),"#N/A")</f>
        <v>#N/A</v>
      </c>
      <c r="T45" s="305">
        <f t="shared" si="91"/>
        <v>0</v>
      </c>
      <c r="U45" s="305" t="str">
        <f t="shared" si="92"/>
        <v>#N/A</v>
      </c>
      <c r="V45" s="305" t="str">
        <f t="shared" si="93"/>
        <v>#N/A</v>
      </c>
      <c r="W45" s="305" t="str">
        <f t="shared" si="94"/>
        <v>#N/A</v>
      </c>
      <c r="X45" s="305" t="str">
        <f t="shared" si="95"/>
        <v>#N/A</v>
      </c>
      <c r="Y45" s="305">
        <f t="shared" si="96"/>
        <v>0</v>
      </c>
      <c r="Z45" s="305" t="str">
        <f t="shared" si="97"/>
        <v>#N/A</v>
      </c>
      <c r="AA45" s="305" t="str">
        <f t="shared" si="98"/>
        <v>#N/A</v>
      </c>
      <c r="AB45" s="305" t="str">
        <f t="shared" si="99"/>
        <v>#N/A</v>
      </c>
      <c r="AC45" s="305" t="str">
        <f t="shared" si="100"/>
        <v>#N/A</v>
      </c>
      <c r="AD45" s="304">
        <f t="shared" si="101"/>
        <v>0</v>
      </c>
      <c r="AE45" s="304" t="str">
        <f t="shared" si="102"/>
        <v>#N/A</v>
      </c>
      <c r="AF45" s="304" t="str">
        <f t="shared" si="103"/>
        <v>#N/A</v>
      </c>
      <c r="AG45" s="304" t="str">
        <f t="shared" si="104"/>
        <v>#N/A</v>
      </c>
      <c r="AH45" s="304" t="str">
        <f t="shared" si="105"/>
        <v>#N/A</v>
      </c>
      <c r="AI45" s="305" t="str">
        <f t="shared" si="106"/>
        <v>#N/A</v>
      </c>
      <c r="AJ45" s="305" t="str">
        <f t="shared" si="107"/>
        <v>#N/A</v>
      </c>
      <c r="AK45" s="305" t="str">
        <f t="shared" si="108"/>
        <v>#N/A</v>
      </c>
      <c r="AL45" s="306" t="str">
        <f t="shared" si="109"/>
        <v>#N/A</v>
      </c>
      <c r="AM45" s="146" t="str">
        <f t="shared" si="110"/>
        <v>#N/A</v>
      </c>
    </row>
    <row r="46" ht="15.75" customHeight="1">
      <c r="A46" s="300" t="s">
        <v>414</v>
      </c>
      <c r="B46" s="90" t="str">
        <f t="shared" si="88"/>
        <v>$CK</v>
      </c>
      <c r="C46" s="288">
        <v>7.0</v>
      </c>
      <c r="D46" s="301">
        <f t="shared" ref="D46:H46" si="113">COUNTIFS(INDIRECT("'" &amp; $B$16 &amp; "'!" &amp; $B$17 &amp; ":" &amp; $B$17),D$21,INDIRECT("'" &amp; $B$16 &amp; "'!" &amp; $B46 &amp; ":" &amp; $B46),1,INDIRECT("'" &amp; $B$16 &amp; "'!" &amp; $B$12 &amp; ":" &amp; $B$12), "*" &amp; $B$4 &amp; "*")
</f>
        <v>0</v>
      </c>
      <c r="E46" s="301">
        <f t="shared" si="113"/>
        <v>0</v>
      </c>
      <c r="F46" s="301">
        <f t="shared" si="113"/>
        <v>0</v>
      </c>
      <c r="G46" s="301">
        <f t="shared" si="113"/>
        <v>0</v>
      </c>
      <c r="H46" s="301">
        <f t="shared" si="113"/>
        <v>0</v>
      </c>
      <c r="I46" s="301">
        <f t="shared" si="90"/>
        <v>0</v>
      </c>
      <c r="J46" s="302">
        <f>IFERROR(__xludf.DUMMYFUNCTION("VAR.S(FILTER(INDIRECT(""'"" &amp; $B$16 &amp; ""'!"" &amp; $B46 &amp; "":"" &amp; $B46), INDIRECT(""'"" &amp; $B$16 &amp; ""'!"" &amp; $B$17 &amp; "":"" &amp; $B$17) = J$21, ISNUMBER(SEARCH($B$4, INDIRECT(""'"" &amp; $B$16 &amp; ""'!"" &amp; $B$12 &amp; "":"" &amp; $B$12)))))/$D$6"),0.0)</f>
        <v>0</v>
      </c>
      <c r="K46" s="302" t="str">
        <f>IFERROR(__xludf.DUMMYFUNCTION("VAR.S(FILTER(INDIRECT(""'"" &amp; $B$16 &amp; ""'!"" &amp; $B46 &amp; "":"" &amp; $B46), INDIRECT(""'"" &amp; $B$16 &amp; ""'!"" &amp; $B$17 &amp; "":"" &amp; $B$17) = K$21, ISNUMBER(SEARCH($B$4, INDIRECT(""'"" &amp; $B$16 &amp; ""'!"" &amp; $B$12 &amp; "":"" &amp; $B$12)))))/$D$7"),"#N/A")</f>
        <v>#N/A</v>
      </c>
      <c r="L46" s="302" t="str">
        <f>IFERROR(__xludf.DUMMYFUNCTION("VAR.S(FILTER(INDIRECT(""'"" &amp; $B$16 &amp; ""'!"" &amp; $B46 &amp; "":"" &amp; $B46), INDIRECT(""'"" &amp; $B$16 &amp; ""'!"" &amp; $B$17 &amp; "":"" &amp; $B$17) = L$21, ISNUMBER(SEARCH($B$4, INDIRECT(""'"" &amp; $B$16 &amp; ""'!"" &amp; $B$12 &amp; "":"" &amp; $B$12)))))/$D$8"),"#N/A")</f>
        <v>#N/A</v>
      </c>
      <c r="M46" s="303" t="str">
        <f>IFERROR(__xludf.DUMMYFUNCTION("VAR.S(FILTER(INDIRECT(""'"" &amp; $B$16 &amp; ""'!"" &amp; $B46 &amp; "":"" &amp; $B46), INDIRECT(""'"" &amp; $B$16 &amp; ""'!"" &amp; $B$17 &amp; "":"" &amp; $B$17) = M$21, ISNUMBER(SEARCH($B$4, INDIRECT(""'"" &amp; $B$16 &amp; ""'!"" &amp; $B$12 &amp; "":"" &amp; $B$12)))))/$D$9"),"#N/A")</f>
        <v>#N/A</v>
      </c>
      <c r="N46" s="303" t="str">
        <f>IFERROR(__xludf.DUMMYFUNCTION("VAR.S(FILTER(INDIRECT(""'"" &amp; $B$16 &amp; ""'!"" &amp; $B46 &amp; "":"" &amp; $B46), INDIRECT(""'"" &amp; $B$16 &amp; ""'!"" &amp; $B$17 &amp; "":"" &amp; $B$17) = N$21, ISNUMBER(SEARCH($B$4, INDIRECT(""'"" &amp; $B$16 &amp; ""'!"" &amp; $B$12 &amp; "":"" &amp; $B$12)))))/$D$10"),"#N/A")</f>
        <v>#N/A</v>
      </c>
      <c r="O46" s="304">
        <f>IFERROR(__xludf.DUMMYFUNCTION("AVERAGE(FILTER(INDIRECT(""'"" &amp; $B$16 &amp; ""'!"" &amp; $B46 &amp; "":"" &amp; $B46), INDIRECT(""'"" &amp; $B$16 &amp; ""'!"" &amp; $B$17 &amp; "":"" &amp; $B$17) = O$21, ISNUMBER(SEARCH($B$4, INDIRECT(""'"" &amp; $B$16 &amp; ""'!"" &amp; $B$12 &amp; "":"" &amp; $B$12)))))"),0.0)</f>
        <v>0</v>
      </c>
      <c r="P46" s="304" t="str">
        <f>IFERROR(__xludf.DUMMYFUNCTION("AVERAGE(FILTER(INDIRECT(""'"" &amp; $B$16 &amp; ""'!"" &amp; $B46 &amp; "":"" &amp; $B46), INDIRECT(""'"" &amp; $B$16 &amp; ""'!"" &amp; $B$17 &amp; "":"" &amp; $B$17) = P$21, ISNUMBER(SEARCH($B$4, INDIRECT(""'"" &amp; $B$16 &amp; ""'!"" &amp; $B$12 &amp; "":"" &amp; $B$12)))))"),"#N/A")</f>
        <v>#N/A</v>
      </c>
      <c r="Q46" s="304" t="str">
        <f>IFERROR(__xludf.DUMMYFUNCTION("AVERAGE(FILTER(INDIRECT(""'"" &amp; $B$16 &amp; ""'!"" &amp; $B46 &amp; "":"" &amp; $B46), INDIRECT(""'"" &amp; $B$16 &amp; ""'!"" &amp; $B$17 &amp; "":"" &amp; $B$17) = Q$21, ISNUMBER(SEARCH($B$4, INDIRECT(""'"" &amp; $B$16 &amp; ""'!"" &amp; $B$12 &amp; "":"" &amp; $B$12)))))"),"#N/A")</f>
        <v>#N/A</v>
      </c>
      <c r="R46" s="304" t="str">
        <f>IFERROR(__xludf.DUMMYFUNCTION("AVERAGE(FILTER(INDIRECT(""'"" &amp; $B$16 &amp; ""'!"" &amp; $B46 &amp; "":"" &amp; $B46), INDIRECT(""'"" &amp; $B$16 &amp; ""'!"" &amp; $B$17 &amp; "":"" &amp; $B$17) = R$21, ISNUMBER(SEARCH($B$4, INDIRECT(""'"" &amp; $B$16 &amp; ""'!"" &amp; $B$12 &amp; "":"" &amp; $B$12)))))"),"#N/A")</f>
        <v>#N/A</v>
      </c>
      <c r="S46" s="304" t="str">
        <f>IFERROR(__xludf.DUMMYFUNCTION("AVERAGE(FILTER(INDIRECT(""'"" &amp; $B$16 &amp; ""'!"" &amp; $B46 &amp; "":"" &amp; $B46), INDIRECT(""'"" &amp; $B$16 &amp; ""'!"" &amp; $B$17 &amp; "":"" &amp; $B$17) = S$21, ISNUMBER(SEARCH($B$4, INDIRECT(""'"" &amp; $B$16 &amp; ""'!"" &amp; $B$12 &amp; "":"" &amp; $B$12)))))"),"#N/A")</f>
        <v>#N/A</v>
      </c>
      <c r="T46" s="305">
        <f t="shared" si="91"/>
        <v>0</v>
      </c>
      <c r="U46" s="305" t="str">
        <f t="shared" si="92"/>
        <v>#N/A</v>
      </c>
      <c r="V46" s="305" t="str">
        <f t="shared" si="93"/>
        <v>#N/A</v>
      </c>
      <c r="W46" s="305" t="str">
        <f t="shared" si="94"/>
        <v>#N/A</v>
      </c>
      <c r="X46" s="305" t="str">
        <f t="shared" si="95"/>
        <v>#N/A</v>
      </c>
      <c r="Y46" s="305">
        <f t="shared" si="96"/>
        <v>0</v>
      </c>
      <c r="Z46" s="305" t="str">
        <f t="shared" si="97"/>
        <v>#N/A</v>
      </c>
      <c r="AA46" s="305" t="str">
        <f t="shared" si="98"/>
        <v>#N/A</v>
      </c>
      <c r="AB46" s="305" t="str">
        <f t="shared" si="99"/>
        <v>#N/A</v>
      </c>
      <c r="AC46" s="305" t="str">
        <f t="shared" si="100"/>
        <v>#N/A</v>
      </c>
      <c r="AD46" s="304">
        <f t="shared" si="101"/>
        <v>0</v>
      </c>
      <c r="AE46" s="304" t="str">
        <f t="shared" si="102"/>
        <v>#N/A</v>
      </c>
      <c r="AF46" s="304" t="str">
        <f t="shared" si="103"/>
        <v>#N/A</v>
      </c>
      <c r="AG46" s="304" t="str">
        <f t="shared" si="104"/>
        <v>#N/A</v>
      </c>
      <c r="AH46" s="304" t="str">
        <f t="shared" si="105"/>
        <v>#N/A</v>
      </c>
      <c r="AI46" s="305" t="str">
        <f t="shared" si="106"/>
        <v>#N/A</v>
      </c>
      <c r="AJ46" s="305" t="str">
        <f t="shared" si="107"/>
        <v>#N/A</v>
      </c>
      <c r="AK46" s="305" t="str">
        <f t="shared" si="108"/>
        <v>#N/A</v>
      </c>
      <c r="AL46" s="306" t="str">
        <f t="shared" si="109"/>
        <v>#N/A</v>
      </c>
      <c r="AM46" s="146" t="str">
        <f t="shared" si="110"/>
        <v>#N/A</v>
      </c>
    </row>
    <row r="47" ht="15.75" customHeight="1">
      <c r="A47" s="300" t="s">
        <v>417</v>
      </c>
      <c r="B47" s="90" t="str">
        <f t="shared" si="88"/>
        <v>$CL</v>
      </c>
      <c r="C47" s="288">
        <v>8.0</v>
      </c>
      <c r="D47" s="301">
        <f t="shared" ref="D47:H47" si="114">COUNTIFS(INDIRECT("'" &amp; $B$16 &amp; "'!" &amp; $B$17 &amp; ":" &amp; $B$17),D$21,INDIRECT("'" &amp; $B$16 &amp; "'!" &amp; $B47 &amp; ":" &amp; $B47),1,INDIRECT("'" &amp; $B$16 &amp; "'!" &amp; $B$12 &amp; ":" &amp; $B$12), "*" &amp; $B$4 &amp; "*")
</f>
        <v>0</v>
      </c>
      <c r="E47" s="301">
        <f t="shared" si="114"/>
        <v>0</v>
      </c>
      <c r="F47" s="301">
        <f t="shared" si="114"/>
        <v>0</v>
      </c>
      <c r="G47" s="301">
        <f t="shared" si="114"/>
        <v>0</v>
      </c>
      <c r="H47" s="301">
        <f t="shared" si="114"/>
        <v>0</v>
      </c>
      <c r="I47" s="301">
        <f t="shared" si="90"/>
        <v>0</v>
      </c>
      <c r="J47" s="302">
        <f>IFERROR(__xludf.DUMMYFUNCTION("VAR.S(FILTER(INDIRECT(""'"" &amp; $B$16 &amp; ""'!"" &amp; $B47 &amp; "":"" &amp; $B47), INDIRECT(""'"" &amp; $B$16 &amp; ""'!"" &amp; $B$17 &amp; "":"" &amp; $B$17) = J$21, ISNUMBER(SEARCH($B$4, INDIRECT(""'"" &amp; $B$16 &amp; ""'!"" &amp; $B$12 &amp; "":"" &amp; $B$12)))))/$D$6"),0.0)</f>
        <v>0</v>
      </c>
      <c r="K47" s="302" t="str">
        <f>IFERROR(__xludf.DUMMYFUNCTION("VAR.S(FILTER(INDIRECT(""'"" &amp; $B$16 &amp; ""'!"" &amp; $B47 &amp; "":"" &amp; $B47), INDIRECT(""'"" &amp; $B$16 &amp; ""'!"" &amp; $B$17 &amp; "":"" &amp; $B$17) = K$21, ISNUMBER(SEARCH($B$4, INDIRECT(""'"" &amp; $B$16 &amp; ""'!"" &amp; $B$12 &amp; "":"" &amp; $B$12)))))/$D$7"),"#N/A")</f>
        <v>#N/A</v>
      </c>
      <c r="L47" s="302" t="str">
        <f>IFERROR(__xludf.DUMMYFUNCTION("VAR.S(FILTER(INDIRECT(""'"" &amp; $B$16 &amp; ""'!"" &amp; $B47 &amp; "":"" &amp; $B47), INDIRECT(""'"" &amp; $B$16 &amp; ""'!"" &amp; $B$17 &amp; "":"" &amp; $B$17) = L$21, ISNUMBER(SEARCH($B$4, INDIRECT(""'"" &amp; $B$16 &amp; ""'!"" &amp; $B$12 &amp; "":"" &amp; $B$12)))))/$D$8"),"#N/A")</f>
        <v>#N/A</v>
      </c>
      <c r="M47" s="303" t="str">
        <f>IFERROR(__xludf.DUMMYFUNCTION("VAR.S(FILTER(INDIRECT(""'"" &amp; $B$16 &amp; ""'!"" &amp; $B47 &amp; "":"" &amp; $B47), INDIRECT(""'"" &amp; $B$16 &amp; ""'!"" &amp; $B$17 &amp; "":"" &amp; $B$17) = M$21, ISNUMBER(SEARCH($B$4, INDIRECT(""'"" &amp; $B$16 &amp; ""'!"" &amp; $B$12 &amp; "":"" &amp; $B$12)))))/$D$9"),"#N/A")</f>
        <v>#N/A</v>
      </c>
      <c r="N47" s="303" t="str">
        <f>IFERROR(__xludf.DUMMYFUNCTION("VAR.S(FILTER(INDIRECT(""'"" &amp; $B$16 &amp; ""'!"" &amp; $B47 &amp; "":"" &amp; $B47), INDIRECT(""'"" &amp; $B$16 &amp; ""'!"" &amp; $B$17 &amp; "":"" &amp; $B$17) = N$21, ISNUMBER(SEARCH($B$4, INDIRECT(""'"" &amp; $B$16 &amp; ""'!"" &amp; $B$12 &amp; "":"" &amp; $B$12)))))/$D$10"),"#N/A")</f>
        <v>#N/A</v>
      </c>
      <c r="O47" s="304">
        <f>IFERROR(__xludf.DUMMYFUNCTION("AVERAGE(FILTER(INDIRECT(""'"" &amp; $B$16 &amp; ""'!"" &amp; $B47 &amp; "":"" &amp; $B47), INDIRECT(""'"" &amp; $B$16 &amp; ""'!"" &amp; $B$17 &amp; "":"" &amp; $B$17) = O$21, ISNUMBER(SEARCH($B$4, INDIRECT(""'"" &amp; $B$16 &amp; ""'!"" &amp; $B$12 &amp; "":"" &amp; $B$12)))))"),0.0)</f>
        <v>0</v>
      </c>
      <c r="P47" s="304" t="str">
        <f>IFERROR(__xludf.DUMMYFUNCTION("AVERAGE(FILTER(INDIRECT(""'"" &amp; $B$16 &amp; ""'!"" &amp; $B47 &amp; "":"" &amp; $B47), INDIRECT(""'"" &amp; $B$16 &amp; ""'!"" &amp; $B$17 &amp; "":"" &amp; $B$17) = P$21, ISNUMBER(SEARCH($B$4, INDIRECT(""'"" &amp; $B$16 &amp; ""'!"" &amp; $B$12 &amp; "":"" &amp; $B$12)))))"),"#N/A")</f>
        <v>#N/A</v>
      </c>
      <c r="Q47" s="304" t="str">
        <f>IFERROR(__xludf.DUMMYFUNCTION("AVERAGE(FILTER(INDIRECT(""'"" &amp; $B$16 &amp; ""'!"" &amp; $B47 &amp; "":"" &amp; $B47), INDIRECT(""'"" &amp; $B$16 &amp; ""'!"" &amp; $B$17 &amp; "":"" &amp; $B$17) = Q$21, ISNUMBER(SEARCH($B$4, INDIRECT(""'"" &amp; $B$16 &amp; ""'!"" &amp; $B$12 &amp; "":"" &amp; $B$12)))))"),"#N/A")</f>
        <v>#N/A</v>
      </c>
      <c r="R47" s="304" t="str">
        <f>IFERROR(__xludf.DUMMYFUNCTION("AVERAGE(FILTER(INDIRECT(""'"" &amp; $B$16 &amp; ""'!"" &amp; $B47 &amp; "":"" &amp; $B47), INDIRECT(""'"" &amp; $B$16 &amp; ""'!"" &amp; $B$17 &amp; "":"" &amp; $B$17) = R$21, ISNUMBER(SEARCH($B$4, INDIRECT(""'"" &amp; $B$16 &amp; ""'!"" &amp; $B$12 &amp; "":"" &amp; $B$12)))))"),"#N/A")</f>
        <v>#N/A</v>
      </c>
      <c r="S47" s="304" t="str">
        <f>IFERROR(__xludf.DUMMYFUNCTION("AVERAGE(FILTER(INDIRECT(""'"" &amp; $B$16 &amp; ""'!"" &amp; $B47 &amp; "":"" &amp; $B47), INDIRECT(""'"" &amp; $B$16 &amp; ""'!"" &amp; $B$17 &amp; "":"" &amp; $B$17) = S$21, ISNUMBER(SEARCH($B$4, INDIRECT(""'"" &amp; $B$16 &amp; ""'!"" &amp; $B$12 &amp; "":"" &amp; $B$12)))))"),"#N/A")</f>
        <v>#N/A</v>
      </c>
      <c r="T47" s="305">
        <f t="shared" si="91"/>
        <v>0</v>
      </c>
      <c r="U47" s="305" t="str">
        <f t="shared" si="92"/>
        <v>#N/A</v>
      </c>
      <c r="V47" s="305" t="str">
        <f t="shared" si="93"/>
        <v>#N/A</v>
      </c>
      <c r="W47" s="305" t="str">
        <f t="shared" si="94"/>
        <v>#N/A</v>
      </c>
      <c r="X47" s="305" t="str">
        <f t="shared" si="95"/>
        <v>#N/A</v>
      </c>
      <c r="Y47" s="305">
        <f t="shared" si="96"/>
        <v>0</v>
      </c>
      <c r="Z47" s="305" t="str">
        <f t="shared" si="97"/>
        <v>#N/A</v>
      </c>
      <c r="AA47" s="305" t="str">
        <f t="shared" si="98"/>
        <v>#N/A</v>
      </c>
      <c r="AB47" s="305" t="str">
        <f t="shared" si="99"/>
        <v>#N/A</v>
      </c>
      <c r="AC47" s="305" t="str">
        <f t="shared" si="100"/>
        <v>#N/A</v>
      </c>
      <c r="AD47" s="304">
        <f t="shared" si="101"/>
        <v>0</v>
      </c>
      <c r="AE47" s="304" t="str">
        <f t="shared" si="102"/>
        <v>#N/A</v>
      </c>
      <c r="AF47" s="304" t="str">
        <f t="shared" si="103"/>
        <v>#N/A</v>
      </c>
      <c r="AG47" s="304" t="str">
        <f t="shared" si="104"/>
        <v>#N/A</v>
      </c>
      <c r="AH47" s="304" t="str">
        <f t="shared" si="105"/>
        <v>#N/A</v>
      </c>
      <c r="AI47" s="305" t="str">
        <f t="shared" si="106"/>
        <v>#N/A</v>
      </c>
      <c r="AJ47" s="305" t="str">
        <f t="shared" si="107"/>
        <v>#N/A</v>
      </c>
      <c r="AK47" s="305" t="str">
        <f t="shared" si="108"/>
        <v>#N/A</v>
      </c>
      <c r="AL47" s="306" t="str">
        <f t="shared" si="109"/>
        <v>#N/A</v>
      </c>
      <c r="AM47" s="146" t="str">
        <f t="shared" si="110"/>
        <v>#N/A</v>
      </c>
    </row>
    <row r="48" ht="15.75" customHeight="1">
      <c r="A48" s="300" t="s">
        <v>420</v>
      </c>
      <c r="B48" s="90" t="str">
        <f t="shared" si="88"/>
        <v>$CM</v>
      </c>
      <c r="C48" s="288">
        <v>9.0</v>
      </c>
      <c r="D48" s="301">
        <f t="shared" ref="D48:H48" si="115">COUNTIFS(INDIRECT("'" &amp; $B$16 &amp; "'!" &amp; $B$17 &amp; ":" &amp; $B$17),D$21,INDIRECT("'" &amp; $B$16 &amp; "'!" &amp; $B48 &amp; ":" &amp; $B48),1,INDIRECT("'" &amp; $B$16 &amp; "'!" &amp; $B$12 &amp; ":" &amp; $B$12), "*" &amp; $B$4 &amp; "*")
</f>
        <v>0</v>
      </c>
      <c r="E48" s="301">
        <f t="shared" si="115"/>
        <v>0</v>
      </c>
      <c r="F48" s="301">
        <f t="shared" si="115"/>
        <v>0</v>
      </c>
      <c r="G48" s="301">
        <f t="shared" si="115"/>
        <v>0</v>
      </c>
      <c r="H48" s="301">
        <f t="shared" si="115"/>
        <v>0</v>
      </c>
      <c r="I48" s="301">
        <f t="shared" si="90"/>
        <v>0</v>
      </c>
      <c r="J48" s="302">
        <f>IFERROR(__xludf.DUMMYFUNCTION("VAR.S(FILTER(INDIRECT(""'"" &amp; $B$16 &amp; ""'!"" &amp; $B48 &amp; "":"" &amp; $B48), INDIRECT(""'"" &amp; $B$16 &amp; ""'!"" &amp; $B$17 &amp; "":"" &amp; $B$17) = J$21, ISNUMBER(SEARCH($B$4, INDIRECT(""'"" &amp; $B$16 &amp; ""'!"" &amp; $B$12 &amp; "":"" &amp; $B$12)))))/$D$6"),0.0)</f>
        <v>0</v>
      </c>
      <c r="K48" s="302" t="str">
        <f>IFERROR(__xludf.DUMMYFUNCTION("VAR.S(FILTER(INDIRECT(""'"" &amp; $B$16 &amp; ""'!"" &amp; $B48 &amp; "":"" &amp; $B48), INDIRECT(""'"" &amp; $B$16 &amp; ""'!"" &amp; $B$17 &amp; "":"" &amp; $B$17) = K$21, ISNUMBER(SEARCH($B$4, INDIRECT(""'"" &amp; $B$16 &amp; ""'!"" &amp; $B$12 &amp; "":"" &amp; $B$12)))))/$D$7"),"#N/A")</f>
        <v>#N/A</v>
      </c>
      <c r="L48" s="302" t="str">
        <f>IFERROR(__xludf.DUMMYFUNCTION("VAR.S(FILTER(INDIRECT(""'"" &amp; $B$16 &amp; ""'!"" &amp; $B48 &amp; "":"" &amp; $B48), INDIRECT(""'"" &amp; $B$16 &amp; ""'!"" &amp; $B$17 &amp; "":"" &amp; $B$17) = L$21, ISNUMBER(SEARCH($B$4, INDIRECT(""'"" &amp; $B$16 &amp; ""'!"" &amp; $B$12 &amp; "":"" &amp; $B$12)))))/$D$8"),"#N/A")</f>
        <v>#N/A</v>
      </c>
      <c r="M48" s="303" t="str">
        <f>IFERROR(__xludf.DUMMYFUNCTION("VAR.S(FILTER(INDIRECT(""'"" &amp; $B$16 &amp; ""'!"" &amp; $B48 &amp; "":"" &amp; $B48), INDIRECT(""'"" &amp; $B$16 &amp; ""'!"" &amp; $B$17 &amp; "":"" &amp; $B$17) = M$21, ISNUMBER(SEARCH($B$4, INDIRECT(""'"" &amp; $B$16 &amp; ""'!"" &amp; $B$12 &amp; "":"" &amp; $B$12)))))/$D$9"),"#N/A")</f>
        <v>#N/A</v>
      </c>
      <c r="N48" s="303" t="str">
        <f>IFERROR(__xludf.DUMMYFUNCTION("VAR.S(FILTER(INDIRECT(""'"" &amp; $B$16 &amp; ""'!"" &amp; $B48 &amp; "":"" &amp; $B48), INDIRECT(""'"" &amp; $B$16 &amp; ""'!"" &amp; $B$17 &amp; "":"" &amp; $B$17) = N$21, ISNUMBER(SEARCH($B$4, INDIRECT(""'"" &amp; $B$16 &amp; ""'!"" &amp; $B$12 &amp; "":"" &amp; $B$12)))))/$D$10"),"#N/A")</f>
        <v>#N/A</v>
      </c>
      <c r="O48" s="304">
        <f>IFERROR(__xludf.DUMMYFUNCTION("AVERAGE(FILTER(INDIRECT(""'"" &amp; $B$16 &amp; ""'!"" &amp; $B48 &amp; "":"" &amp; $B48), INDIRECT(""'"" &amp; $B$16 &amp; ""'!"" &amp; $B$17 &amp; "":"" &amp; $B$17) = O$21, ISNUMBER(SEARCH($B$4, INDIRECT(""'"" &amp; $B$16 &amp; ""'!"" &amp; $B$12 &amp; "":"" &amp; $B$12)))))"),0.0)</f>
        <v>0</v>
      </c>
      <c r="P48" s="304" t="str">
        <f>IFERROR(__xludf.DUMMYFUNCTION("AVERAGE(FILTER(INDIRECT(""'"" &amp; $B$16 &amp; ""'!"" &amp; $B48 &amp; "":"" &amp; $B48), INDIRECT(""'"" &amp; $B$16 &amp; ""'!"" &amp; $B$17 &amp; "":"" &amp; $B$17) = P$21, ISNUMBER(SEARCH($B$4, INDIRECT(""'"" &amp; $B$16 &amp; ""'!"" &amp; $B$12 &amp; "":"" &amp; $B$12)))))"),"#N/A")</f>
        <v>#N/A</v>
      </c>
      <c r="Q48" s="304" t="str">
        <f>IFERROR(__xludf.DUMMYFUNCTION("AVERAGE(FILTER(INDIRECT(""'"" &amp; $B$16 &amp; ""'!"" &amp; $B48 &amp; "":"" &amp; $B48), INDIRECT(""'"" &amp; $B$16 &amp; ""'!"" &amp; $B$17 &amp; "":"" &amp; $B$17) = Q$21, ISNUMBER(SEARCH($B$4, INDIRECT(""'"" &amp; $B$16 &amp; ""'!"" &amp; $B$12 &amp; "":"" &amp; $B$12)))))"),"#N/A")</f>
        <v>#N/A</v>
      </c>
      <c r="R48" s="304" t="str">
        <f>IFERROR(__xludf.DUMMYFUNCTION("AVERAGE(FILTER(INDIRECT(""'"" &amp; $B$16 &amp; ""'!"" &amp; $B48 &amp; "":"" &amp; $B48), INDIRECT(""'"" &amp; $B$16 &amp; ""'!"" &amp; $B$17 &amp; "":"" &amp; $B$17) = R$21, ISNUMBER(SEARCH($B$4, INDIRECT(""'"" &amp; $B$16 &amp; ""'!"" &amp; $B$12 &amp; "":"" &amp; $B$12)))))"),"#N/A")</f>
        <v>#N/A</v>
      </c>
      <c r="S48" s="304" t="str">
        <f>IFERROR(__xludf.DUMMYFUNCTION("AVERAGE(FILTER(INDIRECT(""'"" &amp; $B$16 &amp; ""'!"" &amp; $B48 &amp; "":"" &amp; $B48), INDIRECT(""'"" &amp; $B$16 &amp; ""'!"" &amp; $B$17 &amp; "":"" &amp; $B$17) = S$21, ISNUMBER(SEARCH($B$4, INDIRECT(""'"" &amp; $B$16 &amp; ""'!"" &amp; $B$12 &amp; "":"" &amp; $B$12)))))"),"#N/A")</f>
        <v>#N/A</v>
      </c>
      <c r="T48" s="305">
        <f t="shared" si="91"/>
        <v>0</v>
      </c>
      <c r="U48" s="305" t="str">
        <f t="shared" si="92"/>
        <v>#N/A</v>
      </c>
      <c r="V48" s="305" t="str">
        <f t="shared" si="93"/>
        <v>#N/A</v>
      </c>
      <c r="W48" s="305" t="str">
        <f t="shared" si="94"/>
        <v>#N/A</v>
      </c>
      <c r="X48" s="305" t="str">
        <f t="shared" si="95"/>
        <v>#N/A</v>
      </c>
      <c r="Y48" s="305">
        <f t="shared" si="96"/>
        <v>0</v>
      </c>
      <c r="Z48" s="305" t="str">
        <f t="shared" si="97"/>
        <v>#N/A</v>
      </c>
      <c r="AA48" s="305" t="str">
        <f t="shared" si="98"/>
        <v>#N/A</v>
      </c>
      <c r="AB48" s="305" t="str">
        <f t="shared" si="99"/>
        <v>#N/A</v>
      </c>
      <c r="AC48" s="305" t="str">
        <f t="shared" si="100"/>
        <v>#N/A</v>
      </c>
      <c r="AD48" s="304">
        <f t="shared" si="101"/>
        <v>0</v>
      </c>
      <c r="AE48" s="304" t="str">
        <f t="shared" si="102"/>
        <v>#N/A</v>
      </c>
      <c r="AF48" s="304" t="str">
        <f t="shared" si="103"/>
        <v>#N/A</v>
      </c>
      <c r="AG48" s="304" t="str">
        <f t="shared" si="104"/>
        <v>#N/A</v>
      </c>
      <c r="AH48" s="304" t="str">
        <f t="shared" si="105"/>
        <v>#N/A</v>
      </c>
      <c r="AI48" s="305" t="str">
        <f t="shared" si="106"/>
        <v>#N/A</v>
      </c>
      <c r="AJ48" s="305" t="str">
        <f t="shared" si="107"/>
        <v>#N/A</v>
      </c>
      <c r="AK48" s="305" t="str">
        <f t="shared" si="108"/>
        <v>#N/A</v>
      </c>
      <c r="AL48" s="306" t="str">
        <f t="shared" si="109"/>
        <v>#N/A</v>
      </c>
      <c r="AM48" s="146" t="str">
        <f t="shared" si="110"/>
        <v>#N/A</v>
      </c>
    </row>
    <row r="49" ht="15.75" customHeight="1">
      <c r="A49" s="300" t="s">
        <v>423</v>
      </c>
      <c r="B49" s="90" t="str">
        <f t="shared" si="88"/>
        <v>$CN</v>
      </c>
      <c r="C49" s="288">
        <v>10.0</v>
      </c>
      <c r="D49" s="301">
        <f t="shared" ref="D49:H49" si="116">COUNTIFS(INDIRECT("'" &amp; $B$16 &amp; "'!" &amp; $B$17 &amp; ":" &amp; $B$17),D$21,INDIRECT("'" &amp; $B$16 &amp; "'!" &amp; $B49 &amp; ":" &amp; $B49),1,INDIRECT("'" &amp; $B$16 &amp; "'!" &amp; $B$12 &amp; ":" &amp; $B$12), "*" &amp; $B$4 &amp; "*")
</f>
        <v>0</v>
      </c>
      <c r="E49" s="301">
        <f t="shared" si="116"/>
        <v>0</v>
      </c>
      <c r="F49" s="301">
        <f t="shared" si="116"/>
        <v>0</v>
      </c>
      <c r="G49" s="301">
        <f t="shared" si="116"/>
        <v>0</v>
      </c>
      <c r="H49" s="301">
        <f t="shared" si="116"/>
        <v>0</v>
      </c>
      <c r="I49" s="301">
        <f t="shared" si="90"/>
        <v>0</v>
      </c>
      <c r="J49" s="302">
        <f>IFERROR(__xludf.DUMMYFUNCTION("VAR.S(FILTER(INDIRECT(""'"" &amp; $B$16 &amp; ""'!"" &amp; $B49 &amp; "":"" &amp; $B49), INDIRECT(""'"" &amp; $B$16 &amp; ""'!"" &amp; $B$17 &amp; "":"" &amp; $B$17) = J$21, ISNUMBER(SEARCH($B$4, INDIRECT(""'"" &amp; $B$16 &amp; ""'!"" &amp; $B$12 &amp; "":"" &amp; $B$12)))))/$D$6"),0.0)</f>
        <v>0</v>
      </c>
      <c r="K49" s="302" t="str">
        <f>IFERROR(__xludf.DUMMYFUNCTION("VAR.S(FILTER(INDIRECT(""'"" &amp; $B$16 &amp; ""'!"" &amp; $B49 &amp; "":"" &amp; $B49), INDIRECT(""'"" &amp; $B$16 &amp; ""'!"" &amp; $B$17 &amp; "":"" &amp; $B$17) = K$21, ISNUMBER(SEARCH($B$4, INDIRECT(""'"" &amp; $B$16 &amp; ""'!"" &amp; $B$12 &amp; "":"" &amp; $B$12)))))/$D$7"),"#N/A")</f>
        <v>#N/A</v>
      </c>
      <c r="L49" s="302" t="str">
        <f>IFERROR(__xludf.DUMMYFUNCTION("VAR.S(FILTER(INDIRECT(""'"" &amp; $B$16 &amp; ""'!"" &amp; $B49 &amp; "":"" &amp; $B49), INDIRECT(""'"" &amp; $B$16 &amp; ""'!"" &amp; $B$17 &amp; "":"" &amp; $B$17) = L$21, ISNUMBER(SEARCH($B$4, INDIRECT(""'"" &amp; $B$16 &amp; ""'!"" &amp; $B$12 &amp; "":"" &amp; $B$12)))))/$D$8"),"#N/A")</f>
        <v>#N/A</v>
      </c>
      <c r="M49" s="303" t="str">
        <f>IFERROR(__xludf.DUMMYFUNCTION("VAR.S(FILTER(INDIRECT(""'"" &amp; $B$16 &amp; ""'!"" &amp; $B49 &amp; "":"" &amp; $B49), INDIRECT(""'"" &amp; $B$16 &amp; ""'!"" &amp; $B$17 &amp; "":"" &amp; $B$17) = M$21, ISNUMBER(SEARCH($B$4, INDIRECT(""'"" &amp; $B$16 &amp; ""'!"" &amp; $B$12 &amp; "":"" &amp; $B$12)))))/$D$9"),"#N/A")</f>
        <v>#N/A</v>
      </c>
      <c r="N49" s="303" t="str">
        <f>IFERROR(__xludf.DUMMYFUNCTION("VAR.S(FILTER(INDIRECT(""'"" &amp; $B$16 &amp; ""'!"" &amp; $B49 &amp; "":"" &amp; $B49), INDIRECT(""'"" &amp; $B$16 &amp; ""'!"" &amp; $B$17 &amp; "":"" &amp; $B$17) = N$21, ISNUMBER(SEARCH($B$4, INDIRECT(""'"" &amp; $B$16 &amp; ""'!"" &amp; $B$12 &amp; "":"" &amp; $B$12)))))/$D$10"),"#N/A")</f>
        <v>#N/A</v>
      </c>
      <c r="O49" s="304">
        <f>IFERROR(__xludf.DUMMYFUNCTION("AVERAGE(FILTER(INDIRECT(""'"" &amp; $B$16 &amp; ""'!"" &amp; $B49 &amp; "":"" &amp; $B49), INDIRECT(""'"" &amp; $B$16 &amp; ""'!"" &amp; $B$17 &amp; "":"" &amp; $B$17) = O$21, ISNUMBER(SEARCH($B$4, INDIRECT(""'"" &amp; $B$16 &amp; ""'!"" &amp; $B$12 &amp; "":"" &amp; $B$12)))))"),0.0)</f>
        <v>0</v>
      </c>
      <c r="P49" s="304" t="str">
        <f>IFERROR(__xludf.DUMMYFUNCTION("AVERAGE(FILTER(INDIRECT(""'"" &amp; $B$16 &amp; ""'!"" &amp; $B49 &amp; "":"" &amp; $B49), INDIRECT(""'"" &amp; $B$16 &amp; ""'!"" &amp; $B$17 &amp; "":"" &amp; $B$17) = P$21, ISNUMBER(SEARCH($B$4, INDIRECT(""'"" &amp; $B$16 &amp; ""'!"" &amp; $B$12 &amp; "":"" &amp; $B$12)))))"),"#N/A")</f>
        <v>#N/A</v>
      </c>
      <c r="Q49" s="304" t="str">
        <f>IFERROR(__xludf.DUMMYFUNCTION("AVERAGE(FILTER(INDIRECT(""'"" &amp; $B$16 &amp; ""'!"" &amp; $B49 &amp; "":"" &amp; $B49), INDIRECT(""'"" &amp; $B$16 &amp; ""'!"" &amp; $B$17 &amp; "":"" &amp; $B$17) = Q$21, ISNUMBER(SEARCH($B$4, INDIRECT(""'"" &amp; $B$16 &amp; ""'!"" &amp; $B$12 &amp; "":"" &amp; $B$12)))))"),"#N/A")</f>
        <v>#N/A</v>
      </c>
      <c r="R49" s="304" t="str">
        <f>IFERROR(__xludf.DUMMYFUNCTION("AVERAGE(FILTER(INDIRECT(""'"" &amp; $B$16 &amp; ""'!"" &amp; $B49 &amp; "":"" &amp; $B49), INDIRECT(""'"" &amp; $B$16 &amp; ""'!"" &amp; $B$17 &amp; "":"" &amp; $B$17) = R$21, ISNUMBER(SEARCH($B$4, INDIRECT(""'"" &amp; $B$16 &amp; ""'!"" &amp; $B$12 &amp; "":"" &amp; $B$12)))))"),"#N/A")</f>
        <v>#N/A</v>
      </c>
      <c r="S49" s="304" t="str">
        <f>IFERROR(__xludf.DUMMYFUNCTION("AVERAGE(FILTER(INDIRECT(""'"" &amp; $B$16 &amp; ""'!"" &amp; $B49 &amp; "":"" &amp; $B49), INDIRECT(""'"" &amp; $B$16 &amp; ""'!"" &amp; $B$17 &amp; "":"" &amp; $B$17) = S$21, ISNUMBER(SEARCH($B$4, INDIRECT(""'"" &amp; $B$16 &amp; ""'!"" &amp; $B$12 &amp; "":"" &amp; $B$12)))))"),"#N/A")</f>
        <v>#N/A</v>
      </c>
      <c r="T49" s="305">
        <f t="shared" si="91"/>
        <v>0</v>
      </c>
      <c r="U49" s="305" t="str">
        <f t="shared" si="92"/>
        <v>#N/A</v>
      </c>
      <c r="V49" s="305" t="str">
        <f t="shared" si="93"/>
        <v>#N/A</v>
      </c>
      <c r="W49" s="305" t="str">
        <f t="shared" si="94"/>
        <v>#N/A</v>
      </c>
      <c r="X49" s="305" t="str">
        <f t="shared" si="95"/>
        <v>#N/A</v>
      </c>
      <c r="Y49" s="305">
        <f t="shared" si="96"/>
        <v>0</v>
      </c>
      <c r="Z49" s="305" t="str">
        <f t="shared" si="97"/>
        <v>#N/A</v>
      </c>
      <c r="AA49" s="305" t="str">
        <f t="shared" si="98"/>
        <v>#N/A</v>
      </c>
      <c r="AB49" s="305" t="str">
        <f t="shared" si="99"/>
        <v>#N/A</v>
      </c>
      <c r="AC49" s="305" t="str">
        <f t="shared" si="100"/>
        <v>#N/A</v>
      </c>
      <c r="AD49" s="304">
        <f t="shared" si="101"/>
        <v>0</v>
      </c>
      <c r="AE49" s="304" t="str">
        <f t="shared" si="102"/>
        <v>#N/A</v>
      </c>
      <c r="AF49" s="304" t="str">
        <f t="shared" si="103"/>
        <v>#N/A</v>
      </c>
      <c r="AG49" s="304" t="str">
        <f t="shared" si="104"/>
        <v>#N/A</v>
      </c>
      <c r="AH49" s="304" t="str">
        <f t="shared" si="105"/>
        <v>#N/A</v>
      </c>
      <c r="AI49" s="305" t="str">
        <f t="shared" si="106"/>
        <v>#N/A</v>
      </c>
      <c r="AJ49" s="305" t="str">
        <f t="shared" si="107"/>
        <v>#N/A</v>
      </c>
      <c r="AK49" s="305" t="str">
        <f t="shared" si="108"/>
        <v>#N/A</v>
      </c>
      <c r="AL49" s="306" t="str">
        <f t="shared" si="109"/>
        <v>#N/A</v>
      </c>
      <c r="AM49" s="146" t="str">
        <f t="shared" si="110"/>
        <v>#N/A</v>
      </c>
    </row>
    <row r="50" ht="15.75" customHeight="1">
      <c r="A50" s="300" t="s">
        <v>426</v>
      </c>
      <c r="B50" s="90" t="str">
        <f t="shared" si="88"/>
        <v>$CO</v>
      </c>
      <c r="C50" s="288">
        <v>11.0</v>
      </c>
      <c r="D50" s="301">
        <f t="shared" ref="D50:H50" si="117">COUNTIFS(INDIRECT("'" &amp; $B$16 &amp; "'!" &amp; $B$17 &amp; ":" &amp; $B$17),D$21,INDIRECT("'" &amp; $B$16 &amp; "'!" &amp; $B50 &amp; ":" &amp; $B50),1,INDIRECT("'" &amp; $B$16 &amp; "'!" &amp; $B$12 &amp; ":" &amp; $B$12), "*" &amp; $B$4 &amp; "*")
</f>
        <v>0</v>
      </c>
      <c r="E50" s="301">
        <f t="shared" si="117"/>
        <v>0</v>
      </c>
      <c r="F50" s="301">
        <f t="shared" si="117"/>
        <v>0</v>
      </c>
      <c r="G50" s="301">
        <f t="shared" si="117"/>
        <v>0</v>
      </c>
      <c r="H50" s="301">
        <f t="shared" si="117"/>
        <v>0</v>
      </c>
      <c r="I50" s="301">
        <f t="shared" si="90"/>
        <v>0</v>
      </c>
      <c r="J50" s="302">
        <f>IFERROR(__xludf.DUMMYFUNCTION("VAR.S(FILTER(INDIRECT(""'"" &amp; $B$16 &amp; ""'!"" &amp; $B50 &amp; "":"" &amp; $B50), INDIRECT(""'"" &amp; $B$16 &amp; ""'!"" &amp; $B$17 &amp; "":"" &amp; $B$17) = J$21, ISNUMBER(SEARCH($B$4, INDIRECT(""'"" &amp; $B$16 &amp; ""'!"" &amp; $B$12 &amp; "":"" &amp; $B$12)))))/$D$6"),0.0)</f>
        <v>0</v>
      </c>
      <c r="K50" s="302" t="str">
        <f>IFERROR(__xludf.DUMMYFUNCTION("VAR.S(FILTER(INDIRECT(""'"" &amp; $B$16 &amp; ""'!"" &amp; $B50 &amp; "":"" &amp; $B50), INDIRECT(""'"" &amp; $B$16 &amp; ""'!"" &amp; $B$17 &amp; "":"" &amp; $B$17) = K$21, ISNUMBER(SEARCH($B$4, INDIRECT(""'"" &amp; $B$16 &amp; ""'!"" &amp; $B$12 &amp; "":"" &amp; $B$12)))))/$D$7"),"#N/A")</f>
        <v>#N/A</v>
      </c>
      <c r="L50" s="302" t="str">
        <f>IFERROR(__xludf.DUMMYFUNCTION("VAR.S(FILTER(INDIRECT(""'"" &amp; $B$16 &amp; ""'!"" &amp; $B50 &amp; "":"" &amp; $B50), INDIRECT(""'"" &amp; $B$16 &amp; ""'!"" &amp; $B$17 &amp; "":"" &amp; $B$17) = L$21, ISNUMBER(SEARCH($B$4, INDIRECT(""'"" &amp; $B$16 &amp; ""'!"" &amp; $B$12 &amp; "":"" &amp; $B$12)))))/$D$8"),"#N/A")</f>
        <v>#N/A</v>
      </c>
      <c r="M50" s="303" t="str">
        <f>IFERROR(__xludf.DUMMYFUNCTION("VAR.S(FILTER(INDIRECT(""'"" &amp; $B$16 &amp; ""'!"" &amp; $B50 &amp; "":"" &amp; $B50), INDIRECT(""'"" &amp; $B$16 &amp; ""'!"" &amp; $B$17 &amp; "":"" &amp; $B$17) = M$21, ISNUMBER(SEARCH($B$4, INDIRECT(""'"" &amp; $B$16 &amp; ""'!"" &amp; $B$12 &amp; "":"" &amp; $B$12)))))/$D$9"),"#N/A")</f>
        <v>#N/A</v>
      </c>
      <c r="N50" s="303" t="str">
        <f>IFERROR(__xludf.DUMMYFUNCTION("VAR.S(FILTER(INDIRECT(""'"" &amp; $B$16 &amp; ""'!"" &amp; $B50 &amp; "":"" &amp; $B50), INDIRECT(""'"" &amp; $B$16 &amp; ""'!"" &amp; $B$17 &amp; "":"" &amp; $B$17) = N$21, ISNUMBER(SEARCH($B$4, INDIRECT(""'"" &amp; $B$16 &amp; ""'!"" &amp; $B$12 &amp; "":"" &amp; $B$12)))))/$D$10"),"#N/A")</f>
        <v>#N/A</v>
      </c>
      <c r="O50" s="304">
        <f>IFERROR(__xludf.DUMMYFUNCTION("AVERAGE(FILTER(INDIRECT(""'"" &amp; $B$16 &amp; ""'!"" &amp; $B50 &amp; "":"" &amp; $B50), INDIRECT(""'"" &amp; $B$16 &amp; ""'!"" &amp; $B$17 &amp; "":"" &amp; $B$17) = O$21, ISNUMBER(SEARCH($B$4, INDIRECT(""'"" &amp; $B$16 &amp; ""'!"" &amp; $B$12 &amp; "":"" &amp; $B$12)))))"),0.0)</f>
        <v>0</v>
      </c>
      <c r="P50" s="304" t="str">
        <f>IFERROR(__xludf.DUMMYFUNCTION("AVERAGE(FILTER(INDIRECT(""'"" &amp; $B$16 &amp; ""'!"" &amp; $B50 &amp; "":"" &amp; $B50), INDIRECT(""'"" &amp; $B$16 &amp; ""'!"" &amp; $B$17 &amp; "":"" &amp; $B$17) = P$21, ISNUMBER(SEARCH($B$4, INDIRECT(""'"" &amp; $B$16 &amp; ""'!"" &amp; $B$12 &amp; "":"" &amp; $B$12)))))"),"#N/A")</f>
        <v>#N/A</v>
      </c>
      <c r="Q50" s="304" t="str">
        <f>IFERROR(__xludf.DUMMYFUNCTION("AVERAGE(FILTER(INDIRECT(""'"" &amp; $B$16 &amp; ""'!"" &amp; $B50 &amp; "":"" &amp; $B50), INDIRECT(""'"" &amp; $B$16 &amp; ""'!"" &amp; $B$17 &amp; "":"" &amp; $B$17) = Q$21, ISNUMBER(SEARCH($B$4, INDIRECT(""'"" &amp; $B$16 &amp; ""'!"" &amp; $B$12 &amp; "":"" &amp; $B$12)))))"),"#N/A")</f>
        <v>#N/A</v>
      </c>
      <c r="R50" s="304" t="str">
        <f>IFERROR(__xludf.DUMMYFUNCTION("AVERAGE(FILTER(INDIRECT(""'"" &amp; $B$16 &amp; ""'!"" &amp; $B50 &amp; "":"" &amp; $B50), INDIRECT(""'"" &amp; $B$16 &amp; ""'!"" &amp; $B$17 &amp; "":"" &amp; $B$17) = R$21, ISNUMBER(SEARCH($B$4, INDIRECT(""'"" &amp; $B$16 &amp; ""'!"" &amp; $B$12 &amp; "":"" &amp; $B$12)))))"),"#N/A")</f>
        <v>#N/A</v>
      </c>
      <c r="S50" s="304" t="str">
        <f>IFERROR(__xludf.DUMMYFUNCTION("AVERAGE(FILTER(INDIRECT(""'"" &amp; $B$16 &amp; ""'!"" &amp; $B50 &amp; "":"" &amp; $B50), INDIRECT(""'"" &amp; $B$16 &amp; ""'!"" &amp; $B$17 &amp; "":"" &amp; $B$17) = S$21, ISNUMBER(SEARCH($B$4, INDIRECT(""'"" &amp; $B$16 &amp; ""'!"" &amp; $B$12 &amp; "":"" &amp; $B$12)))))"),"#N/A")</f>
        <v>#N/A</v>
      </c>
      <c r="T50" s="305">
        <f t="shared" si="91"/>
        <v>0</v>
      </c>
      <c r="U50" s="305" t="str">
        <f t="shared" si="92"/>
        <v>#N/A</v>
      </c>
      <c r="V50" s="305" t="str">
        <f t="shared" si="93"/>
        <v>#N/A</v>
      </c>
      <c r="W50" s="305" t="str">
        <f t="shared" si="94"/>
        <v>#N/A</v>
      </c>
      <c r="X50" s="305" t="str">
        <f t="shared" si="95"/>
        <v>#N/A</v>
      </c>
      <c r="Y50" s="305">
        <f t="shared" si="96"/>
        <v>0</v>
      </c>
      <c r="Z50" s="305" t="str">
        <f t="shared" si="97"/>
        <v>#N/A</v>
      </c>
      <c r="AA50" s="305" t="str">
        <f t="shared" si="98"/>
        <v>#N/A</v>
      </c>
      <c r="AB50" s="305" t="str">
        <f t="shared" si="99"/>
        <v>#N/A</v>
      </c>
      <c r="AC50" s="305" t="str">
        <f t="shared" si="100"/>
        <v>#N/A</v>
      </c>
      <c r="AD50" s="304">
        <f t="shared" si="101"/>
        <v>0</v>
      </c>
      <c r="AE50" s="304" t="str">
        <f t="shared" si="102"/>
        <v>#N/A</v>
      </c>
      <c r="AF50" s="304" t="str">
        <f t="shared" si="103"/>
        <v>#N/A</v>
      </c>
      <c r="AG50" s="304" t="str">
        <f t="shared" si="104"/>
        <v>#N/A</v>
      </c>
      <c r="AH50" s="304" t="str">
        <f t="shared" si="105"/>
        <v>#N/A</v>
      </c>
      <c r="AI50" s="305" t="str">
        <f t="shared" si="106"/>
        <v>#N/A</v>
      </c>
      <c r="AJ50" s="305" t="str">
        <f t="shared" si="107"/>
        <v>#N/A</v>
      </c>
      <c r="AK50" s="305" t="str">
        <f t="shared" si="108"/>
        <v>#N/A</v>
      </c>
      <c r="AL50" s="306" t="str">
        <f t="shared" si="109"/>
        <v>#N/A</v>
      </c>
      <c r="AM50" s="146" t="str">
        <f t="shared" si="110"/>
        <v>#N/A</v>
      </c>
    </row>
    <row r="51" ht="15.75" customHeight="1">
      <c r="A51" s="89" t="s">
        <v>299</v>
      </c>
      <c r="B51" s="230" t="s">
        <v>299</v>
      </c>
      <c r="C51" s="85"/>
      <c r="D51" s="112"/>
      <c r="E51" s="112"/>
      <c r="F51" s="112"/>
      <c r="G51" s="112"/>
      <c r="H51" s="112"/>
      <c r="I51" s="307">
        <f>SUM(I42:I50)</f>
        <v>0</v>
      </c>
      <c r="J51" s="308"/>
      <c r="K51" s="308"/>
      <c r="L51" s="308"/>
      <c r="M51" s="112"/>
      <c r="N51" s="112"/>
      <c r="O51" s="292"/>
      <c r="P51" s="292"/>
      <c r="Q51" s="292"/>
      <c r="R51" s="292"/>
      <c r="S51" s="29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292"/>
      <c r="AE51" s="292"/>
      <c r="AF51" s="292"/>
      <c r="AG51" s="292"/>
      <c r="AH51" s="292"/>
      <c r="AI51" s="112"/>
      <c r="AJ51" s="112"/>
      <c r="AK51" s="112"/>
      <c r="AL51" s="112"/>
      <c r="AM51" s="293" t="str">
        <f>SUM(AM42:AM50)</f>
        <v>#N/A</v>
      </c>
    </row>
    <row r="52" ht="15.75" customHeight="1">
      <c r="A52" s="309" t="s">
        <v>328</v>
      </c>
      <c r="B52" s="92" t="str">
        <f t="shared" ref="B52:B58" si="119">IFERROR("$" &amp; SUBSTITUTE(ADDRESS(1, MATCH(A52, INDIRECT("'" &amp; $B$16 &amp; "'!1:1"), 0), 4), "1", ""), "Not Found")
</f>
        <v>$BH</v>
      </c>
      <c r="C52" s="309">
        <v>12.0</v>
      </c>
      <c r="D52" s="310">
        <f t="shared" ref="D52:H52" si="118">COUNTIFS(INDIRECT("'" &amp; $B$16 &amp; "'!" &amp; $B$17 &amp; ":" &amp; $B$17),D$21,INDIRECT("'" &amp; $B$16 &amp; "'!" &amp; $B52 &amp; ":" &amp; $B52),1,INDIRECT("'" &amp; $B$16 &amp; "'!" &amp; $B$12 &amp; ":" &amp; $B$12), "*" &amp; $B$4 &amp; "*")
</f>
        <v>2</v>
      </c>
      <c r="E52" s="310">
        <f t="shared" si="118"/>
        <v>0</v>
      </c>
      <c r="F52" s="310">
        <f t="shared" si="118"/>
        <v>0</v>
      </c>
      <c r="G52" s="310">
        <f t="shared" si="118"/>
        <v>0</v>
      </c>
      <c r="H52" s="310">
        <f t="shared" si="118"/>
        <v>0</v>
      </c>
      <c r="I52" s="310">
        <f t="shared" ref="I52:I58" si="121">SUM(D52:H52)</f>
        <v>2</v>
      </c>
      <c r="J52" s="311">
        <f>IFERROR(__xludf.DUMMYFUNCTION("VAR.S(FILTER(INDIRECT(""'"" &amp; $B$16 &amp; ""'!"" &amp; $B52 &amp; "":"" &amp; $B52), INDIRECT(""'"" &amp; $B$16 &amp; ""'!"" &amp; $B$17 &amp; "":"" &amp; $B$17) = J$21, ISNUMBER(SEARCH($B$4, INDIRECT(""'"" &amp; $B$16 &amp; ""'!"" &amp; $B$12 &amp; "":"" &amp; $B$12)))))/$D$6"),0.11111111111111112)</f>
        <v>0.1111111111</v>
      </c>
      <c r="K52" s="311" t="str">
        <f>IFERROR(__xludf.DUMMYFUNCTION("VAR.S(FILTER(INDIRECT(""'"" &amp; $B$16 &amp; ""'!"" &amp; $B52 &amp; "":"" &amp; $B52), INDIRECT(""'"" &amp; $B$16 &amp; ""'!"" &amp; $B$17 &amp; "":"" &amp; $B$17) = K$21, ISNUMBER(SEARCH($B$4, INDIRECT(""'"" &amp; $B$16 &amp; ""'!"" &amp; $B$12 &amp; "":"" &amp; $B$12)))))/$D$7"),"#N/A")</f>
        <v>#N/A</v>
      </c>
      <c r="L52" s="311" t="str">
        <f>IFERROR(__xludf.DUMMYFUNCTION("VAR.S(FILTER(INDIRECT(""'"" &amp; $B$16 &amp; ""'!"" &amp; $B52 &amp; "":"" &amp; $B52), INDIRECT(""'"" &amp; $B$16 &amp; ""'!"" &amp; $B$17 &amp; "":"" &amp; $B$17) = L$21, ISNUMBER(SEARCH($B$4, INDIRECT(""'"" &amp; $B$16 &amp; ""'!"" &amp; $B$12 &amp; "":"" &amp; $B$12)))))/$D$8"),"#N/A")</f>
        <v>#N/A</v>
      </c>
      <c r="M52" s="311" t="str">
        <f>IFERROR(__xludf.DUMMYFUNCTION("VAR.S(FILTER(INDIRECT(""'"" &amp; $B$16 &amp; ""'!"" &amp; $B52 &amp; "":"" &amp; $B52), INDIRECT(""'"" &amp; $B$16 &amp; ""'!"" &amp; $B$17 &amp; "":"" &amp; $B$17) = M$21, ISNUMBER(SEARCH($B$4, INDIRECT(""'"" &amp; $B$16 &amp; ""'!"" &amp; $B$12 &amp; "":"" &amp; $B$12)))))/$D$9"),"#N/A")</f>
        <v>#N/A</v>
      </c>
      <c r="N52" s="311" t="str">
        <f>IFERROR(__xludf.DUMMYFUNCTION("VAR.S(FILTER(INDIRECT(""'"" &amp; $B$16 &amp; ""'!"" &amp; $B52 &amp; "":"" &amp; $B52), INDIRECT(""'"" &amp; $B$16 &amp; ""'!"" &amp; $B$17 &amp; "":"" &amp; $B$17) = N$21, ISNUMBER(SEARCH($B$4, INDIRECT(""'"" &amp; $B$16 &amp; ""'!"" &amp; $B$12 &amp; "":"" &amp; $B$12)))))/$D$10"),"#N/A")</f>
        <v>#N/A</v>
      </c>
      <c r="O52" s="312">
        <f>IFERROR(__xludf.DUMMYFUNCTION("AVERAGE(FILTER(INDIRECT(""'"" &amp; $B$16 &amp; ""'!"" &amp; $B52 &amp; "":"" &amp; $B52), INDIRECT(""'"" &amp; $B$16 &amp; ""'!"" &amp; $B$17 &amp; "":"" &amp; $B$17) = O$21, ISNUMBER(SEARCH($B$4, INDIRECT(""'"" &amp; $B$16 &amp; ""'!"" &amp; $B$12 &amp; "":"" &amp; $B$12)))))"),0.6666666666666666)</f>
        <v>0.6666666667</v>
      </c>
      <c r="P52" s="312" t="str">
        <f>IFERROR(__xludf.DUMMYFUNCTION("AVERAGE(FILTER(INDIRECT(""'"" &amp; $B$16 &amp; ""'!"" &amp; $B52 &amp; "":"" &amp; $B52), INDIRECT(""'"" &amp; $B$16 &amp; ""'!"" &amp; $B$17 &amp; "":"" &amp; $B$17) = P$21, ISNUMBER(SEARCH($B$4, INDIRECT(""'"" &amp; $B$16 &amp; ""'!"" &amp; $B$12 &amp; "":"" &amp; $B$12)))))"),"#N/A")</f>
        <v>#N/A</v>
      </c>
      <c r="Q52" s="312" t="str">
        <f>IFERROR(__xludf.DUMMYFUNCTION("AVERAGE(FILTER(INDIRECT(""'"" &amp; $B$16 &amp; ""'!"" &amp; $B52 &amp; "":"" &amp; $B52), INDIRECT(""'"" &amp; $B$16 &amp; ""'!"" &amp; $B$17 &amp; "":"" &amp; $B$17) = Q$21, ISNUMBER(SEARCH($B$4, INDIRECT(""'"" &amp; $B$16 &amp; ""'!"" &amp; $B$12 &amp; "":"" &amp; $B$12)))))"),"#N/A")</f>
        <v>#N/A</v>
      </c>
      <c r="R52" s="312" t="str">
        <f>IFERROR(__xludf.DUMMYFUNCTION("AVERAGE(FILTER(INDIRECT(""'"" &amp; $B$16 &amp; ""'!"" &amp; $B52 &amp; "":"" &amp; $B52), INDIRECT(""'"" &amp; $B$16 &amp; ""'!"" &amp; $B$17 &amp; "":"" &amp; $B$17) = R$21, ISNUMBER(SEARCH($B$4, INDIRECT(""'"" &amp; $B$16 &amp; ""'!"" &amp; $B$12 &amp; "":"" &amp; $B$12)))))"),"#N/A")</f>
        <v>#N/A</v>
      </c>
      <c r="S52" s="312" t="str">
        <f>IFERROR(__xludf.DUMMYFUNCTION("AVERAGE(FILTER(INDIRECT(""'"" &amp; $B$16 &amp; ""'!"" &amp; $B52 &amp; "":"" &amp; $B52), INDIRECT(""'"" &amp; $B$16 &amp; ""'!"" &amp; $B$17 &amp; "":"" &amp; $B$17) = S$21, ISNUMBER(SEARCH($B$4, INDIRECT(""'"" &amp; $B$16 &amp; ""'!"" &amp; $B$12 &amp; "":"" &amp; $B$12)))))"),"#N/A")</f>
        <v>#N/A</v>
      </c>
      <c r="T52" s="310">
        <f t="shared" ref="T52:T58" si="122">($B$6^2*J52)^0.5</f>
        <v>16705569.33</v>
      </c>
      <c r="U52" s="310" t="str">
        <f t="shared" ref="U52:U58" si="123">($B$7^2*K52)^0.5</f>
        <v>#N/A</v>
      </c>
      <c r="V52" s="310" t="str">
        <f t="shared" ref="V52:V58" si="124">($B$8^2*L52)^0.5</f>
        <v>#N/A</v>
      </c>
      <c r="W52" s="310" t="str">
        <f t="shared" ref="W52:W58" si="125">($B$9^2*M52)^0.5</f>
        <v>#N/A</v>
      </c>
      <c r="X52" s="310" t="str">
        <f t="shared" ref="X52:X58" si="126">($B$10^2*N52)^0.5</f>
        <v>#N/A</v>
      </c>
      <c r="Y52" s="310">
        <f t="shared" ref="Y52:Y58" si="127">O52*$B$6</f>
        <v>33411138.67</v>
      </c>
      <c r="Z52" s="310" t="str">
        <f t="shared" ref="Z52:Z58" si="128">P52*$B$7</f>
        <v>#N/A</v>
      </c>
      <c r="AA52" s="310" t="str">
        <f t="shared" ref="AA52:AA58" si="129">Q52*$B$8</f>
        <v>#N/A</v>
      </c>
      <c r="AB52" s="310" t="str">
        <f t="shared" ref="AB52:AB58" si="130">R52*$B$9</f>
        <v>#N/A</v>
      </c>
      <c r="AC52" s="310" t="str">
        <f t="shared" ref="AC52:AC58" si="131">S52*$B$10</f>
        <v>#N/A</v>
      </c>
      <c r="AD52" s="312">
        <f t="shared" ref="AD52:AD58" si="132">O52*$C$6</f>
        <v>0.540584904</v>
      </c>
      <c r="AE52" s="312" t="str">
        <f t="shared" ref="AE52:AE58" si="133">P52*$C$7</f>
        <v>#N/A</v>
      </c>
      <c r="AF52" s="312" t="str">
        <f t="shared" ref="AF52:AF58" si="134">Q52*$C$8</f>
        <v>#N/A</v>
      </c>
      <c r="AG52" s="312" t="str">
        <f t="shared" ref="AG52:AG58" si="135">R52*$C$9</f>
        <v>#N/A</v>
      </c>
      <c r="AH52" s="312" t="str">
        <f t="shared" ref="AH52:AH58" si="136">S52*$C$10</f>
        <v>#N/A</v>
      </c>
      <c r="AI52" s="310" t="str">
        <f t="shared" ref="AI52:AI58" si="137">(T52*T52+U52*U52+V52*V52+W52*W52+X52*X52)^0.5</f>
        <v>#N/A</v>
      </c>
      <c r="AJ52" s="310" t="str">
        <f t="shared" ref="AJ52:AJ58" si="138">AI52*$B$14</f>
        <v>#N/A</v>
      </c>
      <c r="AK52" s="310" t="str">
        <f t="shared" ref="AK52:AK58" si="139">SUM(Y52:AC52)</f>
        <v>#N/A</v>
      </c>
      <c r="AL52" s="313" t="str">
        <f t="shared" ref="AL52:AL58" si="140">IF(AJ52=0,0,AJ52/AK52)</f>
        <v>#N/A</v>
      </c>
      <c r="AM52" s="153" t="str">
        <f t="shared" ref="AM52:AM58" si="141">AK52/$B$2</f>
        <v>#N/A</v>
      </c>
    </row>
    <row r="53" ht="15.75" customHeight="1">
      <c r="A53" s="309" t="s">
        <v>331</v>
      </c>
      <c r="B53" s="90" t="str">
        <f t="shared" si="119"/>
        <v>$BI</v>
      </c>
      <c r="C53" s="309">
        <v>13.0</v>
      </c>
      <c r="D53" s="310">
        <f t="shared" ref="D53:H53" si="120">COUNTIFS(INDIRECT("'" &amp; $B$16 &amp; "'!" &amp; $B$17 &amp; ":" &amp; $B$17),D$21,INDIRECT("'" &amp; $B$16 &amp; "'!" &amp; $B53 &amp; ":" &amp; $B53),1,INDIRECT("'" &amp; $B$16 &amp; "'!" &amp; $B$12 &amp; ":" &amp; $B$12), "*" &amp; $B$4 &amp; "*")
</f>
        <v>0</v>
      </c>
      <c r="E53" s="310">
        <f t="shared" si="120"/>
        <v>0</v>
      </c>
      <c r="F53" s="310">
        <f t="shared" si="120"/>
        <v>0</v>
      </c>
      <c r="G53" s="310">
        <f t="shared" si="120"/>
        <v>0</v>
      </c>
      <c r="H53" s="310">
        <f t="shared" si="120"/>
        <v>0</v>
      </c>
      <c r="I53" s="310">
        <f t="shared" si="121"/>
        <v>0</v>
      </c>
      <c r="J53" s="311">
        <f>IFERROR(__xludf.DUMMYFUNCTION("VAR.S(FILTER(INDIRECT(""'"" &amp; $B$16 &amp; ""'!"" &amp; $B53 &amp; "":"" &amp; $B53), INDIRECT(""'"" &amp; $B$16 &amp; ""'!"" &amp; $B$17 &amp; "":"" &amp; $B$17) = J$21, ISNUMBER(SEARCH($B$4, INDIRECT(""'"" &amp; $B$16 &amp; ""'!"" &amp; $B$12 &amp; "":"" &amp; $B$12)))))/$D$6"),0.0)</f>
        <v>0</v>
      </c>
      <c r="K53" s="311" t="str">
        <f>IFERROR(__xludf.DUMMYFUNCTION("VAR.S(FILTER(INDIRECT(""'"" &amp; $B$16 &amp; ""'!"" &amp; $B53 &amp; "":"" &amp; $B53), INDIRECT(""'"" &amp; $B$16 &amp; ""'!"" &amp; $B$17 &amp; "":"" &amp; $B$17) = K$21, ISNUMBER(SEARCH($B$4, INDIRECT(""'"" &amp; $B$16 &amp; ""'!"" &amp; $B$12 &amp; "":"" &amp; $B$12)))))/$D$7"),"#N/A")</f>
        <v>#N/A</v>
      </c>
      <c r="L53" s="311" t="str">
        <f>IFERROR(__xludf.DUMMYFUNCTION("VAR.S(FILTER(INDIRECT(""'"" &amp; $B$16 &amp; ""'!"" &amp; $B53 &amp; "":"" &amp; $B53), INDIRECT(""'"" &amp; $B$16 &amp; ""'!"" &amp; $B$17 &amp; "":"" &amp; $B$17) = L$21, ISNUMBER(SEARCH($B$4, INDIRECT(""'"" &amp; $B$16 &amp; ""'!"" &amp; $B$12 &amp; "":"" &amp; $B$12)))))/$D$8"),"#N/A")</f>
        <v>#N/A</v>
      </c>
      <c r="M53" s="311" t="str">
        <f>IFERROR(__xludf.DUMMYFUNCTION("VAR.S(FILTER(INDIRECT(""'"" &amp; $B$16 &amp; ""'!"" &amp; $B53 &amp; "":"" &amp; $B53), INDIRECT(""'"" &amp; $B$16 &amp; ""'!"" &amp; $B$17 &amp; "":"" &amp; $B$17) = M$21, ISNUMBER(SEARCH($B$4, INDIRECT(""'"" &amp; $B$16 &amp; ""'!"" &amp; $B$12 &amp; "":"" &amp; $B$12)))))/$D$9"),"#N/A")</f>
        <v>#N/A</v>
      </c>
      <c r="N53" s="311" t="str">
        <f>IFERROR(__xludf.DUMMYFUNCTION("VAR.S(FILTER(INDIRECT(""'"" &amp; $B$16 &amp; ""'!"" &amp; $B53 &amp; "":"" &amp; $B53), INDIRECT(""'"" &amp; $B$16 &amp; ""'!"" &amp; $B$17 &amp; "":"" &amp; $B$17) = N$21, ISNUMBER(SEARCH($B$4, INDIRECT(""'"" &amp; $B$16 &amp; ""'!"" &amp; $B$12 &amp; "":"" &amp; $B$12)))))/$D$10"),"#N/A")</f>
        <v>#N/A</v>
      </c>
      <c r="O53" s="312">
        <f>IFERROR(__xludf.DUMMYFUNCTION("AVERAGE(FILTER(INDIRECT(""'"" &amp; $B$16 &amp; ""'!"" &amp; $B53 &amp; "":"" &amp; $B53), INDIRECT(""'"" &amp; $B$16 &amp; ""'!"" &amp; $B$17 &amp; "":"" &amp; $B$17) = O$21, ISNUMBER(SEARCH($B$4, INDIRECT(""'"" &amp; $B$16 &amp; ""'!"" &amp; $B$12 &amp; "":"" &amp; $B$12)))))"),0.0)</f>
        <v>0</v>
      </c>
      <c r="P53" s="312" t="str">
        <f>IFERROR(__xludf.DUMMYFUNCTION("AVERAGE(FILTER(INDIRECT(""'"" &amp; $B$16 &amp; ""'!"" &amp; $B53 &amp; "":"" &amp; $B53), INDIRECT(""'"" &amp; $B$16 &amp; ""'!"" &amp; $B$17 &amp; "":"" &amp; $B$17) = P$21, ISNUMBER(SEARCH($B$4, INDIRECT(""'"" &amp; $B$16 &amp; ""'!"" &amp; $B$12 &amp; "":"" &amp; $B$12)))))"),"#N/A")</f>
        <v>#N/A</v>
      </c>
      <c r="Q53" s="312" t="str">
        <f>IFERROR(__xludf.DUMMYFUNCTION("AVERAGE(FILTER(INDIRECT(""'"" &amp; $B$16 &amp; ""'!"" &amp; $B53 &amp; "":"" &amp; $B53), INDIRECT(""'"" &amp; $B$16 &amp; ""'!"" &amp; $B$17 &amp; "":"" &amp; $B$17) = Q$21, ISNUMBER(SEARCH($B$4, INDIRECT(""'"" &amp; $B$16 &amp; ""'!"" &amp; $B$12 &amp; "":"" &amp; $B$12)))))"),"#N/A")</f>
        <v>#N/A</v>
      </c>
      <c r="R53" s="312" t="str">
        <f>IFERROR(__xludf.DUMMYFUNCTION("AVERAGE(FILTER(INDIRECT(""'"" &amp; $B$16 &amp; ""'!"" &amp; $B53 &amp; "":"" &amp; $B53), INDIRECT(""'"" &amp; $B$16 &amp; ""'!"" &amp; $B$17 &amp; "":"" &amp; $B$17) = R$21, ISNUMBER(SEARCH($B$4, INDIRECT(""'"" &amp; $B$16 &amp; ""'!"" &amp; $B$12 &amp; "":"" &amp; $B$12)))))"),"#N/A")</f>
        <v>#N/A</v>
      </c>
      <c r="S53" s="312" t="str">
        <f>IFERROR(__xludf.DUMMYFUNCTION("AVERAGE(FILTER(INDIRECT(""'"" &amp; $B$16 &amp; ""'!"" &amp; $B53 &amp; "":"" &amp; $B53), INDIRECT(""'"" &amp; $B$16 &amp; ""'!"" &amp; $B$17 &amp; "":"" &amp; $B$17) = S$21, ISNUMBER(SEARCH($B$4, INDIRECT(""'"" &amp; $B$16 &amp; ""'!"" &amp; $B$12 &amp; "":"" &amp; $B$12)))))"),"#N/A")</f>
        <v>#N/A</v>
      </c>
      <c r="T53" s="310">
        <f t="shared" si="122"/>
        <v>0</v>
      </c>
      <c r="U53" s="310" t="str">
        <f t="shared" si="123"/>
        <v>#N/A</v>
      </c>
      <c r="V53" s="310" t="str">
        <f t="shared" si="124"/>
        <v>#N/A</v>
      </c>
      <c r="W53" s="310" t="str">
        <f t="shared" si="125"/>
        <v>#N/A</v>
      </c>
      <c r="X53" s="310" t="str">
        <f t="shared" si="126"/>
        <v>#N/A</v>
      </c>
      <c r="Y53" s="310">
        <f t="shared" si="127"/>
        <v>0</v>
      </c>
      <c r="Z53" s="310" t="str">
        <f t="shared" si="128"/>
        <v>#N/A</v>
      </c>
      <c r="AA53" s="310" t="str">
        <f t="shared" si="129"/>
        <v>#N/A</v>
      </c>
      <c r="AB53" s="310" t="str">
        <f t="shared" si="130"/>
        <v>#N/A</v>
      </c>
      <c r="AC53" s="310" t="str">
        <f t="shared" si="131"/>
        <v>#N/A</v>
      </c>
      <c r="AD53" s="312">
        <f t="shared" si="132"/>
        <v>0</v>
      </c>
      <c r="AE53" s="312" t="str">
        <f t="shared" si="133"/>
        <v>#N/A</v>
      </c>
      <c r="AF53" s="312" t="str">
        <f t="shared" si="134"/>
        <v>#N/A</v>
      </c>
      <c r="AG53" s="312" t="str">
        <f t="shared" si="135"/>
        <v>#N/A</v>
      </c>
      <c r="AH53" s="312" t="str">
        <f t="shared" si="136"/>
        <v>#N/A</v>
      </c>
      <c r="AI53" s="310" t="str">
        <f t="shared" si="137"/>
        <v>#N/A</v>
      </c>
      <c r="AJ53" s="310" t="str">
        <f t="shared" si="138"/>
        <v>#N/A</v>
      </c>
      <c r="AK53" s="310" t="str">
        <f t="shared" si="139"/>
        <v>#N/A</v>
      </c>
      <c r="AL53" s="313" t="str">
        <f t="shared" si="140"/>
        <v>#N/A</v>
      </c>
      <c r="AM53" s="153" t="str">
        <f t="shared" si="141"/>
        <v>#N/A</v>
      </c>
    </row>
    <row r="54" ht="15.75" customHeight="1">
      <c r="A54" s="309" t="s">
        <v>334</v>
      </c>
      <c r="B54" s="90" t="str">
        <f t="shared" si="119"/>
        <v>$BJ</v>
      </c>
      <c r="C54" s="309">
        <v>14.0</v>
      </c>
      <c r="D54" s="310">
        <f t="shared" ref="D54:H54" si="142">COUNTIFS(INDIRECT("'" &amp; $B$16 &amp; "'!" &amp; $B$17 &amp; ":" &amp; $B$17),D$21,INDIRECT("'" &amp; $B$16 &amp; "'!" &amp; $B54 &amp; ":" &amp; $B54),1,INDIRECT("'" &amp; $B$16 &amp; "'!" &amp; $B$12 &amp; ":" &amp; $B$12), "*" &amp; $B$4 &amp; "*")
</f>
        <v>0</v>
      </c>
      <c r="E54" s="310">
        <f t="shared" si="142"/>
        <v>0</v>
      </c>
      <c r="F54" s="310">
        <f t="shared" si="142"/>
        <v>0</v>
      </c>
      <c r="G54" s="310">
        <f t="shared" si="142"/>
        <v>0</v>
      </c>
      <c r="H54" s="310">
        <f t="shared" si="142"/>
        <v>0</v>
      </c>
      <c r="I54" s="310">
        <f t="shared" si="121"/>
        <v>0</v>
      </c>
      <c r="J54" s="311">
        <f>IFERROR(__xludf.DUMMYFUNCTION("VAR.S(FILTER(INDIRECT(""'"" &amp; $B$16 &amp; ""'!"" &amp; $B54 &amp; "":"" &amp; $B54), INDIRECT(""'"" &amp; $B$16 &amp; ""'!"" &amp; $B$17 &amp; "":"" &amp; $B$17) = J$21, ISNUMBER(SEARCH($B$4, INDIRECT(""'"" &amp; $B$16 &amp; ""'!"" &amp; $B$12 &amp; "":"" &amp; $B$12)))))/$D$6"),0.0)</f>
        <v>0</v>
      </c>
      <c r="K54" s="311" t="str">
        <f>IFERROR(__xludf.DUMMYFUNCTION("VAR.S(FILTER(INDIRECT(""'"" &amp; $B$16 &amp; ""'!"" &amp; $B54 &amp; "":"" &amp; $B54), INDIRECT(""'"" &amp; $B$16 &amp; ""'!"" &amp; $B$17 &amp; "":"" &amp; $B$17) = K$21, ISNUMBER(SEARCH($B$4, INDIRECT(""'"" &amp; $B$16 &amp; ""'!"" &amp; $B$12 &amp; "":"" &amp; $B$12)))))/$D$7"),"#N/A")</f>
        <v>#N/A</v>
      </c>
      <c r="L54" s="311" t="str">
        <f>IFERROR(__xludf.DUMMYFUNCTION("VAR.S(FILTER(INDIRECT(""'"" &amp; $B$16 &amp; ""'!"" &amp; $B54 &amp; "":"" &amp; $B54), INDIRECT(""'"" &amp; $B$16 &amp; ""'!"" &amp; $B$17 &amp; "":"" &amp; $B$17) = L$21, ISNUMBER(SEARCH($B$4, INDIRECT(""'"" &amp; $B$16 &amp; ""'!"" &amp; $B$12 &amp; "":"" &amp; $B$12)))))/$D$8"),"#N/A")</f>
        <v>#N/A</v>
      </c>
      <c r="M54" s="311" t="str">
        <f>IFERROR(__xludf.DUMMYFUNCTION("VAR.S(FILTER(INDIRECT(""'"" &amp; $B$16 &amp; ""'!"" &amp; $B54 &amp; "":"" &amp; $B54), INDIRECT(""'"" &amp; $B$16 &amp; ""'!"" &amp; $B$17 &amp; "":"" &amp; $B$17) = M$21, ISNUMBER(SEARCH($B$4, INDIRECT(""'"" &amp; $B$16 &amp; ""'!"" &amp; $B$12 &amp; "":"" &amp; $B$12)))))/$D$9"),"#N/A")</f>
        <v>#N/A</v>
      </c>
      <c r="N54" s="311" t="str">
        <f>IFERROR(__xludf.DUMMYFUNCTION("VAR.S(FILTER(INDIRECT(""'"" &amp; $B$16 &amp; ""'!"" &amp; $B54 &amp; "":"" &amp; $B54), INDIRECT(""'"" &amp; $B$16 &amp; ""'!"" &amp; $B$17 &amp; "":"" &amp; $B$17) = N$21, ISNUMBER(SEARCH($B$4, INDIRECT(""'"" &amp; $B$16 &amp; ""'!"" &amp; $B$12 &amp; "":"" &amp; $B$12)))))/$D$10"),"#N/A")</f>
        <v>#N/A</v>
      </c>
      <c r="O54" s="312">
        <f>IFERROR(__xludf.DUMMYFUNCTION("AVERAGE(FILTER(INDIRECT(""'"" &amp; $B$16 &amp; ""'!"" &amp; $B54 &amp; "":"" &amp; $B54), INDIRECT(""'"" &amp; $B$16 &amp; ""'!"" &amp; $B$17 &amp; "":"" &amp; $B$17) = O$21, ISNUMBER(SEARCH($B$4, INDIRECT(""'"" &amp; $B$16 &amp; ""'!"" &amp; $B$12 &amp; "":"" &amp; $B$12)))))"),0.0)</f>
        <v>0</v>
      </c>
      <c r="P54" s="312" t="str">
        <f>IFERROR(__xludf.DUMMYFUNCTION("AVERAGE(FILTER(INDIRECT(""'"" &amp; $B$16 &amp; ""'!"" &amp; $B54 &amp; "":"" &amp; $B54), INDIRECT(""'"" &amp; $B$16 &amp; ""'!"" &amp; $B$17 &amp; "":"" &amp; $B$17) = P$21, ISNUMBER(SEARCH($B$4, INDIRECT(""'"" &amp; $B$16 &amp; ""'!"" &amp; $B$12 &amp; "":"" &amp; $B$12)))))"),"#N/A")</f>
        <v>#N/A</v>
      </c>
      <c r="Q54" s="312" t="str">
        <f>IFERROR(__xludf.DUMMYFUNCTION("AVERAGE(FILTER(INDIRECT(""'"" &amp; $B$16 &amp; ""'!"" &amp; $B54 &amp; "":"" &amp; $B54), INDIRECT(""'"" &amp; $B$16 &amp; ""'!"" &amp; $B$17 &amp; "":"" &amp; $B$17) = Q$21, ISNUMBER(SEARCH($B$4, INDIRECT(""'"" &amp; $B$16 &amp; ""'!"" &amp; $B$12 &amp; "":"" &amp; $B$12)))))"),"#N/A")</f>
        <v>#N/A</v>
      </c>
      <c r="R54" s="312" t="str">
        <f>IFERROR(__xludf.DUMMYFUNCTION("AVERAGE(FILTER(INDIRECT(""'"" &amp; $B$16 &amp; ""'!"" &amp; $B54 &amp; "":"" &amp; $B54), INDIRECT(""'"" &amp; $B$16 &amp; ""'!"" &amp; $B$17 &amp; "":"" &amp; $B$17) = R$21, ISNUMBER(SEARCH($B$4, INDIRECT(""'"" &amp; $B$16 &amp; ""'!"" &amp; $B$12 &amp; "":"" &amp; $B$12)))))"),"#N/A")</f>
        <v>#N/A</v>
      </c>
      <c r="S54" s="312" t="str">
        <f>IFERROR(__xludf.DUMMYFUNCTION("AVERAGE(FILTER(INDIRECT(""'"" &amp; $B$16 &amp; ""'!"" &amp; $B54 &amp; "":"" &amp; $B54), INDIRECT(""'"" &amp; $B$16 &amp; ""'!"" &amp; $B$17 &amp; "":"" &amp; $B$17) = S$21, ISNUMBER(SEARCH($B$4, INDIRECT(""'"" &amp; $B$16 &amp; ""'!"" &amp; $B$12 &amp; "":"" &amp; $B$12)))))"),"#N/A")</f>
        <v>#N/A</v>
      </c>
      <c r="T54" s="310">
        <f t="shared" si="122"/>
        <v>0</v>
      </c>
      <c r="U54" s="310" t="str">
        <f t="shared" si="123"/>
        <v>#N/A</v>
      </c>
      <c r="V54" s="310" t="str">
        <f t="shared" si="124"/>
        <v>#N/A</v>
      </c>
      <c r="W54" s="310" t="str">
        <f t="shared" si="125"/>
        <v>#N/A</v>
      </c>
      <c r="X54" s="310" t="str">
        <f t="shared" si="126"/>
        <v>#N/A</v>
      </c>
      <c r="Y54" s="310">
        <f t="shared" si="127"/>
        <v>0</v>
      </c>
      <c r="Z54" s="310" t="str">
        <f t="shared" si="128"/>
        <v>#N/A</v>
      </c>
      <c r="AA54" s="310" t="str">
        <f t="shared" si="129"/>
        <v>#N/A</v>
      </c>
      <c r="AB54" s="310" t="str">
        <f t="shared" si="130"/>
        <v>#N/A</v>
      </c>
      <c r="AC54" s="310" t="str">
        <f t="shared" si="131"/>
        <v>#N/A</v>
      </c>
      <c r="AD54" s="312">
        <f t="shared" si="132"/>
        <v>0</v>
      </c>
      <c r="AE54" s="312" t="str">
        <f t="shared" si="133"/>
        <v>#N/A</v>
      </c>
      <c r="AF54" s="312" t="str">
        <f t="shared" si="134"/>
        <v>#N/A</v>
      </c>
      <c r="AG54" s="312" t="str">
        <f t="shared" si="135"/>
        <v>#N/A</v>
      </c>
      <c r="AH54" s="312" t="str">
        <f t="shared" si="136"/>
        <v>#N/A</v>
      </c>
      <c r="AI54" s="310" t="str">
        <f t="shared" si="137"/>
        <v>#N/A</v>
      </c>
      <c r="AJ54" s="310" t="str">
        <f t="shared" si="138"/>
        <v>#N/A</v>
      </c>
      <c r="AK54" s="310" t="str">
        <f t="shared" si="139"/>
        <v>#N/A</v>
      </c>
      <c r="AL54" s="313" t="str">
        <f t="shared" si="140"/>
        <v>#N/A</v>
      </c>
      <c r="AM54" s="153" t="str">
        <f t="shared" si="141"/>
        <v>#N/A</v>
      </c>
    </row>
    <row r="55" ht="15.75" customHeight="1">
      <c r="A55" s="309" t="s">
        <v>337</v>
      </c>
      <c r="B55" s="90" t="str">
        <f t="shared" si="119"/>
        <v>$BK</v>
      </c>
      <c r="C55" s="309">
        <v>15.0</v>
      </c>
      <c r="D55" s="310">
        <f t="shared" ref="D55:H55" si="143">COUNTIFS(INDIRECT("'" &amp; $B$16 &amp; "'!" &amp; $B$17 &amp; ":" &amp; $B$17),D$21,INDIRECT("'" &amp; $B$16 &amp; "'!" &amp; $B55 &amp; ":" &amp; $B55),1,INDIRECT("'" &amp; $B$16 &amp; "'!" &amp; $B$12 &amp; ":" &amp; $B$12), "*" &amp; $B$4 &amp; "*")
</f>
        <v>0</v>
      </c>
      <c r="E55" s="310">
        <f t="shared" si="143"/>
        <v>0</v>
      </c>
      <c r="F55" s="310">
        <f t="shared" si="143"/>
        <v>0</v>
      </c>
      <c r="G55" s="310">
        <f t="shared" si="143"/>
        <v>0</v>
      </c>
      <c r="H55" s="310">
        <f t="shared" si="143"/>
        <v>0</v>
      </c>
      <c r="I55" s="310">
        <f t="shared" si="121"/>
        <v>0</v>
      </c>
      <c r="J55" s="311">
        <f>IFERROR(__xludf.DUMMYFUNCTION("VAR.S(FILTER(INDIRECT(""'"" &amp; $B$16 &amp; ""'!"" &amp; $B55 &amp; "":"" &amp; $B55), INDIRECT(""'"" &amp; $B$16 &amp; ""'!"" &amp; $B$17 &amp; "":"" &amp; $B$17) = J$21, ISNUMBER(SEARCH($B$4, INDIRECT(""'"" &amp; $B$16 &amp; ""'!"" &amp; $B$12 &amp; "":"" &amp; $B$12)))))/$D$6"),0.0)</f>
        <v>0</v>
      </c>
      <c r="K55" s="311" t="str">
        <f>IFERROR(__xludf.DUMMYFUNCTION("VAR.S(FILTER(INDIRECT(""'"" &amp; $B$16 &amp; ""'!"" &amp; $B55 &amp; "":"" &amp; $B55), INDIRECT(""'"" &amp; $B$16 &amp; ""'!"" &amp; $B$17 &amp; "":"" &amp; $B$17) = K$21, ISNUMBER(SEARCH($B$4, INDIRECT(""'"" &amp; $B$16 &amp; ""'!"" &amp; $B$12 &amp; "":"" &amp; $B$12)))))/$D$7"),"#N/A")</f>
        <v>#N/A</v>
      </c>
      <c r="L55" s="311" t="str">
        <f>IFERROR(__xludf.DUMMYFUNCTION("VAR.S(FILTER(INDIRECT(""'"" &amp; $B$16 &amp; ""'!"" &amp; $B55 &amp; "":"" &amp; $B55), INDIRECT(""'"" &amp; $B$16 &amp; ""'!"" &amp; $B$17 &amp; "":"" &amp; $B$17) = L$21, ISNUMBER(SEARCH($B$4, INDIRECT(""'"" &amp; $B$16 &amp; ""'!"" &amp; $B$12 &amp; "":"" &amp; $B$12)))))/$D$8"),"#N/A")</f>
        <v>#N/A</v>
      </c>
      <c r="M55" s="311" t="str">
        <f>IFERROR(__xludf.DUMMYFUNCTION("VAR.S(FILTER(INDIRECT(""'"" &amp; $B$16 &amp; ""'!"" &amp; $B55 &amp; "":"" &amp; $B55), INDIRECT(""'"" &amp; $B$16 &amp; ""'!"" &amp; $B$17 &amp; "":"" &amp; $B$17) = M$21, ISNUMBER(SEARCH($B$4, INDIRECT(""'"" &amp; $B$16 &amp; ""'!"" &amp; $B$12 &amp; "":"" &amp; $B$12)))))/$D$9"),"#N/A")</f>
        <v>#N/A</v>
      </c>
      <c r="N55" s="311" t="str">
        <f>IFERROR(__xludf.DUMMYFUNCTION("VAR.S(FILTER(INDIRECT(""'"" &amp; $B$16 &amp; ""'!"" &amp; $B55 &amp; "":"" &amp; $B55), INDIRECT(""'"" &amp; $B$16 &amp; ""'!"" &amp; $B$17 &amp; "":"" &amp; $B$17) = N$21, ISNUMBER(SEARCH($B$4, INDIRECT(""'"" &amp; $B$16 &amp; ""'!"" &amp; $B$12 &amp; "":"" &amp; $B$12)))))/$D$10"),"#N/A")</f>
        <v>#N/A</v>
      </c>
      <c r="O55" s="312">
        <f>IFERROR(__xludf.DUMMYFUNCTION("AVERAGE(FILTER(INDIRECT(""'"" &amp; $B$16 &amp; ""'!"" &amp; $B55 &amp; "":"" &amp; $B55), INDIRECT(""'"" &amp; $B$16 &amp; ""'!"" &amp; $B$17 &amp; "":"" &amp; $B$17) = O$21, ISNUMBER(SEARCH($B$4, INDIRECT(""'"" &amp; $B$16 &amp; ""'!"" &amp; $B$12 &amp; "":"" &amp; $B$12)))))"),0.0)</f>
        <v>0</v>
      </c>
      <c r="P55" s="312" t="str">
        <f>IFERROR(__xludf.DUMMYFUNCTION("AVERAGE(FILTER(INDIRECT(""'"" &amp; $B$16 &amp; ""'!"" &amp; $B55 &amp; "":"" &amp; $B55), INDIRECT(""'"" &amp; $B$16 &amp; ""'!"" &amp; $B$17 &amp; "":"" &amp; $B$17) = P$21, ISNUMBER(SEARCH($B$4, INDIRECT(""'"" &amp; $B$16 &amp; ""'!"" &amp; $B$12 &amp; "":"" &amp; $B$12)))))"),"#N/A")</f>
        <v>#N/A</v>
      </c>
      <c r="Q55" s="312" t="str">
        <f>IFERROR(__xludf.DUMMYFUNCTION("AVERAGE(FILTER(INDIRECT(""'"" &amp; $B$16 &amp; ""'!"" &amp; $B55 &amp; "":"" &amp; $B55), INDIRECT(""'"" &amp; $B$16 &amp; ""'!"" &amp; $B$17 &amp; "":"" &amp; $B$17) = Q$21, ISNUMBER(SEARCH($B$4, INDIRECT(""'"" &amp; $B$16 &amp; ""'!"" &amp; $B$12 &amp; "":"" &amp; $B$12)))))"),"#N/A")</f>
        <v>#N/A</v>
      </c>
      <c r="R55" s="312" t="str">
        <f>IFERROR(__xludf.DUMMYFUNCTION("AVERAGE(FILTER(INDIRECT(""'"" &amp; $B$16 &amp; ""'!"" &amp; $B55 &amp; "":"" &amp; $B55), INDIRECT(""'"" &amp; $B$16 &amp; ""'!"" &amp; $B$17 &amp; "":"" &amp; $B$17) = R$21, ISNUMBER(SEARCH($B$4, INDIRECT(""'"" &amp; $B$16 &amp; ""'!"" &amp; $B$12 &amp; "":"" &amp; $B$12)))))"),"#N/A")</f>
        <v>#N/A</v>
      </c>
      <c r="S55" s="312" t="str">
        <f>IFERROR(__xludf.DUMMYFUNCTION("AVERAGE(FILTER(INDIRECT(""'"" &amp; $B$16 &amp; ""'!"" &amp; $B55 &amp; "":"" &amp; $B55), INDIRECT(""'"" &amp; $B$16 &amp; ""'!"" &amp; $B$17 &amp; "":"" &amp; $B$17) = S$21, ISNUMBER(SEARCH($B$4, INDIRECT(""'"" &amp; $B$16 &amp; ""'!"" &amp; $B$12 &amp; "":"" &amp; $B$12)))))"),"#N/A")</f>
        <v>#N/A</v>
      </c>
      <c r="T55" s="310">
        <f t="shared" si="122"/>
        <v>0</v>
      </c>
      <c r="U55" s="310" t="str">
        <f t="shared" si="123"/>
        <v>#N/A</v>
      </c>
      <c r="V55" s="310" t="str">
        <f t="shared" si="124"/>
        <v>#N/A</v>
      </c>
      <c r="W55" s="310" t="str">
        <f t="shared" si="125"/>
        <v>#N/A</v>
      </c>
      <c r="X55" s="310" t="str">
        <f t="shared" si="126"/>
        <v>#N/A</v>
      </c>
      <c r="Y55" s="310">
        <f t="shared" si="127"/>
        <v>0</v>
      </c>
      <c r="Z55" s="310" t="str">
        <f t="shared" si="128"/>
        <v>#N/A</v>
      </c>
      <c r="AA55" s="310" t="str">
        <f t="shared" si="129"/>
        <v>#N/A</v>
      </c>
      <c r="AB55" s="310" t="str">
        <f t="shared" si="130"/>
        <v>#N/A</v>
      </c>
      <c r="AC55" s="310" t="str">
        <f t="shared" si="131"/>
        <v>#N/A</v>
      </c>
      <c r="AD55" s="312">
        <f t="shared" si="132"/>
        <v>0</v>
      </c>
      <c r="AE55" s="312" t="str">
        <f t="shared" si="133"/>
        <v>#N/A</v>
      </c>
      <c r="AF55" s="312" t="str">
        <f t="shared" si="134"/>
        <v>#N/A</v>
      </c>
      <c r="AG55" s="312" t="str">
        <f t="shared" si="135"/>
        <v>#N/A</v>
      </c>
      <c r="AH55" s="312" t="str">
        <f t="shared" si="136"/>
        <v>#N/A</v>
      </c>
      <c r="AI55" s="310" t="str">
        <f t="shared" si="137"/>
        <v>#N/A</v>
      </c>
      <c r="AJ55" s="310" t="str">
        <f t="shared" si="138"/>
        <v>#N/A</v>
      </c>
      <c r="AK55" s="310" t="str">
        <f t="shared" si="139"/>
        <v>#N/A</v>
      </c>
      <c r="AL55" s="313" t="str">
        <f t="shared" si="140"/>
        <v>#N/A</v>
      </c>
      <c r="AM55" s="153" t="str">
        <f t="shared" si="141"/>
        <v>#N/A</v>
      </c>
    </row>
    <row r="56" ht="15.75" customHeight="1">
      <c r="A56" s="309" t="s">
        <v>340</v>
      </c>
      <c r="B56" s="90" t="str">
        <f t="shared" si="119"/>
        <v>$BL</v>
      </c>
      <c r="C56" s="309">
        <v>16.0</v>
      </c>
      <c r="D56" s="310">
        <f t="shared" ref="D56:H56" si="144">COUNTIFS(INDIRECT("'" &amp; $B$16 &amp; "'!" &amp; $B$17 &amp; ":" &amp; $B$17),D$21,INDIRECT("'" &amp; $B$16 &amp; "'!" &amp; $B56 &amp; ":" &amp; $B56),1,INDIRECT("'" &amp; $B$16 &amp; "'!" &amp; $B$12 &amp; ":" &amp; $B$12), "*" &amp; $B$4 &amp; "*")
</f>
        <v>0</v>
      </c>
      <c r="E56" s="310">
        <f t="shared" si="144"/>
        <v>0</v>
      </c>
      <c r="F56" s="310">
        <f t="shared" si="144"/>
        <v>0</v>
      </c>
      <c r="G56" s="310">
        <f t="shared" si="144"/>
        <v>0</v>
      </c>
      <c r="H56" s="310">
        <f t="shared" si="144"/>
        <v>0</v>
      </c>
      <c r="I56" s="310">
        <f t="shared" si="121"/>
        <v>0</v>
      </c>
      <c r="J56" s="311">
        <f>IFERROR(__xludf.DUMMYFUNCTION("VAR.S(FILTER(INDIRECT(""'"" &amp; $B$16 &amp; ""'!"" &amp; $B56 &amp; "":"" &amp; $B56), INDIRECT(""'"" &amp; $B$16 &amp; ""'!"" &amp; $B$17 &amp; "":"" &amp; $B$17) = J$21, ISNUMBER(SEARCH($B$4, INDIRECT(""'"" &amp; $B$16 &amp; ""'!"" &amp; $B$12 &amp; "":"" &amp; $B$12)))))/$D$6"),0.0)</f>
        <v>0</v>
      </c>
      <c r="K56" s="311" t="str">
        <f>IFERROR(__xludf.DUMMYFUNCTION("VAR.S(FILTER(INDIRECT(""'"" &amp; $B$16 &amp; ""'!"" &amp; $B56 &amp; "":"" &amp; $B56), INDIRECT(""'"" &amp; $B$16 &amp; ""'!"" &amp; $B$17 &amp; "":"" &amp; $B$17) = K$21, ISNUMBER(SEARCH($B$4, INDIRECT(""'"" &amp; $B$16 &amp; ""'!"" &amp; $B$12 &amp; "":"" &amp; $B$12)))))/$D$7"),"#N/A")</f>
        <v>#N/A</v>
      </c>
      <c r="L56" s="311" t="str">
        <f>IFERROR(__xludf.DUMMYFUNCTION("VAR.S(FILTER(INDIRECT(""'"" &amp; $B$16 &amp; ""'!"" &amp; $B56 &amp; "":"" &amp; $B56), INDIRECT(""'"" &amp; $B$16 &amp; ""'!"" &amp; $B$17 &amp; "":"" &amp; $B$17) = L$21, ISNUMBER(SEARCH($B$4, INDIRECT(""'"" &amp; $B$16 &amp; ""'!"" &amp; $B$12 &amp; "":"" &amp; $B$12)))))/$D$8"),"#N/A")</f>
        <v>#N/A</v>
      </c>
      <c r="M56" s="311" t="str">
        <f>IFERROR(__xludf.DUMMYFUNCTION("VAR.S(FILTER(INDIRECT(""'"" &amp; $B$16 &amp; ""'!"" &amp; $B56 &amp; "":"" &amp; $B56), INDIRECT(""'"" &amp; $B$16 &amp; ""'!"" &amp; $B$17 &amp; "":"" &amp; $B$17) = M$21, ISNUMBER(SEARCH($B$4, INDIRECT(""'"" &amp; $B$16 &amp; ""'!"" &amp; $B$12 &amp; "":"" &amp; $B$12)))))/$D$9"),"#N/A")</f>
        <v>#N/A</v>
      </c>
      <c r="N56" s="311" t="str">
        <f>IFERROR(__xludf.DUMMYFUNCTION("VAR.S(FILTER(INDIRECT(""'"" &amp; $B$16 &amp; ""'!"" &amp; $B56 &amp; "":"" &amp; $B56), INDIRECT(""'"" &amp; $B$16 &amp; ""'!"" &amp; $B$17 &amp; "":"" &amp; $B$17) = N$21, ISNUMBER(SEARCH($B$4, INDIRECT(""'"" &amp; $B$16 &amp; ""'!"" &amp; $B$12 &amp; "":"" &amp; $B$12)))))/$D$10"),"#N/A")</f>
        <v>#N/A</v>
      </c>
      <c r="O56" s="312">
        <f>IFERROR(__xludf.DUMMYFUNCTION("AVERAGE(FILTER(INDIRECT(""'"" &amp; $B$16 &amp; ""'!"" &amp; $B56 &amp; "":"" &amp; $B56), INDIRECT(""'"" &amp; $B$16 &amp; ""'!"" &amp; $B$17 &amp; "":"" &amp; $B$17) = O$21, ISNUMBER(SEARCH($B$4, INDIRECT(""'"" &amp; $B$16 &amp; ""'!"" &amp; $B$12 &amp; "":"" &amp; $B$12)))))"),0.0)</f>
        <v>0</v>
      </c>
      <c r="P56" s="312" t="str">
        <f>IFERROR(__xludf.DUMMYFUNCTION("AVERAGE(FILTER(INDIRECT(""'"" &amp; $B$16 &amp; ""'!"" &amp; $B56 &amp; "":"" &amp; $B56), INDIRECT(""'"" &amp; $B$16 &amp; ""'!"" &amp; $B$17 &amp; "":"" &amp; $B$17) = P$21, ISNUMBER(SEARCH($B$4, INDIRECT(""'"" &amp; $B$16 &amp; ""'!"" &amp; $B$12 &amp; "":"" &amp; $B$12)))))"),"#N/A")</f>
        <v>#N/A</v>
      </c>
      <c r="Q56" s="312" t="str">
        <f>IFERROR(__xludf.DUMMYFUNCTION("AVERAGE(FILTER(INDIRECT(""'"" &amp; $B$16 &amp; ""'!"" &amp; $B56 &amp; "":"" &amp; $B56), INDIRECT(""'"" &amp; $B$16 &amp; ""'!"" &amp; $B$17 &amp; "":"" &amp; $B$17) = Q$21, ISNUMBER(SEARCH($B$4, INDIRECT(""'"" &amp; $B$16 &amp; ""'!"" &amp; $B$12 &amp; "":"" &amp; $B$12)))))"),"#N/A")</f>
        <v>#N/A</v>
      </c>
      <c r="R56" s="312" t="str">
        <f>IFERROR(__xludf.DUMMYFUNCTION("AVERAGE(FILTER(INDIRECT(""'"" &amp; $B$16 &amp; ""'!"" &amp; $B56 &amp; "":"" &amp; $B56), INDIRECT(""'"" &amp; $B$16 &amp; ""'!"" &amp; $B$17 &amp; "":"" &amp; $B$17) = R$21, ISNUMBER(SEARCH($B$4, INDIRECT(""'"" &amp; $B$16 &amp; ""'!"" &amp; $B$12 &amp; "":"" &amp; $B$12)))))"),"#N/A")</f>
        <v>#N/A</v>
      </c>
      <c r="S56" s="312" t="str">
        <f>IFERROR(__xludf.DUMMYFUNCTION("AVERAGE(FILTER(INDIRECT(""'"" &amp; $B$16 &amp; ""'!"" &amp; $B56 &amp; "":"" &amp; $B56), INDIRECT(""'"" &amp; $B$16 &amp; ""'!"" &amp; $B$17 &amp; "":"" &amp; $B$17) = S$21, ISNUMBER(SEARCH($B$4, INDIRECT(""'"" &amp; $B$16 &amp; ""'!"" &amp; $B$12 &amp; "":"" &amp; $B$12)))))"),"#N/A")</f>
        <v>#N/A</v>
      </c>
      <c r="T56" s="310">
        <f t="shared" si="122"/>
        <v>0</v>
      </c>
      <c r="U56" s="310" t="str">
        <f t="shared" si="123"/>
        <v>#N/A</v>
      </c>
      <c r="V56" s="310" t="str">
        <f t="shared" si="124"/>
        <v>#N/A</v>
      </c>
      <c r="W56" s="310" t="str">
        <f t="shared" si="125"/>
        <v>#N/A</v>
      </c>
      <c r="X56" s="310" t="str">
        <f t="shared" si="126"/>
        <v>#N/A</v>
      </c>
      <c r="Y56" s="310">
        <f t="shared" si="127"/>
        <v>0</v>
      </c>
      <c r="Z56" s="310" t="str">
        <f t="shared" si="128"/>
        <v>#N/A</v>
      </c>
      <c r="AA56" s="310" t="str">
        <f t="shared" si="129"/>
        <v>#N/A</v>
      </c>
      <c r="AB56" s="310" t="str">
        <f t="shared" si="130"/>
        <v>#N/A</v>
      </c>
      <c r="AC56" s="310" t="str">
        <f t="shared" si="131"/>
        <v>#N/A</v>
      </c>
      <c r="AD56" s="312">
        <f t="shared" si="132"/>
        <v>0</v>
      </c>
      <c r="AE56" s="312" t="str">
        <f t="shared" si="133"/>
        <v>#N/A</v>
      </c>
      <c r="AF56" s="312" t="str">
        <f t="shared" si="134"/>
        <v>#N/A</v>
      </c>
      <c r="AG56" s="312" t="str">
        <f t="shared" si="135"/>
        <v>#N/A</v>
      </c>
      <c r="AH56" s="312" t="str">
        <f t="shared" si="136"/>
        <v>#N/A</v>
      </c>
      <c r="AI56" s="310" t="str">
        <f t="shared" si="137"/>
        <v>#N/A</v>
      </c>
      <c r="AJ56" s="310" t="str">
        <f t="shared" si="138"/>
        <v>#N/A</v>
      </c>
      <c r="AK56" s="310" t="str">
        <f t="shared" si="139"/>
        <v>#N/A</v>
      </c>
      <c r="AL56" s="313" t="str">
        <f t="shared" si="140"/>
        <v>#N/A</v>
      </c>
      <c r="AM56" s="153" t="str">
        <f t="shared" si="141"/>
        <v>#N/A</v>
      </c>
    </row>
    <row r="57" ht="15.75" customHeight="1">
      <c r="A57" s="309" t="s">
        <v>343</v>
      </c>
      <c r="B57" s="90" t="str">
        <f t="shared" si="119"/>
        <v>$BM</v>
      </c>
      <c r="C57" s="309">
        <v>17.0</v>
      </c>
      <c r="D57" s="310">
        <f t="shared" ref="D57:H57" si="145">COUNTIFS(INDIRECT("'" &amp; $B$16 &amp; "'!" &amp; $B$17 &amp; ":" &amp; $B$17),D$21,INDIRECT("'" &amp; $B$16 &amp; "'!" &amp; $B57 &amp; ":" &amp; $B57),1,INDIRECT("'" &amp; $B$16 &amp; "'!" &amp; $B$12 &amp; ":" &amp; $B$12), "*" &amp; $B$4 &amp; "*")
</f>
        <v>0</v>
      </c>
      <c r="E57" s="310">
        <f t="shared" si="145"/>
        <v>0</v>
      </c>
      <c r="F57" s="310">
        <f t="shared" si="145"/>
        <v>0</v>
      </c>
      <c r="G57" s="310">
        <f t="shared" si="145"/>
        <v>0</v>
      </c>
      <c r="H57" s="310">
        <f t="shared" si="145"/>
        <v>0</v>
      </c>
      <c r="I57" s="310">
        <f t="shared" si="121"/>
        <v>0</v>
      </c>
      <c r="J57" s="311">
        <f>IFERROR(__xludf.DUMMYFUNCTION("VAR.S(FILTER(INDIRECT(""'"" &amp; $B$16 &amp; ""'!"" &amp; $B57 &amp; "":"" &amp; $B57), INDIRECT(""'"" &amp; $B$16 &amp; ""'!"" &amp; $B$17 &amp; "":"" &amp; $B$17) = J$21, ISNUMBER(SEARCH($B$4, INDIRECT(""'"" &amp; $B$16 &amp; ""'!"" &amp; $B$12 &amp; "":"" &amp; $B$12)))))/$D$6"),0.0)</f>
        <v>0</v>
      </c>
      <c r="K57" s="311" t="str">
        <f>IFERROR(__xludf.DUMMYFUNCTION("VAR.S(FILTER(INDIRECT(""'"" &amp; $B$16 &amp; ""'!"" &amp; $B57 &amp; "":"" &amp; $B57), INDIRECT(""'"" &amp; $B$16 &amp; ""'!"" &amp; $B$17 &amp; "":"" &amp; $B$17) = K$21, ISNUMBER(SEARCH($B$4, INDIRECT(""'"" &amp; $B$16 &amp; ""'!"" &amp; $B$12 &amp; "":"" &amp; $B$12)))))/$D$7"),"#N/A")</f>
        <v>#N/A</v>
      </c>
      <c r="L57" s="311" t="str">
        <f>IFERROR(__xludf.DUMMYFUNCTION("VAR.S(FILTER(INDIRECT(""'"" &amp; $B$16 &amp; ""'!"" &amp; $B57 &amp; "":"" &amp; $B57), INDIRECT(""'"" &amp; $B$16 &amp; ""'!"" &amp; $B$17 &amp; "":"" &amp; $B$17) = L$21, ISNUMBER(SEARCH($B$4, INDIRECT(""'"" &amp; $B$16 &amp; ""'!"" &amp; $B$12 &amp; "":"" &amp; $B$12)))))/$D$8"),"#N/A")</f>
        <v>#N/A</v>
      </c>
      <c r="M57" s="311" t="str">
        <f>IFERROR(__xludf.DUMMYFUNCTION("VAR.S(FILTER(INDIRECT(""'"" &amp; $B$16 &amp; ""'!"" &amp; $B57 &amp; "":"" &amp; $B57), INDIRECT(""'"" &amp; $B$16 &amp; ""'!"" &amp; $B$17 &amp; "":"" &amp; $B$17) = M$21, ISNUMBER(SEARCH($B$4, INDIRECT(""'"" &amp; $B$16 &amp; ""'!"" &amp; $B$12 &amp; "":"" &amp; $B$12)))))/$D$9"),"#N/A")</f>
        <v>#N/A</v>
      </c>
      <c r="N57" s="311" t="str">
        <f>IFERROR(__xludf.DUMMYFUNCTION("VAR.S(FILTER(INDIRECT(""'"" &amp; $B$16 &amp; ""'!"" &amp; $B57 &amp; "":"" &amp; $B57), INDIRECT(""'"" &amp; $B$16 &amp; ""'!"" &amp; $B$17 &amp; "":"" &amp; $B$17) = N$21, ISNUMBER(SEARCH($B$4, INDIRECT(""'"" &amp; $B$16 &amp; ""'!"" &amp; $B$12 &amp; "":"" &amp; $B$12)))))/$D$10"),"#N/A")</f>
        <v>#N/A</v>
      </c>
      <c r="O57" s="312">
        <f>IFERROR(__xludf.DUMMYFUNCTION("AVERAGE(FILTER(INDIRECT(""'"" &amp; $B$16 &amp; ""'!"" &amp; $B57 &amp; "":"" &amp; $B57), INDIRECT(""'"" &amp; $B$16 &amp; ""'!"" &amp; $B$17 &amp; "":"" &amp; $B$17) = O$21, ISNUMBER(SEARCH($B$4, INDIRECT(""'"" &amp; $B$16 &amp; ""'!"" &amp; $B$12 &amp; "":"" &amp; $B$12)))))"),0.0)</f>
        <v>0</v>
      </c>
      <c r="P57" s="312" t="str">
        <f>IFERROR(__xludf.DUMMYFUNCTION("AVERAGE(FILTER(INDIRECT(""'"" &amp; $B$16 &amp; ""'!"" &amp; $B57 &amp; "":"" &amp; $B57), INDIRECT(""'"" &amp; $B$16 &amp; ""'!"" &amp; $B$17 &amp; "":"" &amp; $B$17) = P$21, ISNUMBER(SEARCH($B$4, INDIRECT(""'"" &amp; $B$16 &amp; ""'!"" &amp; $B$12 &amp; "":"" &amp; $B$12)))))"),"#N/A")</f>
        <v>#N/A</v>
      </c>
      <c r="Q57" s="312" t="str">
        <f>IFERROR(__xludf.DUMMYFUNCTION("AVERAGE(FILTER(INDIRECT(""'"" &amp; $B$16 &amp; ""'!"" &amp; $B57 &amp; "":"" &amp; $B57), INDIRECT(""'"" &amp; $B$16 &amp; ""'!"" &amp; $B$17 &amp; "":"" &amp; $B$17) = Q$21, ISNUMBER(SEARCH($B$4, INDIRECT(""'"" &amp; $B$16 &amp; ""'!"" &amp; $B$12 &amp; "":"" &amp; $B$12)))))"),"#N/A")</f>
        <v>#N/A</v>
      </c>
      <c r="R57" s="312" t="str">
        <f>IFERROR(__xludf.DUMMYFUNCTION("AVERAGE(FILTER(INDIRECT(""'"" &amp; $B$16 &amp; ""'!"" &amp; $B57 &amp; "":"" &amp; $B57), INDIRECT(""'"" &amp; $B$16 &amp; ""'!"" &amp; $B$17 &amp; "":"" &amp; $B$17) = R$21, ISNUMBER(SEARCH($B$4, INDIRECT(""'"" &amp; $B$16 &amp; ""'!"" &amp; $B$12 &amp; "":"" &amp; $B$12)))))"),"#N/A")</f>
        <v>#N/A</v>
      </c>
      <c r="S57" s="312" t="str">
        <f>IFERROR(__xludf.DUMMYFUNCTION("AVERAGE(FILTER(INDIRECT(""'"" &amp; $B$16 &amp; ""'!"" &amp; $B57 &amp; "":"" &amp; $B57), INDIRECT(""'"" &amp; $B$16 &amp; ""'!"" &amp; $B$17 &amp; "":"" &amp; $B$17) = S$21, ISNUMBER(SEARCH($B$4, INDIRECT(""'"" &amp; $B$16 &amp; ""'!"" &amp; $B$12 &amp; "":"" &amp; $B$12)))))"),"#N/A")</f>
        <v>#N/A</v>
      </c>
      <c r="T57" s="310">
        <f t="shared" si="122"/>
        <v>0</v>
      </c>
      <c r="U57" s="310" t="str">
        <f t="shared" si="123"/>
        <v>#N/A</v>
      </c>
      <c r="V57" s="310" t="str">
        <f t="shared" si="124"/>
        <v>#N/A</v>
      </c>
      <c r="W57" s="310" t="str">
        <f t="shared" si="125"/>
        <v>#N/A</v>
      </c>
      <c r="X57" s="310" t="str">
        <f t="shared" si="126"/>
        <v>#N/A</v>
      </c>
      <c r="Y57" s="310">
        <f t="shared" si="127"/>
        <v>0</v>
      </c>
      <c r="Z57" s="310" t="str">
        <f t="shared" si="128"/>
        <v>#N/A</v>
      </c>
      <c r="AA57" s="310" t="str">
        <f t="shared" si="129"/>
        <v>#N/A</v>
      </c>
      <c r="AB57" s="310" t="str">
        <f t="shared" si="130"/>
        <v>#N/A</v>
      </c>
      <c r="AC57" s="310" t="str">
        <f t="shared" si="131"/>
        <v>#N/A</v>
      </c>
      <c r="AD57" s="312">
        <f t="shared" si="132"/>
        <v>0</v>
      </c>
      <c r="AE57" s="312" t="str">
        <f t="shared" si="133"/>
        <v>#N/A</v>
      </c>
      <c r="AF57" s="312" t="str">
        <f t="shared" si="134"/>
        <v>#N/A</v>
      </c>
      <c r="AG57" s="312" t="str">
        <f t="shared" si="135"/>
        <v>#N/A</v>
      </c>
      <c r="AH57" s="312" t="str">
        <f t="shared" si="136"/>
        <v>#N/A</v>
      </c>
      <c r="AI57" s="310" t="str">
        <f t="shared" si="137"/>
        <v>#N/A</v>
      </c>
      <c r="AJ57" s="310" t="str">
        <f t="shared" si="138"/>
        <v>#N/A</v>
      </c>
      <c r="AK57" s="310" t="str">
        <f t="shared" si="139"/>
        <v>#N/A</v>
      </c>
      <c r="AL57" s="313" t="str">
        <f t="shared" si="140"/>
        <v>#N/A</v>
      </c>
      <c r="AM57" s="153" t="str">
        <f t="shared" si="141"/>
        <v>#N/A</v>
      </c>
    </row>
    <row r="58" ht="15.75" customHeight="1">
      <c r="A58" s="309" t="s">
        <v>186</v>
      </c>
      <c r="B58" s="90" t="str">
        <f t="shared" si="119"/>
        <v>$BN</v>
      </c>
      <c r="C58" s="309">
        <v>18.0</v>
      </c>
      <c r="D58" s="310">
        <f t="shared" ref="D58:H58" si="146">COUNTIFS(INDIRECT("'" &amp; $B$16 &amp; "'!" &amp; $B$17 &amp; ":" &amp; $B$17),D$21,INDIRECT("'" &amp; $B$16 &amp; "'!" &amp; $B58 &amp; ":" &amp; $B58),1,INDIRECT("'" &amp; $B$16 &amp; "'!" &amp; $B$12 &amp; ":" &amp; $B$12), "*" &amp; $B$4 &amp; "*")
</f>
        <v>0</v>
      </c>
      <c r="E58" s="310">
        <f t="shared" si="146"/>
        <v>0</v>
      </c>
      <c r="F58" s="310">
        <f t="shared" si="146"/>
        <v>0</v>
      </c>
      <c r="G58" s="310">
        <f t="shared" si="146"/>
        <v>0</v>
      </c>
      <c r="H58" s="310">
        <f t="shared" si="146"/>
        <v>0</v>
      </c>
      <c r="I58" s="310">
        <f t="shared" si="121"/>
        <v>0</v>
      </c>
      <c r="J58" s="311">
        <f>IFERROR(__xludf.DUMMYFUNCTION("VAR.S(FILTER(INDIRECT(""'"" &amp; $B$16 &amp; ""'!"" &amp; $B58 &amp; "":"" &amp; $B58), INDIRECT(""'"" &amp; $B$16 &amp; ""'!"" &amp; $B$17 &amp; "":"" &amp; $B$17) = J$21, ISNUMBER(SEARCH($B$4, INDIRECT(""'"" &amp; $B$16 &amp; ""'!"" &amp; $B$12 &amp; "":"" &amp; $B$12)))))/$D$6"),0.0)</f>
        <v>0</v>
      </c>
      <c r="K58" s="311" t="str">
        <f>IFERROR(__xludf.DUMMYFUNCTION("VAR.S(FILTER(INDIRECT(""'"" &amp; $B$16 &amp; ""'!"" &amp; $B58 &amp; "":"" &amp; $B58), INDIRECT(""'"" &amp; $B$16 &amp; ""'!"" &amp; $B$17 &amp; "":"" &amp; $B$17) = K$21, ISNUMBER(SEARCH($B$4, INDIRECT(""'"" &amp; $B$16 &amp; ""'!"" &amp; $B$12 &amp; "":"" &amp; $B$12)))))/$D$7"),"#N/A")</f>
        <v>#N/A</v>
      </c>
      <c r="L58" s="311" t="str">
        <f>IFERROR(__xludf.DUMMYFUNCTION("VAR.S(FILTER(INDIRECT(""'"" &amp; $B$16 &amp; ""'!"" &amp; $B58 &amp; "":"" &amp; $B58), INDIRECT(""'"" &amp; $B$16 &amp; ""'!"" &amp; $B$17 &amp; "":"" &amp; $B$17) = L$21, ISNUMBER(SEARCH($B$4, INDIRECT(""'"" &amp; $B$16 &amp; ""'!"" &amp; $B$12 &amp; "":"" &amp; $B$12)))))/$D$8"),"#N/A")</f>
        <v>#N/A</v>
      </c>
      <c r="M58" s="311" t="str">
        <f>IFERROR(__xludf.DUMMYFUNCTION("VAR.S(FILTER(INDIRECT(""'"" &amp; $B$16 &amp; ""'!"" &amp; $B58 &amp; "":"" &amp; $B58), INDIRECT(""'"" &amp; $B$16 &amp; ""'!"" &amp; $B$17 &amp; "":"" &amp; $B$17) = M$21, ISNUMBER(SEARCH($B$4, INDIRECT(""'"" &amp; $B$16 &amp; ""'!"" &amp; $B$12 &amp; "":"" &amp; $B$12)))))/$D$9"),"#N/A")</f>
        <v>#N/A</v>
      </c>
      <c r="N58" s="311" t="str">
        <f>IFERROR(__xludf.DUMMYFUNCTION("VAR.S(FILTER(INDIRECT(""'"" &amp; $B$16 &amp; ""'!"" &amp; $B58 &amp; "":"" &amp; $B58), INDIRECT(""'"" &amp; $B$16 &amp; ""'!"" &amp; $B$17 &amp; "":"" &amp; $B$17) = N$21, ISNUMBER(SEARCH($B$4, INDIRECT(""'"" &amp; $B$16 &amp; ""'!"" &amp; $B$12 &amp; "":"" &amp; $B$12)))))/$D$10"),"#N/A")</f>
        <v>#N/A</v>
      </c>
      <c r="O58" s="312">
        <f>IFERROR(__xludf.DUMMYFUNCTION("AVERAGE(FILTER(INDIRECT(""'"" &amp; $B$16 &amp; ""'!"" &amp; $B58 &amp; "":"" &amp; $B58), INDIRECT(""'"" &amp; $B$16 &amp; ""'!"" &amp; $B$17 &amp; "":"" &amp; $B$17) = O$21, ISNUMBER(SEARCH($B$4, INDIRECT(""'"" &amp; $B$16 &amp; ""'!"" &amp; $B$12 &amp; "":"" &amp; $B$12)))))"),0.0)</f>
        <v>0</v>
      </c>
      <c r="P58" s="312" t="str">
        <f>IFERROR(__xludf.DUMMYFUNCTION("AVERAGE(FILTER(INDIRECT(""'"" &amp; $B$16 &amp; ""'!"" &amp; $B58 &amp; "":"" &amp; $B58), INDIRECT(""'"" &amp; $B$16 &amp; ""'!"" &amp; $B$17 &amp; "":"" &amp; $B$17) = P$21, ISNUMBER(SEARCH($B$4, INDIRECT(""'"" &amp; $B$16 &amp; ""'!"" &amp; $B$12 &amp; "":"" &amp; $B$12)))))"),"#N/A")</f>
        <v>#N/A</v>
      </c>
      <c r="Q58" s="312" t="str">
        <f>IFERROR(__xludf.DUMMYFUNCTION("AVERAGE(FILTER(INDIRECT(""'"" &amp; $B$16 &amp; ""'!"" &amp; $B58 &amp; "":"" &amp; $B58), INDIRECT(""'"" &amp; $B$16 &amp; ""'!"" &amp; $B$17 &amp; "":"" &amp; $B$17) = Q$21, ISNUMBER(SEARCH($B$4, INDIRECT(""'"" &amp; $B$16 &amp; ""'!"" &amp; $B$12 &amp; "":"" &amp; $B$12)))))"),"#N/A")</f>
        <v>#N/A</v>
      </c>
      <c r="R58" s="312" t="str">
        <f>IFERROR(__xludf.DUMMYFUNCTION("AVERAGE(FILTER(INDIRECT(""'"" &amp; $B$16 &amp; ""'!"" &amp; $B58 &amp; "":"" &amp; $B58), INDIRECT(""'"" &amp; $B$16 &amp; ""'!"" &amp; $B$17 &amp; "":"" &amp; $B$17) = R$21, ISNUMBER(SEARCH($B$4, INDIRECT(""'"" &amp; $B$16 &amp; ""'!"" &amp; $B$12 &amp; "":"" &amp; $B$12)))))"),"#N/A")</f>
        <v>#N/A</v>
      </c>
      <c r="S58" s="312" t="str">
        <f>IFERROR(__xludf.DUMMYFUNCTION("AVERAGE(FILTER(INDIRECT(""'"" &amp; $B$16 &amp; ""'!"" &amp; $B58 &amp; "":"" &amp; $B58), INDIRECT(""'"" &amp; $B$16 &amp; ""'!"" &amp; $B$17 &amp; "":"" &amp; $B$17) = S$21, ISNUMBER(SEARCH($B$4, INDIRECT(""'"" &amp; $B$16 &amp; ""'!"" &amp; $B$12 &amp; "":"" &amp; $B$12)))))"),"#N/A")</f>
        <v>#N/A</v>
      </c>
      <c r="T58" s="310">
        <f t="shared" si="122"/>
        <v>0</v>
      </c>
      <c r="U58" s="310" t="str">
        <f t="shared" si="123"/>
        <v>#N/A</v>
      </c>
      <c r="V58" s="310" t="str">
        <f t="shared" si="124"/>
        <v>#N/A</v>
      </c>
      <c r="W58" s="310" t="str">
        <f t="shared" si="125"/>
        <v>#N/A</v>
      </c>
      <c r="X58" s="310" t="str">
        <f t="shared" si="126"/>
        <v>#N/A</v>
      </c>
      <c r="Y58" s="310">
        <f t="shared" si="127"/>
        <v>0</v>
      </c>
      <c r="Z58" s="310" t="str">
        <f t="shared" si="128"/>
        <v>#N/A</v>
      </c>
      <c r="AA58" s="310" t="str">
        <f t="shared" si="129"/>
        <v>#N/A</v>
      </c>
      <c r="AB58" s="310" t="str">
        <f t="shared" si="130"/>
        <v>#N/A</v>
      </c>
      <c r="AC58" s="310" t="str">
        <f t="shared" si="131"/>
        <v>#N/A</v>
      </c>
      <c r="AD58" s="312">
        <f t="shared" si="132"/>
        <v>0</v>
      </c>
      <c r="AE58" s="312" t="str">
        <f t="shared" si="133"/>
        <v>#N/A</v>
      </c>
      <c r="AF58" s="312" t="str">
        <f t="shared" si="134"/>
        <v>#N/A</v>
      </c>
      <c r="AG58" s="312" t="str">
        <f t="shared" si="135"/>
        <v>#N/A</v>
      </c>
      <c r="AH58" s="312" t="str">
        <f t="shared" si="136"/>
        <v>#N/A</v>
      </c>
      <c r="AI58" s="310" t="str">
        <f t="shared" si="137"/>
        <v>#N/A</v>
      </c>
      <c r="AJ58" s="310" t="str">
        <f t="shared" si="138"/>
        <v>#N/A</v>
      </c>
      <c r="AK58" s="310" t="str">
        <f t="shared" si="139"/>
        <v>#N/A</v>
      </c>
      <c r="AL58" s="313" t="str">
        <f t="shared" si="140"/>
        <v>#N/A</v>
      </c>
      <c r="AM58" s="153" t="str">
        <f t="shared" si="141"/>
        <v>#N/A</v>
      </c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07">
        <f>SUM(I52:I58,I51,I41,I31)</f>
        <v>3</v>
      </c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2" t="str">
        <f>SUM(AK22:AK58)</f>
        <v>#N/A</v>
      </c>
      <c r="AL59" s="85"/>
      <c r="AM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D4"/>
    <mergeCell ref="D20:I20"/>
    <mergeCell ref="J20:N20"/>
    <mergeCell ref="O20:S20"/>
    <mergeCell ref="T20:X20"/>
    <mergeCell ref="Y20:AC20"/>
    <mergeCell ref="AD20:AH20"/>
  </mergeCells>
  <conditionalFormatting sqref="I59">
    <cfRule type="expression" dxfId="0" priority="1">
      <formula>I59=D11</formula>
    </cfRule>
  </conditionalFormatting>
  <conditionalFormatting sqref="I59">
    <cfRule type="expression" dxfId="2" priority="2">
      <formula>I59&lt;&gt;D11</formula>
    </cfRule>
  </conditionalFormatting>
  <conditionalFormatting sqref="I31">
    <cfRule type="expression" dxfId="0" priority="3">
      <formula>I31=INDIRECT("'TNT 2015-2022'!H26")</formula>
    </cfRule>
  </conditionalFormatting>
  <conditionalFormatting sqref="I31">
    <cfRule type="expression" dxfId="2" priority="4">
      <formula>I31&lt;&gt;INDIRECT("'TNT 2015-2022'!H26")</formula>
    </cfRule>
  </conditionalFormatting>
  <conditionalFormatting sqref="I41">
    <cfRule type="expression" dxfId="0" priority="5">
      <formula>I41=INDIRECT("'TNT 2015-2022'!H34")</formula>
    </cfRule>
  </conditionalFormatting>
  <conditionalFormatting sqref="I41">
    <cfRule type="expression" dxfId="2" priority="6">
      <formula>I41&lt;&gt;INDIRECT("'TNT 2015-2022'!H35")</formula>
    </cfRule>
  </conditionalFormatting>
  <conditionalFormatting sqref="I51">
    <cfRule type="expression" dxfId="0" priority="7">
      <formula>I51=INDIRECT("''TNT 2015-2022'!H39")</formula>
    </cfRule>
  </conditionalFormatting>
  <conditionalFormatting sqref="I51">
    <cfRule type="expression" dxfId="2" priority="8">
      <formula>I51&lt;&gt;INDIRECT("''TNT 2015-2022'!H39")</formula>
    </cfRule>
  </conditionalFormatting>
  <conditionalFormatting sqref="AK59">
    <cfRule type="expression" dxfId="0" priority="9">
      <formula>AK59=B2</formula>
    </cfRule>
  </conditionalFormatting>
  <conditionalFormatting sqref="AK59">
    <cfRule type="expression" dxfId="2" priority="10">
      <formula>AK59&lt;&gt;B2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3" width="12.63"/>
    <col customWidth="1" min="4" max="39" width="9.88"/>
  </cols>
  <sheetData>
    <row r="1" ht="15.75" customHeight="1">
      <c r="A1" s="314"/>
      <c r="B1" s="112"/>
      <c r="C1" s="112"/>
      <c r="D1" s="112"/>
      <c r="E1" s="85"/>
      <c r="F1" s="123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</row>
    <row r="2" ht="15.75" customHeight="1">
      <c r="A2" s="269" t="s">
        <v>483</v>
      </c>
      <c r="B2" s="270">
        <f>B11</f>
        <v>61795872</v>
      </c>
      <c r="D2" s="112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</row>
    <row r="3" ht="15.75" customHeight="1">
      <c r="A3" s="85"/>
      <c r="B3" s="112"/>
      <c r="C3" s="112"/>
      <c r="D3" s="112"/>
      <c r="E3" s="85"/>
      <c r="F3" s="85"/>
      <c r="G3" s="85"/>
      <c r="H3" s="85" t="s">
        <v>564</v>
      </c>
      <c r="I3" s="85" t="s">
        <v>486</v>
      </c>
      <c r="J3" s="85" t="s">
        <v>565</v>
      </c>
      <c r="K3" s="85"/>
      <c r="L3" s="85" t="s">
        <v>487</v>
      </c>
      <c r="M3" s="85" t="s">
        <v>566</v>
      </c>
      <c r="P3" s="85"/>
      <c r="Q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ht="15.75" customHeight="1">
      <c r="A4" s="63" t="s">
        <v>488</v>
      </c>
      <c r="B4" s="64">
        <v>2023.0</v>
      </c>
      <c r="C4" s="65"/>
      <c r="D4" s="66"/>
      <c r="E4" s="85"/>
      <c r="F4" s="85"/>
      <c r="G4" s="85"/>
      <c r="H4" s="315" t="s">
        <v>569</v>
      </c>
      <c r="I4" s="272" t="str">
        <f t="shared" ref="I4:J4" si="1">AK22</f>
        <v>#N/A</v>
      </c>
      <c r="J4" s="273" t="str">
        <f t="shared" si="1"/>
        <v>#N/A</v>
      </c>
      <c r="K4" s="85" t="str">
        <f t="shared" ref="K4:K12" si="4">H4</f>
        <v>Dense forest</v>
      </c>
      <c r="L4" s="272" t="str">
        <f t="shared" ref="L4:M4" si="2">AK32</f>
        <v>#N/A</v>
      </c>
      <c r="M4" s="274" t="str">
        <f t="shared" si="2"/>
        <v>#N/A</v>
      </c>
      <c r="P4" s="85"/>
      <c r="Q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ht="15.75" customHeight="1">
      <c r="A5" s="275" t="s">
        <v>489</v>
      </c>
      <c r="B5" s="276" t="s">
        <v>509</v>
      </c>
      <c r="C5" s="276" t="s">
        <v>491</v>
      </c>
      <c r="D5" s="277" t="s">
        <v>492</v>
      </c>
      <c r="F5" s="85"/>
      <c r="G5" s="85"/>
      <c r="H5" s="315" t="s">
        <v>570</v>
      </c>
      <c r="I5" s="272" t="str">
        <f t="shared" ref="I5:J5" si="3">AK23</f>
        <v>#N/A</v>
      </c>
      <c r="J5" s="273" t="str">
        <f t="shared" si="3"/>
        <v>#N/A</v>
      </c>
      <c r="K5" s="85" t="str">
        <f t="shared" si="4"/>
        <v>Dense dry forest</v>
      </c>
      <c r="L5" s="272" t="str">
        <f t="shared" ref="L5:M5" si="5">AK33</f>
        <v>#N/A</v>
      </c>
      <c r="M5" s="274" t="str">
        <f t="shared" si="5"/>
        <v>#N/A</v>
      </c>
      <c r="P5" s="85"/>
      <c r="Q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</row>
    <row r="6" ht="15.75" customHeight="1">
      <c r="A6" s="278">
        <v>1.0</v>
      </c>
      <c r="B6" s="279">
        <f>'TNT 2023'!B6</f>
        <v>39982094</v>
      </c>
      <c r="C6" s="280">
        <f t="shared" ref="C6:C10" si="8">B6/$B$11</f>
        <v>0.6470026671</v>
      </c>
      <c r="D6" s="281">
        <f>'TNT 2023'!D6</f>
        <v>0</v>
      </c>
      <c r="F6" s="85"/>
      <c r="G6" s="85"/>
      <c r="H6" s="315" t="s">
        <v>571</v>
      </c>
      <c r="I6" s="272" t="str">
        <f t="shared" ref="I6:J6" si="6">AK24</f>
        <v>#N/A</v>
      </c>
      <c r="J6" s="273" t="str">
        <f t="shared" si="6"/>
        <v>#N/A</v>
      </c>
      <c r="K6" s="85" t="str">
        <f t="shared" si="4"/>
        <v>Secondary forest</v>
      </c>
      <c r="L6" s="272" t="str">
        <f t="shared" ref="L6:M6" si="7">AK34</f>
        <v>#N/A</v>
      </c>
      <c r="M6" s="274" t="str">
        <f t="shared" si="7"/>
        <v>#N/A</v>
      </c>
      <c r="P6" s="85"/>
      <c r="Q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</row>
    <row r="7" ht="15.75" customHeight="1">
      <c r="A7" s="278">
        <v>2.0</v>
      </c>
      <c r="B7" s="279">
        <f>'TNT 2023'!B7</f>
        <v>10961575</v>
      </c>
      <c r="C7" s="280">
        <f t="shared" si="8"/>
        <v>0.1773836123</v>
      </c>
      <c r="D7" s="281">
        <f>'TNT 2023'!D7</f>
        <v>0</v>
      </c>
      <c r="F7" s="85"/>
      <c r="G7" s="85"/>
      <c r="H7" s="315" t="s">
        <v>572</v>
      </c>
      <c r="I7" s="272" t="str">
        <f t="shared" ref="I7:J7" si="9">AK25</f>
        <v>#N/A</v>
      </c>
      <c r="J7" s="273" t="str">
        <f t="shared" si="9"/>
        <v>#N/A</v>
      </c>
      <c r="K7" s="85" t="str">
        <f t="shared" si="4"/>
        <v>Dry open forest</v>
      </c>
      <c r="L7" s="272" t="str">
        <f t="shared" ref="L7:M7" si="10">AK35</f>
        <v>#N/A</v>
      </c>
      <c r="M7" s="274" t="str">
        <f t="shared" si="10"/>
        <v>#N/A</v>
      </c>
      <c r="P7" s="85"/>
      <c r="Q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</row>
    <row r="8" ht="15.75" customHeight="1">
      <c r="A8" s="278">
        <v>3.0</v>
      </c>
      <c r="B8" s="279">
        <f>'TNT 2023'!B8</f>
        <v>6411098</v>
      </c>
      <c r="C8" s="280">
        <f t="shared" si="8"/>
        <v>0.1037463797</v>
      </c>
      <c r="D8" s="281">
        <f>'TNT 2023'!D8</f>
        <v>0</v>
      </c>
      <c r="F8" s="85"/>
      <c r="G8" s="85"/>
      <c r="H8" s="315" t="s">
        <v>85</v>
      </c>
      <c r="I8" s="272" t="str">
        <f t="shared" ref="I8:J8" si="11">AK26</f>
        <v>#N/A</v>
      </c>
      <c r="J8" s="273" t="str">
        <f t="shared" si="11"/>
        <v>#N/A</v>
      </c>
      <c r="K8" s="85" t="str">
        <f t="shared" si="4"/>
        <v>Mangrove</v>
      </c>
      <c r="L8" s="272" t="str">
        <f t="shared" ref="L8:M8" si="12">AK36</f>
        <v>#N/A</v>
      </c>
      <c r="M8" s="274" t="str">
        <f t="shared" si="12"/>
        <v>#N/A</v>
      </c>
      <c r="P8" s="85"/>
      <c r="Q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</row>
    <row r="9" ht="15.75" customHeight="1">
      <c r="A9" s="278">
        <v>4.0</v>
      </c>
      <c r="B9" s="279">
        <f>'TNT 2023'!B9</f>
        <v>3350002</v>
      </c>
      <c r="C9" s="280">
        <f t="shared" si="8"/>
        <v>0.05421077317</v>
      </c>
      <c r="D9" s="281">
        <f>'TNT 2023'!D9</f>
        <v>0</v>
      </c>
      <c r="F9" s="227"/>
      <c r="G9" s="85"/>
      <c r="H9" s="315" t="s">
        <v>316</v>
      </c>
      <c r="I9" s="272" t="str">
        <f t="shared" ref="I9:J9" si="13">AK27</f>
        <v>#N/A</v>
      </c>
      <c r="J9" s="273" t="str">
        <f t="shared" si="13"/>
        <v>#N/A</v>
      </c>
      <c r="K9" s="85" t="str">
        <f t="shared" si="4"/>
        <v>Swamp</v>
      </c>
      <c r="L9" s="272" t="str">
        <f t="shared" ref="L9:M9" si="14">AK37</f>
        <v>#N/A</v>
      </c>
      <c r="M9" s="274" t="str">
        <f t="shared" si="14"/>
        <v>#N/A</v>
      </c>
      <c r="P9" s="85"/>
      <c r="Q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</row>
    <row r="10" ht="15.75" customHeight="1">
      <c r="A10" s="278">
        <v>5.0</v>
      </c>
      <c r="B10" s="279">
        <f>'TNT 2023'!B10</f>
        <v>1091103</v>
      </c>
      <c r="C10" s="280">
        <f t="shared" si="8"/>
        <v>0.01765656774</v>
      </c>
      <c r="D10" s="281">
        <f>'TNT 2023'!D10</f>
        <v>0</v>
      </c>
      <c r="F10" s="227"/>
      <c r="G10" s="85"/>
      <c r="H10" s="315" t="s">
        <v>573</v>
      </c>
      <c r="I10" s="272" t="str">
        <f t="shared" ref="I10:J10" si="15">AK28</f>
        <v>#N/A</v>
      </c>
      <c r="J10" s="273" t="str">
        <f t="shared" si="15"/>
        <v>#N/A</v>
      </c>
      <c r="K10" s="85" t="str">
        <f t="shared" si="4"/>
        <v>Gallery forest</v>
      </c>
      <c r="L10" s="272" t="str">
        <f t="shared" ref="L10:M10" si="16">AK38</f>
        <v>#N/A</v>
      </c>
      <c r="M10" s="274" t="str">
        <f t="shared" si="16"/>
        <v>#N/A</v>
      </c>
      <c r="P10" s="85"/>
      <c r="Q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</row>
    <row r="11" ht="15.75" customHeight="1">
      <c r="A11" s="282" t="s">
        <v>506</v>
      </c>
      <c r="B11" s="283">
        <f t="shared" ref="B11:D11" si="17">SUM(B6:B10)</f>
        <v>61795872</v>
      </c>
      <c r="C11" s="284">
        <f t="shared" si="17"/>
        <v>1</v>
      </c>
      <c r="D11" s="285">
        <f t="shared" si="17"/>
        <v>0</v>
      </c>
      <c r="F11" s="227"/>
      <c r="G11" s="85"/>
      <c r="H11" s="315" t="s">
        <v>322</v>
      </c>
      <c r="I11" s="272" t="str">
        <f t="shared" ref="I11:J11" si="18">AK29</f>
        <v>#N/A</v>
      </c>
      <c r="J11" s="273" t="str">
        <f t="shared" si="18"/>
        <v>#N/A</v>
      </c>
      <c r="K11" s="85" t="str">
        <f t="shared" si="4"/>
        <v>Plantation</v>
      </c>
      <c r="L11" s="272" t="str">
        <f t="shared" ref="L11:M11" si="19">AK39</f>
        <v>#N/A</v>
      </c>
      <c r="M11" s="274" t="str">
        <f t="shared" si="19"/>
        <v>#N/A</v>
      </c>
      <c r="P11" s="85"/>
      <c r="Q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</row>
    <row r="12" ht="15.75" customHeight="1">
      <c r="A12" s="59" t="s">
        <v>574</v>
      </c>
      <c r="B12" s="213" t="str">
        <f>'TNT 2015-2022'!B12</f>
        <v>$AB</v>
      </c>
      <c r="C12" s="85"/>
      <c r="D12" s="85"/>
      <c r="E12" s="85"/>
      <c r="F12" s="85"/>
      <c r="G12" s="216"/>
      <c r="H12" s="315" t="s">
        <v>325</v>
      </c>
      <c r="I12" s="272" t="str">
        <f t="shared" ref="I12:J12" si="20">AK30</f>
        <v>#N/A</v>
      </c>
      <c r="J12" s="273" t="str">
        <f t="shared" si="20"/>
        <v>#N/A</v>
      </c>
      <c r="K12" s="85" t="str">
        <f t="shared" si="4"/>
        <v>Woodland</v>
      </c>
      <c r="L12" s="272" t="str">
        <f t="shared" ref="L12:M12" si="21">AK40</f>
        <v>#N/A</v>
      </c>
      <c r="M12" s="274" t="str">
        <f t="shared" si="21"/>
        <v>#N/A</v>
      </c>
      <c r="P12" s="85"/>
      <c r="Q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</row>
    <row r="13" ht="15.75" customHeight="1">
      <c r="A13" s="85"/>
      <c r="B13" s="85"/>
      <c r="C13" s="85"/>
      <c r="D13" s="85"/>
      <c r="E13" s="85"/>
      <c r="F13" s="85"/>
      <c r="G13" s="216"/>
      <c r="H13" s="271"/>
      <c r="I13" s="272" t="str">
        <f t="shared" ref="I13:J13" si="22">AK31</f>
        <v/>
      </c>
      <c r="J13" s="273" t="str">
        <f t="shared" si="22"/>
        <v/>
      </c>
      <c r="K13" s="85"/>
      <c r="L13" s="272" t="str">
        <f t="shared" ref="L13:M13" si="23">AK41</f>
        <v/>
      </c>
      <c r="M13" s="286" t="str">
        <f t="shared" si="23"/>
        <v/>
      </c>
      <c r="P13" s="85"/>
      <c r="Q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</row>
    <row r="14" ht="15.75" customHeight="1">
      <c r="A14" s="87" t="s">
        <v>493</v>
      </c>
      <c r="B14" s="316">
        <v>1.645</v>
      </c>
      <c r="D14" s="85"/>
      <c r="E14" s="85"/>
      <c r="F14" s="85"/>
      <c r="G14" s="85"/>
      <c r="H14" s="271"/>
      <c r="I14" s="272"/>
      <c r="J14" s="273"/>
      <c r="K14" s="85"/>
      <c r="L14" s="272"/>
      <c r="M14" s="286"/>
      <c r="P14" s="85"/>
      <c r="Q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</row>
    <row r="15" ht="15.75" customHeight="1">
      <c r="A15" s="85"/>
      <c r="B15" s="85"/>
      <c r="C15" s="85"/>
      <c r="D15" s="85"/>
      <c r="E15" s="85"/>
      <c r="F15" s="85"/>
      <c r="G15" s="85"/>
      <c r="H15" s="271"/>
      <c r="I15" s="272"/>
      <c r="J15" s="273"/>
      <c r="K15" s="85"/>
      <c r="L15" s="272"/>
      <c r="M15" s="286"/>
      <c r="P15" s="85"/>
      <c r="Q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</row>
    <row r="16" ht="15.75" customHeight="1">
      <c r="A16" s="89" t="s">
        <v>8</v>
      </c>
      <c r="B16" s="90" t="str">
        <f>'TNT 2023'!B16</f>
        <v>CEO 2015-2023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</row>
    <row r="17" ht="15.75" customHeight="1">
      <c r="A17" s="89" t="s">
        <v>575</v>
      </c>
      <c r="B17" s="90" t="str">
        <f t="shared" ref="B17:B20" si="24">IFERROR("$" &amp; SUBSTITUTE(ADDRESS(1, MATCH(A17, INDIRECT("'" &amp; $B$16 &amp; "'!1:1"), 0), 4), "1", ""), "Not Found")
</f>
        <v>$C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</row>
    <row r="18" ht="15.75" customHeight="1">
      <c r="A18" s="89" t="s">
        <v>253</v>
      </c>
      <c r="B18" s="90" t="str">
        <f t="shared" si="24"/>
        <v>$AD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</row>
    <row r="19" ht="15.75" customHeight="1">
      <c r="A19" s="82" t="s">
        <v>259</v>
      </c>
      <c r="B19" s="90" t="str">
        <f t="shared" si="24"/>
        <v>$AF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ht="15.75" customHeight="1">
      <c r="A20" s="82" t="s">
        <v>462</v>
      </c>
      <c r="B20" s="90" t="str">
        <f t="shared" si="24"/>
        <v>$DC</v>
      </c>
      <c r="C20" s="85"/>
      <c r="D20" s="229" t="s">
        <v>494</v>
      </c>
      <c r="E20" s="65"/>
      <c r="F20" s="65"/>
      <c r="G20" s="65"/>
      <c r="H20" s="65"/>
      <c r="I20" s="66"/>
      <c r="J20" s="231" t="s">
        <v>495</v>
      </c>
      <c r="K20" s="65"/>
      <c r="L20" s="65"/>
      <c r="M20" s="65"/>
      <c r="N20" s="65"/>
      <c r="O20" s="231" t="s">
        <v>496</v>
      </c>
      <c r="P20" s="65"/>
      <c r="Q20" s="65"/>
      <c r="R20" s="65"/>
      <c r="S20" s="65"/>
      <c r="T20" s="98" t="s">
        <v>497</v>
      </c>
      <c r="U20" s="65"/>
      <c r="V20" s="65"/>
      <c r="W20" s="65"/>
      <c r="X20" s="65"/>
      <c r="Y20" s="98" t="s">
        <v>498</v>
      </c>
      <c r="Z20" s="65"/>
      <c r="AA20" s="65"/>
      <c r="AB20" s="65"/>
      <c r="AC20" s="65"/>
      <c r="AD20" s="98" t="s">
        <v>499</v>
      </c>
      <c r="AE20" s="65"/>
      <c r="AF20" s="65"/>
      <c r="AG20" s="65"/>
      <c r="AH20" s="66"/>
    </row>
    <row r="21" ht="15.75" customHeight="1">
      <c r="A21" s="287" t="s">
        <v>486</v>
      </c>
      <c r="B21" s="89" t="s">
        <v>471</v>
      </c>
      <c r="C21" s="89" t="s">
        <v>567</v>
      </c>
      <c r="D21" s="234">
        <v>1.0</v>
      </c>
      <c r="E21" s="235">
        <v>2.0</v>
      </c>
      <c r="F21" s="235">
        <v>3.0</v>
      </c>
      <c r="G21" s="235">
        <v>4.0</v>
      </c>
      <c r="H21" s="234">
        <v>5.0</v>
      </c>
      <c r="I21" s="89" t="s">
        <v>500</v>
      </c>
      <c r="J21" s="234">
        <v>1.0</v>
      </c>
      <c r="K21" s="234">
        <v>2.0</v>
      </c>
      <c r="L21" s="234">
        <v>3.0</v>
      </c>
      <c r="M21" s="234">
        <v>4.0</v>
      </c>
      <c r="N21" s="234">
        <v>5.0</v>
      </c>
      <c r="O21" s="234">
        <v>1.0</v>
      </c>
      <c r="P21" s="234">
        <v>2.0</v>
      </c>
      <c r="Q21" s="234">
        <v>3.0</v>
      </c>
      <c r="R21" s="234">
        <v>4.0</v>
      </c>
      <c r="S21" s="234">
        <v>5.0</v>
      </c>
      <c r="T21" s="99">
        <v>1.0</v>
      </c>
      <c r="U21" s="99">
        <v>2.0</v>
      </c>
      <c r="V21" s="99">
        <v>3.0</v>
      </c>
      <c r="W21" s="99">
        <v>4.0</v>
      </c>
      <c r="X21" s="99">
        <v>5.0</v>
      </c>
      <c r="Y21" s="100">
        <v>1.0</v>
      </c>
      <c r="Z21" s="100">
        <v>2.0</v>
      </c>
      <c r="AA21" s="100">
        <v>3.0</v>
      </c>
      <c r="AB21" s="100">
        <v>4.0</v>
      </c>
      <c r="AC21" s="100">
        <v>5.0</v>
      </c>
      <c r="AD21" s="101">
        <v>1.0</v>
      </c>
      <c r="AE21" s="101">
        <v>2.0</v>
      </c>
      <c r="AF21" s="101">
        <v>3.0</v>
      </c>
      <c r="AG21" s="101">
        <v>4.0</v>
      </c>
      <c r="AH21" s="101">
        <v>5.0</v>
      </c>
      <c r="AI21" s="97" t="s">
        <v>501</v>
      </c>
      <c r="AJ21" s="97" t="s">
        <v>502</v>
      </c>
      <c r="AK21" s="63" t="s">
        <v>503</v>
      </c>
      <c r="AL21" s="89" t="s">
        <v>504</v>
      </c>
      <c r="AM21" s="89" t="s">
        <v>505</v>
      </c>
    </row>
    <row r="22" ht="15.75" customHeight="1">
      <c r="A22" s="271" t="s">
        <v>348</v>
      </c>
      <c r="B22" s="90" t="str">
        <f t="shared" ref="B22:B30" si="26">IFERROR("$" &amp; SUBSTITUTE(ADDRESS(1, MATCH(A22, INDIRECT("'" &amp; $B$16 &amp; "'!1:1"), 0), 4), "1", ""), "Not Found")
</f>
        <v>$BO</v>
      </c>
      <c r="C22" s="288">
        <v>1.0</v>
      </c>
      <c r="D22" s="289">
        <f t="shared" ref="D22:H22" si="25">COUNTIFS(INDIRECT("'" &amp; $B$16 &amp; "'!" &amp; $B$17 &amp; ":" &amp; $B$17),D$21,INDIRECT("'" &amp; $B$16 &amp; "'!" &amp; $B22 &amp; ":" &amp; $B22),1,INDIRECT("'" &amp; $B$16 &amp; "'!" &amp; $B$12 &amp; ":" &amp; $B$12), "*" &amp; $B$4 &amp; "*")
</f>
        <v>0</v>
      </c>
      <c r="E22" s="289">
        <f t="shared" si="25"/>
        <v>0</v>
      </c>
      <c r="F22" s="289">
        <f t="shared" si="25"/>
        <v>0</v>
      </c>
      <c r="G22" s="289">
        <f t="shared" si="25"/>
        <v>0</v>
      </c>
      <c r="H22" s="289">
        <f t="shared" si="25"/>
        <v>0</v>
      </c>
      <c r="I22" s="289">
        <f t="shared" ref="I22:I30" si="28">SUM(D22:H22)</f>
        <v>0</v>
      </c>
      <c r="J22" s="290" t="str">
        <f>IFERROR(__xludf.DUMMYFUNCTION("VAR.S(FILTER(INDIRECT(""'"" &amp; $B$16 &amp; ""'!"" &amp; $B22 &amp; "":"" &amp; $B22), INDIRECT(""'"" &amp; $B$16 &amp; ""'!"" &amp; $B$17 &amp; "":"" &amp; $B$17) = J$21, ISNUMBER(SEARCH($B$4, INDIRECT(""'"" &amp; $B$16 &amp; ""'!"" &amp; $B$12 &amp; "":"" &amp; $B$12)))))/$D$6"),"#N/A")</f>
        <v>#N/A</v>
      </c>
      <c r="K22" s="290" t="str">
        <f>IFERROR(__xludf.DUMMYFUNCTION("VAR.S(FILTER(INDIRECT(""'"" &amp; $B$16 &amp; ""'!"" &amp; $B22 &amp; "":"" &amp; $B22), INDIRECT(""'"" &amp; $B$16 &amp; ""'!"" &amp; $B$17 &amp; "":"" &amp; $B$17) = K$21, ISNUMBER(SEARCH($B$4, INDIRECT(""'"" &amp; $B$16 &amp; ""'!"" &amp; $B$12 &amp; "":"" &amp; $B$12)))))/$D$7"),"#N/A")</f>
        <v>#N/A</v>
      </c>
      <c r="L22" s="290" t="str">
        <f>IFERROR(__xludf.DUMMYFUNCTION("VAR.S(FILTER(INDIRECT(""'"" &amp; $B$16 &amp; ""'!"" &amp; $B22 &amp; "":"" &amp; $B22), INDIRECT(""'"" &amp; $B$16 &amp; ""'!"" &amp; $B$17 &amp; "":"" &amp; $B$17) = L$21, ISNUMBER(SEARCH($B$4, INDIRECT(""'"" &amp; $B$16 &amp; ""'!"" &amp; $B$12 &amp; "":"" &amp; $B$12)))))/$D$8"),"#N/A")</f>
        <v>#N/A</v>
      </c>
      <c r="M22" s="290" t="str">
        <f>IFERROR(__xludf.DUMMYFUNCTION("VAR.S(FILTER(INDIRECT(""'"" &amp; $B$16 &amp; ""'!"" &amp; $B22 &amp; "":"" &amp; $B22), INDIRECT(""'"" &amp; $B$16 &amp; ""'!"" &amp; $B$17 &amp; "":"" &amp; $B$17) = M$21, ISNUMBER(SEARCH($B$4, INDIRECT(""'"" &amp; $B$16 &amp; ""'!"" &amp; $B$12 &amp; "":"" &amp; $B$12)))))/$D$9"),"#N/A")</f>
        <v>#N/A</v>
      </c>
      <c r="N22" s="290" t="str">
        <f>IFERROR(__xludf.DUMMYFUNCTION("VAR.S(FILTER(INDIRECT(""'"" &amp; $B$16 &amp; ""'!"" &amp; $B22 &amp; "":"" &amp; $B22), INDIRECT(""'"" &amp; $B$16 &amp; ""'!"" &amp; $B$17 &amp; "":"" &amp; $B$17) = N$21, ISNUMBER(SEARCH($B$4, INDIRECT(""'"" &amp; $B$16 &amp; ""'!"" &amp; $B$12 &amp; "":"" &amp; $B$12)))))/$D$10"),"#N/A")</f>
        <v>#N/A</v>
      </c>
      <c r="O22" s="291" t="str">
        <f>IFERROR(__xludf.DUMMYFUNCTION("AVERAGE(FILTER(INDIRECT(""'"" &amp; $B$16 &amp; ""'!"" &amp; $B22 &amp; "":"" &amp; $B22), INDIRECT(""'"" &amp; $B$16 &amp; ""'!"" &amp; $B$17 &amp; "":"" &amp; $B$17) = J$21, ISNUMBER(SEARCH($B$4, INDIRECT(""'"" &amp; $B$16 &amp; ""'!"" &amp; $B$12 &amp; "":"" &amp; $B$12)))))"),"#N/A")</f>
        <v>#N/A</v>
      </c>
      <c r="P22" s="291" t="str">
        <f>IFERROR(__xludf.DUMMYFUNCTION("AVERAGE(FILTER(INDIRECT(""'"" &amp; $B$16 &amp; ""'!"" &amp; $B22 &amp; "":"" &amp; $B22), INDIRECT(""'"" &amp; $B$16 &amp; ""'!"" &amp; $B$17 &amp; "":"" &amp; $B$17) = K$21, ISNUMBER(SEARCH($B$4, INDIRECT(""'"" &amp; $B$16 &amp; ""'!"" &amp; $B$12 &amp; "":"" &amp; $B$12)))))"),"#N/A")</f>
        <v>#N/A</v>
      </c>
      <c r="Q22" s="291" t="str">
        <f>IFERROR(__xludf.DUMMYFUNCTION("AVERAGE(FILTER(INDIRECT(""'"" &amp; $B$16 &amp; ""'!"" &amp; $B22 &amp; "":"" &amp; $B22), INDIRECT(""'"" &amp; $B$16 &amp; ""'!"" &amp; $B$17 &amp; "":"" &amp; $B$17) = L$21, ISNUMBER(SEARCH($B$4, INDIRECT(""'"" &amp; $B$16 &amp; ""'!"" &amp; $B$12 &amp; "":"" &amp; $B$12)))))"),"#N/A")</f>
        <v>#N/A</v>
      </c>
      <c r="R22" s="291" t="str">
        <f>IFERROR(__xludf.DUMMYFUNCTION("AVERAGE(FILTER(INDIRECT(""'"" &amp; $B$16 &amp; ""'!"" &amp; $B22 &amp; "":"" &amp; $B22), INDIRECT(""'"" &amp; $B$16 &amp; ""'!"" &amp; $B$17 &amp; "":"" &amp; $B$17) = M$21, ISNUMBER(SEARCH($B$4, INDIRECT(""'"" &amp; $B$16 &amp; ""'!"" &amp; $B$12 &amp; "":"" &amp; $B$12)))))"),"#N/A")</f>
        <v>#N/A</v>
      </c>
      <c r="S22" s="291" t="str">
        <f>IFERROR(__xludf.DUMMYFUNCTION("AVERAGE(FILTER(INDIRECT(""'"" &amp; $B$16 &amp; ""'!"" &amp; $B22 &amp; "":"" &amp; $B22), INDIRECT(""'"" &amp; $B$16 &amp; ""'!"" &amp; $B$17 &amp; "":"" &amp; $B$17) = N$21, ISNUMBER(SEARCH($B$4, INDIRECT(""'"" &amp; $B$16 &amp; ""'!"" &amp; $B$12 &amp; "":"" &amp; $B$12)))))"),"#N/A")</f>
        <v>#N/A</v>
      </c>
      <c r="T22" s="106" t="str">
        <f t="shared" ref="T22:T30" si="29">($B$6^2*J22)^0.5</f>
        <v>#N/A</v>
      </c>
      <c r="U22" s="106" t="str">
        <f t="shared" ref="U22:U30" si="30">($B$7^2*K22)^0.5</f>
        <v>#N/A</v>
      </c>
      <c r="V22" s="106" t="str">
        <f t="shared" ref="V22:V30" si="31">($B$8^2*L22)^0.5</f>
        <v>#N/A</v>
      </c>
      <c r="W22" s="106" t="str">
        <f t="shared" ref="W22:W30" si="32">($B$9^2*M22)^0.5</f>
        <v>#N/A</v>
      </c>
      <c r="X22" s="106" t="str">
        <f t="shared" ref="X22:X30" si="33">($B$10^2*N22)^0.5</f>
        <v>#N/A</v>
      </c>
      <c r="Y22" s="106" t="str">
        <f t="shared" ref="Y22:Y30" si="34">O22*$B$6</f>
        <v>#N/A</v>
      </c>
      <c r="Z22" s="106" t="str">
        <f t="shared" ref="Z22:Z30" si="35">P22*$B$7</f>
        <v>#N/A</v>
      </c>
      <c r="AA22" s="106" t="str">
        <f t="shared" ref="AA22:AA30" si="36">Q22*$B$8</f>
        <v>#N/A</v>
      </c>
      <c r="AB22" s="106" t="str">
        <f t="shared" ref="AB22:AB30" si="37">R22*$B$9</f>
        <v>#N/A</v>
      </c>
      <c r="AC22" s="106" t="str">
        <f t="shared" ref="AC22:AC30" si="38">S22*$B$10</f>
        <v>#N/A</v>
      </c>
      <c r="AD22" s="107" t="str">
        <f t="shared" ref="AD22:AD30" si="39">O22*$C$6</f>
        <v>#N/A</v>
      </c>
      <c r="AE22" s="107" t="str">
        <f t="shared" ref="AE22:AE30" si="40">P22*$C$7</f>
        <v>#N/A</v>
      </c>
      <c r="AF22" s="107" t="str">
        <f t="shared" ref="AF22:AF30" si="41">Q22*$C$8</f>
        <v>#N/A</v>
      </c>
      <c r="AG22" s="107" t="str">
        <f t="shared" ref="AG22:AG30" si="42">R22*$C$9</f>
        <v>#N/A</v>
      </c>
      <c r="AH22" s="107" t="str">
        <f t="shared" ref="AH22:AH30" si="43">S22*$C$10</f>
        <v>#N/A</v>
      </c>
      <c r="AI22" s="106" t="str">
        <f t="shared" ref="AI22:AI30" si="44">(T22*T22+U22*U22+V22*V22+W22*W22+X22*X22)^0.5</f>
        <v>#N/A</v>
      </c>
      <c r="AJ22" s="106" t="str">
        <f t="shared" ref="AJ22:AJ30" si="45">AI22*$B$14</f>
        <v>#N/A</v>
      </c>
      <c r="AK22" s="108" t="str">
        <f t="shared" ref="AK22:AK30" si="46">SUM(Y22:AC22)</f>
        <v>#N/A</v>
      </c>
      <c r="AL22" s="109" t="str">
        <f t="shared" ref="AL22:AL30" si="47">IF(AJ22=0,0,AJ22/AK22)</f>
        <v>#N/A</v>
      </c>
      <c r="AM22" s="110" t="str">
        <f t="shared" ref="AM22:AM30" si="48">AK22/$B$2</f>
        <v>#N/A</v>
      </c>
    </row>
    <row r="23" ht="15.75" customHeight="1">
      <c r="A23" s="271" t="s">
        <v>351</v>
      </c>
      <c r="B23" s="90" t="str">
        <f t="shared" si="26"/>
        <v>$BP</v>
      </c>
      <c r="C23" s="288">
        <v>2.0</v>
      </c>
      <c r="D23" s="289">
        <f t="shared" ref="D23:H23" si="27">COUNTIFS(INDIRECT("'" &amp; $B$16 &amp; "'!" &amp; $B$17 &amp; ":" &amp; $B$17),D$21,INDIRECT("'" &amp; $B$16 &amp; "'!" &amp; $B23 &amp; ":" &amp; $B23),1,INDIRECT("'" &amp; $B$16 &amp; "'!" &amp; $B$12 &amp; ":" &amp; $B$12), "*" &amp; $B$4 &amp; "*")
</f>
        <v>0</v>
      </c>
      <c r="E23" s="289">
        <f t="shared" si="27"/>
        <v>0</v>
      </c>
      <c r="F23" s="289">
        <f t="shared" si="27"/>
        <v>0</v>
      </c>
      <c r="G23" s="289">
        <f t="shared" si="27"/>
        <v>0</v>
      </c>
      <c r="H23" s="289">
        <f t="shared" si="27"/>
        <v>0</v>
      </c>
      <c r="I23" s="289">
        <f t="shared" si="28"/>
        <v>0</v>
      </c>
      <c r="J23" s="290" t="str">
        <f>IFERROR(__xludf.DUMMYFUNCTION("VAR.S(FILTER(INDIRECT(""'"" &amp; $B$16 &amp; ""'!"" &amp; $B23 &amp; "":"" &amp; $B23), INDIRECT(""'"" &amp; $B$16 &amp; ""'!"" &amp; $B$17 &amp; "":"" &amp; $B$17) = J$21, ISNUMBER(SEARCH($B$4, INDIRECT(""'"" &amp; $B$16 &amp; ""'!"" &amp; $B$12 &amp; "":"" &amp; $B$12)))))/$D$6"),"#N/A")</f>
        <v>#N/A</v>
      </c>
      <c r="K23" s="290" t="str">
        <f>IFERROR(__xludf.DUMMYFUNCTION("VAR.S(FILTER(INDIRECT(""'"" &amp; $B$16 &amp; ""'!"" &amp; $B23 &amp; "":"" &amp; $B23), INDIRECT(""'"" &amp; $B$16 &amp; ""'!"" &amp; $B$17 &amp; "":"" &amp; $B$17) = K$21, ISNUMBER(SEARCH($B$4, INDIRECT(""'"" &amp; $B$16 &amp; ""'!"" &amp; $B$12 &amp; "":"" &amp; $B$12)))))/$D$7"),"#N/A")</f>
        <v>#N/A</v>
      </c>
      <c r="L23" s="290" t="str">
        <f>IFERROR(__xludf.DUMMYFUNCTION("VAR.S(FILTER(INDIRECT(""'"" &amp; $B$16 &amp; ""'!"" &amp; $B23 &amp; "":"" &amp; $B23), INDIRECT(""'"" &amp; $B$16 &amp; ""'!"" &amp; $B$17 &amp; "":"" &amp; $B$17) = L$21, ISNUMBER(SEARCH($B$4, INDIRECT(""'"" &amp; $B$16 &amp; ""'!"" &amp; $B$12 &amp; "":"" &amp; $B$12)))))/$D$8"),"#N/A")</f>
        <v>#N/A</v>
      </c>
      <c r="M23" s="290" t="str">
        <f>IFERROR(__xludf.DUMMYFUNCTION("VAR.S(FILTER(INDIRECT(""'"" &amp; $B$16 &amp; ""'!"" &amp; $B23 &amp; "":"" &amp; $B23), INDIRECT(""'"" &amp; $B$16 &amp; ""'!"" &amp; $B$17 &amp; "":"" &amp; $B$17) = M$21, ISNUMBER(SEARCH($B$4, INDIRECT(""'"" &amp; $B$16 &amp; ""'!"" &amp; $B$12 &amp; "":"" &amp; $B$12)))))/$D$9"),"#N/A")</f>
        <v>#N/A</v>
      </c>
      <c r="N23" s="290" t="str">
        <f>IFERROR(__xludf.DUMMYFUNCTION("VAR.S(FILTER(INDIRECT(""'"" &amp; $B$16 &amp; ""'!"" &amp; $B23 &amp; "":"" &amp; $B23), INDIRECT(""'"" &amp; $B$16 &amp; ""'!"" &amp; $B$17 &amp; "":"" &amp; $B$17) = N$21, ISNUMBER(SEARCH($B$4, INDIRECT(""'"" &amp; $B$16 &amp; ""'!"" &amp; $B$12 &amp; "":"" &amp; $B$12)))))/$D$10"),"#N/A")</f>
        <v>#N/A</v>
      </c>
      <c r="O23" s="291" t="str">
        <f>IFERROR(__xludf.DUMMYFUNCTION("AVERAGE(FILTER(INDIRECT(""'"" &amp; $B$16 &amp; ""'!"" &amp; $B23 &amp; "":"" &amp; $B23), INDIRECT(""'"" &amp; $B$16 &amp; ""'!"" &amp; $B$17 &amp; "":"" &amp; $B$17) = J$21, ISNUMBER(SEARCH($B$4, INDIRECT(""'"" &amp; $B$16 &amp; ""'!"" &amp; $B$12 &amp; "":"" &amp; $B$12)))))"),"#N/A")</f>
        <v>#N/A</v>
      </c>
      <c r="P23" s="291" t="str">
        <f>IFERROR(__xludf.DUMMYFUNCTION("AVERAGE(FILTER(INDIRECT(""'"" &amp; $B$16 &amp; ""'!"" &amp; $B23 &amp; "":"" &amp; $B23), INDIRECT(""'"" &amp; $B$16 &amp; ""'!"" &amp; $B$17 &amp; "":"" &amp; $B$17) = K$21, ISNUMBER(SEARCH($B$4, INDIRECT(""'"" &amp; $B$16 &amp; ""'!"" &amp; $B$12 &amp; "":"" &amp; $B$12)))))"),"#N/A")</f>
        <v>#N/A</v>
      </c>
      <c r="Q23" s="291" t="str">
        <f>IFERROR(__xludf.DUMMYFUNCTION("AVERAGE(FILTER(INDIRECT(""'"" &amp; $B$16 &amp; ""'!"" &amp; $B23 &amp; "":"" &amp; $B23), INDIRECT(""'"" &amp; $B$16 &amp; ""'!"" &amp; $B$17 &amp; "":"" &amp; $B$17) = L$21, ISNUMBER(SEARCH($B$4, INDIRECT(""'"" &amp; $B$16 &amp; ""'!"" &amp; $B$12 &amp; "":"" &amp; $B$12)))))"),"#N/A")</f>
        <v>#N/A</v>
      </c>
      <c r="R23" s="291" t="str">
        <f>IFERROR(__xludf.DUMMYFUNCTION("AVERAGE(FILTER(INDIRECT(""'"" &amp; $B$16 &amp; ""'!"" &amp; $B23 &amp; "":"" &amp; $B23), INDIRECT(""'"" &amp; $B$16 &amp; ""'!"" &amp; $B$17 &amp; "":"" &amp; $B$17) = M$21, ISNUMBER(SEARCH($B$4, INDIRECT(""'"" &amp; $B$16 &amp; ""'!"" &amp; $B$12 &amp; "":"" &amp; $B$12)))))"),"#N/A")</f>
        <v>#N/A</v>
      </c>
      <c r="S23" s="291" t="str">
        <f>IFERROR(__xludf.DUMMYFUNCTION("AVERAGE(FILTER(INDIRECT(""'"" &amp; $B$16 &amp; ""'!"" &amp; $B23 &amp; "":"" &amp; $B23), INDIRECT(""'"" &amp; $B$16 &amp; ""'!"" &amp; $B$17 &amp; "":"" &amp; $B$17) = N$21, ISNUMBER(SEARCH($B$4, INDIRECT(""'"" &amp; $B$16 &amp; ""'!"" &amp; $B$12 &amp; "":"" &amp; $B$12)))))"),"#N/A")</f>
        <v>#N/A</v>
      </c>
      <c r="T23" s="106" t="str">
        <f t="shared" si="29"/>
        <v>#N/A</v>
      </c>
      <c r="U23" s="106" t="str">
        <f t="shared" si="30"/>
        <v>#N/A</v>
      </c>
      <c r="V23" s="106" t="str">
        <f t="shared" si="31"/>
        <v>#N/A</v>
      </c>
      <c r="W23" s="106" t="str">
        <f t="shared" si="32"/>
        <v>#N/A</v>
      </c>
      <c r="X23" s="106" t="str">
        <f t="shared" si="33"/>
        <v>#N/A</v>
      </c>
      <c r="Y23" s="106" t="str">
        <f t="shared" si="34"/>
        <v>#N/A</v>
      </c>
      <c r="Z23" s="106" t="str">
        <f t="shared" si="35"/>
        <v>#N/A</v>
      </c>
      <c r="AA23" s="106" t="str">
        <f t="shared" si="36"/>
        <v>#N/A</v>
      </c>
      <c r="AB23" s="106" t="str">
        <f t="shared" si="37"/>
        <v>#N/A</v>
      </c>
      <c r="AC23" s="106" t="str">
        <f t="shared" si="38"/>
        <v>#N/A</v>
      </c>
      <c r="AD23" s="107" t="str">
        <f t="shared" si="39"/>
        <v>#N/A</v>
      </c>
      <c r="AE23" s="107" t="str">
        <f t="shared" si="40"/>
        <v>#N/A</v>
      </c>
      <c r="AF23" s="107" t="str">
        <f t="shared" si="41"/>
        <v>#N/A</v>
      </c>
      <c r="AG23" s="107" t="str">
        <f t="shared" si="42"/>
        <v>#N/A</v>
      </c>
      <c r="AH23" s="107" t="str">
        <f t="shared" si="43"/>
        <v>#N/A</v>
      </c>
      <c r="AI23" s="106" t="str">
        <f t="shared" si="44"/>
        <v>#N/A</v>
      </c>
      <c r="AJ23" s="106" t="str">
        <f t="shared" si="45"/>
        <v>#N/A</v>
      </c>
      <c r="AK23" s="108" t="str">
        <f t="shared" si="46"/>
        <v>#N/A</v>
      </c>
      <c r="AL23" s="109" t="str">
        <f t="shared" si="47"/>
        <v>#N/A</v>
      </c>
      <c r="AM23" s="110" t="str">
        <f t="shared" si="48"/>
        <v>#N/A</v>
      </c>
    </row>
    <row r="24" ht="15.75" customHeight="1">
      <c r="A24" s="271" t="s">
        <v>354</v>
      </c>
      <c r="B24" s="90" t="str">
        <f t="shared" si="26"/>
        <v>$BQ</v>
      </c>
      <c r="C24" s="288">
        <v>3.0</v>
      </c>
      <c r="D24" s="289">
        <f t="shared" ref="D24:H24" si="49">COUNTIFS(INDIRECT("'" &amp; $B$16 &amp; "'!" &amp; $B$17 &amp; ":" &amp; $B$17),D$21,INDIRECT("'" &amp; $B$16 &amp; "'!" &amp; $B24 &amp; ":" &amp; $B24),1,INDIRECT("'" &amp; $B$16 &amp; "'!" &amp; $B$12 &amp; ":" &amp; $B$12), "*" &amp; $B$4 &amp; "*")
</f>
        <v>0</v>
      </c>
      <c r="E24" s="289">
        <f t="shared" si="49"/>
        <v>0</v>
      </c>
      <c r="F24" s="289">
        <f t="shared" si="49"/>
        <v>0</v>
      </c>
      <c r="G24" s="289">
        <f t="shared" si="49"/>
        <v>0</v>
      </c>
      <c r="H24" s="289">
        <f t="shared" si="49"/>
        <v>0</v>
      </c>
      <c r="I24" s="289">
        <f t="shared" si="28"/>
        <v>0</v>
      </c>
      <c r="J24" s="290" t="str">
        <f>IFERROR(__xludf.DUMMYFUNCTION("VAR.S(FILTER(INDIRECT(""'"" &amp; $B$16 &amp; ""'!"" &amp; $B24 &amp; "":"" &amp; $B24), INDIRECT(""'"" &amp; $B$16 &amp; ""'!"" &amp; $B$17 &amp; "":"" &amp; $B$17) = J$21, ISNUMBER(SEARCH($B$4, INDIRECT(""'"" &amp; $B$16 &amp; ""'!"" &amp; $B$12 &amp; "":"" &amp; $B$12)))))/$D$6"),"#N/A")</f>
        <v>#N/A</v>
      </c>
      <c r="K24" s="290" t="str">
        <f>IFERROR(__xludf.DUMMYFUNCTION("VAR.S(FILTER(INDIRECT(""'"" &amp; $B$16 &amp; ""'!"" &amp; $B24 &amp; "":"" &amp; $B24), INDIRECT(""'"" &amp; $B$16 &amp; ""'!"" &amp; $B$17 &amp; "":"" &amp; $B$17) = K$21, ISNUMBER(SEARCH($B$4, INDIRECT(""'"" &amp; $B$16 &amp; ""'!"" &amp; $B$12 &amp; "":"" &amp; $B$12)))))/$D$7"),"#N/A")</f>
        <v>#N/A</v>
      </c>
      <c r="L24" s="290" t="str">
        <f>IFERROR(__xludf.DUMMYFUNCTION("VAR.S(FILTER(INDIRECT(""'"" &amp; $B$16 &amp; ""'!"" &amp; $B24 &amp; "":"" &amp; $B24), INDIRECT(""'"" &amp; $B$16 &amp; ""'!"" &amp; $B$17 &amp; "":"" &amp; $B$17) = L$21, ISNUMBER(SEARCH($B$4, INDIRECT(""'"" &amp; $B$16 &amp; ""'!"" &amp; $B$12 &amp; "":"" &amp; $B$12)))))/$D$8"),"#N/A")</f>
        <v>#N/A</v>
      </c>
      <c r="M24" s="290" t="str">
        <f>IFERROR(__xludf.DUMMYFUNCTION("VAR.S(FILTER(INDIRECT(""'"" &amp; $B$16 &amp; ""'!"" &amp; $B24 &amp; "":"" &amp; $B24), INDIRECT(""'"" &amp; $B$16 &amp; ""'!"" &amp; $B$17 &amp; "":"" &amp; $B$17) = M$21, ISNUMBER(SEARCH($B$4, INDIRECT(""'"" &amp; $B$16 &amp; ""'!"" &amp; $B$12 &amp; "":"" &amp; $B$12)))))/$D$9"),"#N/A")</f>
        <v>#N/A</v>
      </c>
      <c r="N24" s="290" t="str">
        <f>IFERROR(__xludf.DUMMYFUNCTION("VAR.S(FILTER(INDIRECT(""'"" &amp; $B$16 &amp; ""'!"" &amp; $B24 &amp; "":"" &amp; $B24), INDIRECT(""'"" &amp; $B$16 &amp; ""'!"" &amp; $B$17 &amp; "":"" &amp; $B$17) = N$21, ISNUMBER(SEARCH($B$4, INDIRECT(""'"" &amp; $B$16 &amp; ""'!"" &amp; $B$12 &amp; "":"" &amp; $B$12)))))/$D$10"),"#N/A")</f>
        <v>#N/A</v>
      </c>
      <c r="O24" s="291" t="str">
        <f>IFERROR(__xludf.DUMMYFUNCTION("AVERAGE(FILTER(INDIRECT(""'"" &amp; $B$16 &amp; ""'!"" &amp; $B24 &amp; "":"" &amp; $B24), INDIRECT(""'"" &amp; $B$16 &amp; ""'!"" &amp; $B$17 &amp; "":"" &amp; $B$17) = J$21, ISNUMBER(SEARCH($B$4, INDIRECT(""'"" &amp; $B$16 &amp; ""'!"" &amp; $B$12 &amp; "":"" &amp; $B$12)))))"),"#N/A")</f>
        <v>#N/A</v>
      </c>
      <c r="P24" s="291" t="str">
        <f>IFERROR(__xludf.DUMMYFUNCTION("AVERAGE(FILTER(INDIRECT(""'"" &amp; $B$16 &amp; ""'!"" &amp; $B24 &amp; "":"" &amp; $B24), INDIRECT(""'"" &amp; $B$16 &amp; ""'!"" &amp; $B$17 &amp; "":"" &amp; $B$17) = K$21, ISNUMBER(SEARCH($B$4, INDIRECT(""'"" &amp; $B$16 &amp; ""'!"" &amp; $B$12 &amp; "":"" &amp; $B$12)))))"),"#N/A")</f>
        <v>#N/A</v>
      </c>
      <c r="Q24" s="291" t="str">
        <f>IFERROR(__xludf.DUMMYFUNCTION("AVERAGE(FILTER(INDIRECT(""'"" &amp; $B$16 &amp; ""'!"" &amp; $B24 &amp; "":"" &amp; $B24), INDIRECT(""'"" &amp; $B$16 &amp; ""'!"" &amp; $B$17 &amp; "":"" &amp; $B$17) = L$21, ISNUMBER(SEARCH($B$4, INDIRECT(""'"" &amp; $B$16 &amp; ""'!"" &amp; $B$12 &amp; "":"" &amp; $B$12)))))"),"#N/A")</f>
        <v>#N/A</v>
      </c>
      <c r="R24" s="291" t="str">
        <f>IFERROR(__xludf.DUMMYFUNCTION("AVERAGE(FILTER(INDIRECT(""'"" &amp; $B$16 &amp; ""'!"" &amp; $B24 &amp; "":"" &amp; $B24), INDIRECT(""'"" &amp; $B$16 &amp; ""'!"" &amp; $B$17 &amp; "":"" &amp; $B$17) = M$21, ISNUMBER(SEARCH($B$4, INDIRECT(""'"" &amp; $B$16 &amp; ""'!"" &amp; $B$12 &amp; "":"" &amp; $B$12)))))"),"#N/A")</f>
        <v>#N/A</v>
      </c>
      <c r="S24" s="291" t="str">
        <f>IFERROR(__xludf.DUMMYFUNCTION("AVERAGE(FILTER(INDIRECT(""'"" &amp; $B$16 &amp; ""'!"" &amp; $B24 &amp; "":"" &amp; $B24), INDIRECT(""'"" &amp; $B$16 &amp; ""'!"" &amp; $B$17 &amp; "":"" &amp; $B$17) = N$21, ISNUMBER(SEARCH($B$4, INDIRECT(""'"" &amp; $B$16 &amp; ""'!"" &amp; $B$12 &amp; "":"" &amp; $B$12)))))"),"#N/A")</f>
        <v>#N/A</v>
      </c>
      <c r="T24" s="106" t="str">
        <f t="shared" si="29"/>
        <v>#N/A</v>
      </c>
      <c r="U24" s="106" t="str">
        <f t="shared" si="30"/>
        <v>#N/A</v>
      </c>
      <c r="V24" s="106" t="str">
        <f t="shared" si="31"/>
        <v>#N/A</v>
      </c>
      <c r="W24" s="106" t="str">
        <f t="shared" si="32"/>
        <v>#N/A</v>
      </c>
      <c r="X24" s="106" t="str">
        <f t="shared" si="33"/>
        <v>#N/A</v>
      </c>
      <c r="Y24" s="106" t="str">
        <f t="shared" si="34"/>
        <v>#N/A</v>
      </c>
      <c r="Z24" s="106" t="str">
        <f t="shared" si="35"/>
        <v>#N/A</v>
      </c>
      <c r="AA24" s="106" t="str">
        <f t="shared" si="36"/>
        <v>#N/A</v>
      </c>
      <c r="AB24" s="106" t="str">
        <f t="shared" si="37"/>
        <v>#N/A</v>
      </c>
      <c r="AC24" s="106" t="str">
        <f t="shared" si="38"/>
        <v>#N/A</v>
      </c>
      <c r="AD24" s="107" t="str">
        <f t="shared" si="39"/>
        <v>#N/A</v>
      </c>
      <c r="AE24" s="107" t="str">
        <f t="shared" si="40"/>
        <v>#N/A</v>
      </c>
      <c r="AF24" s="107" t="str">
        <f t="shared" si="41"/>
        <v>#N/A</v>
      </c>
      <c r="AG24" s="107" t="str">
        <f t="shared" si="42"/>
        <v>#N/A</v>
      </c>
      <c r="AH24" s="107" t="str">
        <f t="shared" si="43"/>
        <v>#N/A</v>
      </c>
      <c r="AI24" s="106" t="str">
        <f t="shared" si="44"/>
        <v>#N/A</v>
      </c>
      <c r="AJ24" s="106" t="str">
        <f t="shared" si="45"/>
        <v>#N/A</v>
      </c>
      <c r="AK24" s="108" t="str">
        <f t="shared" si="46"/>
        <v>#N/A</v>
      </c>
      <c r="AL24" s="109" t="str">
        <f t="shared" si="47"/>
        <v>#N/A</v>
      </c>
      <c r="AM24" s="110" t="str">
        <f t="shared" si="48"/>
        <v>#N/A</v>
      </c>
    </row>
    <row r="25" ht="15.75" customHeight="1">
      <c r="A25" s="271" t="s">
        <v>357</v>
      </c>
      <c r="B25" s="90" t="str">
        <f t="shared" si="26"/>
        <v>$BR</v>
      </c>
      <c r="C25" s="288">
        <v>4.0</v>
      </c>
      <c r="D25" s="289">
        <f t="shared" ref="D25:H25" si="50">COUNTIFS(INDIRECT("'" &amp; $B$16 &amp; "'!" &amp; $B$17 &amp; ":" &amp; $B$17),D$21,INDIRECT("'" &amp; $B$16 &amp; "'!" &amp; $B25 &amp; ":" &amp; $B25),1,INDIRECT("'" &amp; $B$16 &amp; "'!" &amp; $B$12 &amp; ":" &amp; $B$12), "*" &amp; $B$4 &amp; "*")
</f>
        <v>0</v>
      </c>
      <c r="E25" s="289">
        <f t="shared" si="50"/>
        <v>0</v>
      </c>
      <c r="F25" s="289">
        <f t="shared" si="50"/>
        <v>0</v>
      </c>
      <c r="G25" s="289">
        <f t="shared" si="50"/>
        <v>0</v>
      </c>
      <c r="H25" s="289">
        <f t="shared" si="50"/>
        <v>0</v>
      </c>
      <c r="I25" s="289">
        <f t="shared" si="28"/>
        <v>0</v>
      </c>
      <c r="J25" s="290" t="str">
        <f>IFERROR(__xludf.DUMMYFUNCTION("VAR.S(FILTER(INDIRECT(""'"" &amp; $B$16 &amp; ""'!"" &amp; $B25 &amp; "":"" &amp; $B25), INDIRECT(""'"" &amp; $B$16 &amp; ""'!"" &amp; $B$17 &amp; "":"" &amp; $B$17) = J$21, ISNUMBER(SEARCH($B$4, INDIRECT(""'"" &amp; $B$16 &amp; ""'!"" &amp; $B$12 &amp; "":"" &amp; $B$12)))))/$D$6"),"#N/A")</f>
        <v>#N/A</v>
      </c>
      <c r="K25" s="290" t="str">
        <f>IFERROR(__xludf.DUMMYFUNCTION("VAR.S(FILTER(INDIRECT(""'"" &amp; $B$16 &amp; ""'!"" &amp; $B25 &amp; "":"" &amp; $B25), INDIRECT(""'"" &amp; $B$16 &amp; ""'!"" &amp; $B$17 &amp; "":"" &amp; $B$17) = K$21, ISNUMBER(SEARCH($B$4, INDIRECT(""'"" &amp; $B$16 &amp; ""'!"" &amp; $B$12 &amp; "":"" &amp; $B$12)))))/$D$7"),"#N/A")</f>
        <v>#N/A</v>
      </c>
      <c r="L25" s="290" t="str">
        <f>IFERROR(__xludf.DUMMYFUNCTION("VAR.S(FILTER(INDIRECT(""'"" &amp; $B$16 &amp; ""'!"" &amp; $B25 &amp; "":"" &amp; $B25), INDIRECT(""'"" &amp; $B$16 &amp; ""'!"" &amp; $B$17 &amp; "":"" &amp; $B$17) = L$21, ISNUMBER(SEARCH($B$4, INDIRECT(""'"" &amp; $B$16 &amp; ""'!"" &amp; $B$12 &amp; "":"" &amp; $B$12)))))/$D$8"),"#N/A")</f>
        <v>#N/A</v>
      </c>
      <c r="M25" s="290" t="str">
        <f>IFERROR(__xludf.DUMMYFUNCTION("VAR.S(FILTER(INDIRECT(""'"" &amp; $B$16 &amp; ""'!"" &amp; $B25 &amp; "":"" &amp; $B25), INDIRECT(""'"" &amp; $B$16 &amp; ""'!"" &amp; $B$17 &amp; "":"" &amp; $B$17) = M$21, ISNUMBER(SEARCH($B$4, INDIRECT(""'"" &amp; $B$16 &amp; ""'!"" &amp; $B$12 &amp; "":"" &amp; $B$12)))))/$D$9"),"#N/A")</f>
        <v>#N/A</v>
      </c>
      <c r="N25" s="290" t="str">
        <f>IFERROR(__xludf.DUMMYFUNCTION("VAR.S(FILTER(INDIRECT(""'"" &amp; $B$16 &amp; ""'!"" &amp; $B25 &amp; "":"" &amp; $B25), INDIRECT(""'"" &amp; $B$16 &amp; ""'!"" &amp; $B$17 &amp; "":"" &amp; $B$17) = N$21, ISNUMBER(SEARCH($B$4, INDIRECT(""'"" &amp; $B$16 &amp; ""'!"" &amp; $B$12 &amp; "":"" &amp; $B$12)))))/$D$10"),"#N/A")</f>
        <v>#N/A</v>
      </c>
      <c r="O25" s="291" t="str">
        <f>IFERROR(__xludf.DUMMYFUNCTION("AVERAGE(FILTER(INDIRECT(""'"" &amp; $B$16 &amp; ""'!"" &amp; $B25 &amp; "":"" &amp; $B25), INDIRECT(""'"" &amp; $B$16 &amp; ""'!"" &amp; $B$17 &amp; "":"" &amp; $B$17) = J$21, ISNUMBER(SEARCH($B$4, INDIRECT(""'"" &amp; $B$16 &amp; ""'!"" &amp; $B$12 &amp; "":"" &amp; $B$12)))))"),"#N/A")</f>
        <v>#N/A</v>
      </c>
      <c r="P25" s="291" t="str">
        <f>IFERROR(__xludf.DUMMYFUNCTION("AVERAGE(FILTER(INDIRECT(""'"" &amp; $B$16 &amp; ""'!"" &amp; $B25 &amp; "":"" &amp; $B25), INDIRECT(""'"" &amp; $B$16 &amp; ""'!"" &amp; $B$17 &amp; "":"" &amp; $B$17) = K$21, ISNUMBER(SEARCH($B$4, INDIRECT(""'"" &amp; $B$16 &amp; ""'!"" &amp; $B$12 &amp; "":"" &amp; $B$12)))))"),"#N/A")</f>
        <v>#N/A</v>
      </c>
      <c r="Q25" s="291" t="str">
        <f>IFERROR(__xludf.DUMMYFUNCTION("AVERAGE(FILTER(INDIRECT(""'"" &amp; $B$16 &amp; ""'!"" &amp; $B25 &amp; "":"" &amp; $B25), INDIRECT(""'"" &amp; $B$16 &amp; ""'!"" &amp; $B$17 &amp; "":"" &amp; $B$17) = L$21, ISNUMBER(SEARCH($B$4, INDIRECT(""'"" &amp; $B$16 &amp; ""'!"" &amp; $B$12 &amp; "":"" &amp; $B$12)))))"),"#N/A")</f>
        <v>#N/A</v>
      </c>
      <c r="R25" s="291" t="str">
        <f>IFERROR(__xludf.DUMMYFUNCTION("AVERAGE(FILTER(INDIRECT(""'"" &amp; $B$16 &amp; ""'!"" &amp; $B25 &amp; "":"" &amp; $B25), INDIRECT(""'"" &amp; $B$16 &amp; ""'!"" &amp; $B$17 &amp; "":"" &amp; $B$17) = M$21, ISNUMBER(SEARCH($B$4, INDIRECT(""'"" &amp; $B$16 &amp; ""'!"" &amp; $B$12 &amp; "":"" &amp; $B$12)))))"),"#N/A")</f>
        <v>#N/A</v>
      </c>
      <c r="S25" s="291" t="str">
        <f>IFERROR(__xludf.DUMMYFUNCTION("AVERAGE(FILTER(INDIRECT(""'"" &amp; $B$16 &amp; ""'!"" &amp; $B25 &amp; "":"" &amp; $B25), INDIRECT(""'"" &amp; $B$16 &amp; ""'!"" &amp; $B$17 &amp; "":"" &amp; $B$17) = N$21, ISNUMBER(SEARCH($B$4, INDIRECT(""'"" &amp; $B$16 &amp; ""'!"" &amp; $B$12 &amp; "":"" &amp; $B$12)))))"),"#N/A")</f>
        <v>#N/A</v>
      </c>
      <c r="T25" s="106" t="str">
        <f t="shared" si="29"/>
        <v>#N/A</v>
      </c>
      <c r="U25" s="106" t="str">
        <f t="shared" si="30"/>
        <v>#N/A</v>
      </c>
      <c r="V25" s="106" t="str">
        <f t="shared" si="31"/>
        <v>#N/A</v>
      </c>
      <c r="W25" s="106" t="str">
        <f t="shared" si="32"/>
        <v>#N/A</v>
      </c>
      <c r="X25" s="106" t="str">
        <f t="shared" si="33"/>
        <v>#N/A</v>
      </c>
      <c r="Y25" s="106" t="str">
        <f t="shared" si="34"/>
        <v>#N/A</v>
      </c>
      <c r="Z25" s="106" t="str">
        <f t="shared" si="35"/>
        <v>#N/A</v>
      </c>
      <c r="AA25" s="106" t="str">
        <f t="shared" si="36"/>
        <v>#N/A</v>
      </c>
      <c r="AB25" s="106" t="str">
        <f t="shared" si="37"/>
        <v>#N/A</v>
      </c>
      <c r="AC25" s="106" t="str">
        <f t="shared" si="38"/>
        <v>#N/A</v>
      </c>
      <c r="AD25" s="107" t="str">
        <f t="shared" si="39"/>
        <v>#N/A</v>
      </c>
      <c r="AE25" s="107" t="str">
        <f t="shared" si="40"/>
        <v>#N/A</v>
      </c>
      <c r="AF25" s="107" t="str">
        <f t="shared" si="41"/>
        <v>#N/A</v>
      </c>
      <c r="AG25" s="107" t="str">
        <f t="shared" si="42"/>
        <v>#N/A</v>
      </c>
      <c r="AH25" s="107" t="str">
        <f t="shared" si="43"/>
        <v>#N/A</v>
      </c>
      <c r="AI25" s="106" t="str">
        <f t="shared" si="44"/>
        <v>#N/A</v>
      </c>
      <c r="AJ25" s="106" t="str">
        <f t="shared" si="45"/>
        <v>#N/A</v>
      </c>
      <c r="AK25" s="108" t="str">
        <f t="shared" si="46"/>
        <v>#N/A</v>
      </c>
      <c r="AL25" s="109" t="str">
        <f t="shared" si="47"/>
        <v>#N/A</v>
      </c>
      <c r="AM25" s="110" t="str">
        <f t="shared" si="48"/>
        <v>#N/A</v>
      </c>
    </row>
    <row r="26" ht="15.75" customHeight="1">
      <c r="A26" s="271" t="s">
        <v>360</v>
      </c>
      <c r="B26" s="90" t="str">
        <f t="shared" si="26"/>
        <v>$BS</v>
      </c>
      <c r="C26" s="288">
        <v>7.0</v>
      </c>
      <c r="D26" s="289">
        <f t="shared" ref="D26:H26" si="51">COUNTIFS(INDIRECT("'" &amp; $B$16 &amp; "'!" &amp; $B$17 &amp; ":" &amp; $B$17),D$21,INDIRECT("'" &amp; $B$16 &amp; "'!" &amp; $B26 &amp; ":" &amp; $B26),1,INDIRECT("'" &amp; $B$16 &amp; "'!" &amp; $B$12 &amp; ":" &amp; $B$12), "*" &amp; $B$4 &amp; "*")
</f>
        <v>0</v>
      </c>
      <c r="E26" s="289">
        <f t="shared" si="51"/>
        <v>0</v>
      </c>
      <c r="F26" s="289">
        <f t="shared" si="51"/>
        <v>0</v>
      </c>
      <c r="G26" s="289">
        <f t="shared" si="51"/>
        <v>0</v>
      </c>
      <c r="H26" s="289">
        <f t="shared" si="51"/>
        <v>0</v>
      </c>
      <c r="I26" s="289">
        <f t="shared" si="28"/>
        <v>0</v>
      </c>
      <c r="J26" s="290" t="str">
        <f>IFERROR(__xludf.DUMMYFUNCTION("VAR.S(FILTER(INDIRECT(""'"" &amp; $B$16 &amp; ""'!"" &amp; $B26 &amp; "":"" &amp; $B26), INDIRECT(""'"" &amp; $B$16 &amp; ""'!"" &amp; $B$17 &amp; "":"" &amp; $B$17) = J$21, ISNUMBER(SEARCH($B$4, INDIRECT(""'"" &amp; $B$16 &amp; ""'!"" &amp; $B$12 &amp; "":"" &amp; $B$12)))))/$D$6"),"#N/A")</f>
        <v>#N/A</v>
      </c>
      <c r="K26" s="290" t="str">
        <f>IFERROR(__xludf.DUMMYFUNCTION("VAR.S(FILTER(INDIRECT(""'"" &amp; $B$16 &amp; ""'!"" &amp; $B26 &amp; "":"" &amp; $B26), INDIRECT(""'"" &amp; $B$16 &amp; ""'!"" &amp; $B$17 &amp; "":"" &amp; $B$17) = K$21, ISNUMBER(SEARCH($B$4, INDIRECT(""'"" &amp; $B$16 &amp; ""'!"" &amp; $B$12 &amp; "":"" &amp; $B$12)))))/$D$7"),"#N/A")</f>
        <v>#N/A</v>
      </c>
      <c r="L26" s="290" t="str">
        <f>IFERROR(__xludf.DUMMYFUNCTION("VAR.S(FILTER(INDIRECT(""'"" &amp; $B$16 &amp; ""'!"" &amp; $B26 &amp; "":"" &amp; $B26), INDIRECT(""'"" &amp; $B$16 &amp; ""'!"" &amp; $B$17 &amp; "":"" &amp; $B$17) = L$21, ISNUMBER(SEARCH($B$4, INDIRECT(""'"" &amp; $B$16 &amp; ""'!"" &amp; $B$12 &amp; "":"" &amp; $B$12)))))/$D$8"),"#N/A")</f>
        <v>#N/A</v>
      </c>
      <c r="M26" s="290" t="str">
        <f>IFERROR(__xludf.DUMMYFUNCTION("VAR.S(FILTER(INDIRECT(""'"" &amp; $B$16 &amp; ""'!"" &amp; $B26 &amp; "":"" &amp; $B26), INDIRECT(""'"" &amp; $B$16 &amp; ""'!"" &amp; $B$17 &amp; "":"" &amp; $B$17) = M$21, ISNUMBER(SEARCH($B$4, INDIRECT(""'"" &amp; $B$16 &amp; ""'!"" &amp; $B$12 &amp; "":"" &amp; $B$12)))))/$D$9"),"#N/A")</f>
        <v>#N/A</v>
      </c>
      <c r="N26" s="290" t="str">
        <f>IFERROR(__xludf.DUMMYFUNCTION("VAR.S(FILTER(INDIRECT(""'"" &amp; $B$16 &amp; ""'!"" &amp; $B26 &amp; "":"" &amp; $B26), INDIRECT(""'"" &amp; $B$16 &amp; ""'!"" &amp; $B$17 &amp; "":"" &amp; $B$17) = N$21, ISNUMBER(SEARCH($B$4, INDIRECT(""'"" &amp; $B$16 &amp; ""'!"" &amp; $B$12 &amp; "":"" &amp; $B$12)))))/$D$10"),"#N/A")</f>
        <v>#N/A</v>
      </c>
      <c r="O26" s="291" t="str">
        <f>IFERROR(__xludf.DUMMYFUNCTION("AVERAGE(FILTER(INDIRECT(""'"" &amp; $B$16 &amp; ""'!"" &amp; $B26 &amp; "":"" &amp; $B26), INDIRECT(""'"" &amp; $B$16 &amp; ""'!"" &amp; $B$17 &amp; "":"" &amp; $B$17) = J$21, ISNUMBER(SEARCH($B$4, INDIRECT(""'"" &amp; $B$16 &amp; ""'!"" &amp; $B$12 &amp; "":"" &amp; $B$12)))))"),"#N/A")</f>
        <v>#N/A</v>
      </c>
      <c r="P26" s="291" t="str">
        <f>IFERROR(__xludf.DUMMYFUNCTION("AVERAGE(FILTER(INDIRECT(""'"" &amp; $B$16 &amp; ""'!"" &amp; $B26 &amp; "":"" &amp; $B26), INDIRECT(""'"" &amp; $B$16 &amp; ""'!"" &amp; $B$17 &amp; "":"" &amp; $B$17) = K$21, ISNUMBER(SEARCH($B$4, INDIRECT(""'"" &amp; $B$16 &amp; ""'!"" &amp; $B$12 &amp; "":"" &amp; $B$12)))))"),"#N/A")</f>
        <v>#N/A</v>
      </c>
      <c r="Q26" s="291" t="str">
        <f>IFERROR(__xludf.DUMMYFUNCTION("AVERAGE(FILTER(INDIRECT(""'"" &amp; $B$16 &amp; ""'!"" &amp; $B26 &amp; "":"" &amp; $B26), INDIRECT(""'"" &amp; $B$16 &amp; ""'!"" &amp; $B$17 &amp; "":"" &amp; $B$17) = L$21, ISNUMBER(SEARCH($B$4, INDIRECT(""'"" &amp; $B$16 &amp; ""'!"" &amp; $B$12 &amp; "":"" &amp; $B$12)))))"),"#N/A")</f>
        <v>#N/A</v>
      </c>
      <c r="R26" s="291" t="str">
        <f>IFERROR(__xludf.DUMMYFUNCTION("AVERAGE(FILTER(INDIRECT(""'"" &amp; $B$16 &amp; ""'!"" &amp; $B26 &amp; "":"" &amp; $B26), INDIRECT(""'"" &amp; $B$16 &amp; ""'!"" &amp; $B$17 &amp; "":"" &amp; $B$17) = M$21, ISNUMBER(SEARCH($B$4, INDIRECT(""'"" &amp; $B$16 &amp; ""'!"" &amp; $B$12 &amp; "":"" &amp; $B$12)))))"),"#N/A")</f>
        <v>#N/A</v>
      </c>
      <c r="S26" s="291" t="str">
        <f>IFERROR(__xludf.DUMMYFUNCTION("AVERAGE(FILTER(INDIRECT(""'"" &amp; $B$16 &amp; ""'!"" &amp; $B26 &amp; "":"" &amp; $B26), INDIRECT(""'"" &amp; $B$16 &amp; ""'!"" &amp; $B$17 &amp; "":"" &amp; $B$17) = N$21, ISNUMBER(SEARCH($B$4, INDIRECT(""'"" &amp; $B$16 &amp; ""'!"" &amp; $B$12 &amp; "":"" &amp; $B$12)))))"),"#N/A")</f>
        <v>#N/A</v>
      </c>
      <c r="T26" s="106" t="str">
        <f t="shared" si="29"/>
        <v>#N/A</v>
      </c>
      <c r="U26" s="106" t="str">
        <f t="shared" si="30"/>
        <v>#N/A</v>
      </c>
      <c r="V26" s="106" t="str">
        <f t="shared" si="31"/>
        <v>#N/A</v>
      </c>
      <c r="W26" s="106" t="str">
        <f t="shared" si="32"/>
        <v>#N/A</v>
      </c>
      <c r="X26" s="106" t="str">
        <f t="shared" si="33"/>
        <v>#N/A</v>
      </c>
      <c r="Y26" s="106" t="str">
        <f t="shared" si="34"/>
        <v>#N/A</v>
      </c>
      <c r="Z26" s="106" t="str">
        <f t="shared" si="35"/>
        <v>#N/A</v>
      </c>
      <c r="AA26" s="106" t="str">
        <f t="shared" si="36"/>
        <v>#N/A</v>
      </c>
      <c r="AB26" s="106" t="str">
        <f t="shared" si="37"/>
        <v>#N/A</v>
      </c>
      <c r="AC26" s="106" t="str">
        <f t="shared" si="38"/>
        <v>#N/A</v>
      </c>
      <c r="AD26" s="107" t="str">
        <f t="shared" si="39"/>
        <v>#N/A</v>
      </c>
      <c r="AE26" s="107" t="str">
        <f t="shared" si="40"/>
        <v>#N/A</v>
      </c>
      <c r="AF26" s="107" t="str">
        <f t="shared" si="41"/>
        <v>#N/A</v>
      </c>
      <c r="AG26" s="107" t="str">
        <f t="shared" si="42"/>
        <v>#N/A</v>
      </c>
      <c r="AH26" s="107" t="str">
        <f t="shared" si="43"/>
        <v>#N/A</v>
      </c>
      <c r="AI26" s="106" t="str">
        <f t="shared" si="44"/>
        <v>#N/A</v>
      </c>
      <c r="AJ26" s="106" t="str">
        <f t="shared" si="45"/>
        <v>#N/A</v>
      </c>
      <c r="AK26" s="108" t="str">
        <f t="shared" si="46"/>
        <v>#N/A</v>
      </c>
      <c r="AL26" s="109" t="str">
        <f t="shared" si="47"/>
        <v>#N/A</v>
      </c>
      <c r="AM26" s="110" t="str">
        <f t="shared" si="48"/>
        <v>#N/A</v>
      </c>
    </row>
    <row r="27" ht="15.75" customHeight="1">
      <c r="A27" s="271" t="s">
        <v>363</v>
      </c>
      <c r="B27" s="90" t="str">
        <f t="shared" si="26"/>
        <v>$BT</v>
      </c>
      <c r="C27" s="288">
        <v>8.0</v>
      </c>
      <c r="D27" s="289">
        <f t="shared" ref="D27:H27" si="52">COUNTIFS(INDIRECT("'" &amp; $B$16 &amp; "'!" &amp; $B$17 &amp; ":" &amp; $B$17),D$21,INDIRECT("'" &amp; $B$16 &amp; "'!" &amp; $B27 &amp; ":" &amp; $B27),1,INDIRECT("'" &amp; $B$16 &amp; "'!" &amp; $B$12 &amp; ":" &amp; $B$12), "*" &amp; $B$4 &amp; "*")
</f>
        <v>0</v>
      </c>
      <c r="E27" s="289">
        <f t="shared" si="52"/>
        <v>0</v>
      </c>
      <c r="F27" s="289">
        <f t="shared" si="52"/>
        <v>0</v>
      </c>
      <c r="G27" s="289">
        <f t="shared" si="52"/>
        <v>0</v>
      </c>
      <c r="H27" s="289">
        <f t="shared" si="52"/>
        <v>0</v>
      </c>
      <c r="I27" s="289">
        <f t="shared" si="28"/>
        <v>0</v>
      </c>
      <c r="J27" s="290" t="str">
        <f>IFERROR(__xludf.DUMMYFUNCTION("VAR.S(FILTER(INDIRECT(""'"" &amp; $B$16 &amp; ""'!"" &amp; $B27 &amp; "":"" &amp; $B27), INDIRECT(""'"" &amp; $B$16 &amp; ""'!"" &amp; $B$17 &amp; "":"" &amp; $B$17) = J$21, ISNUMBER(SEARCH($B$4, INDIRECT(""'"" &amp; $B$16 &amp; ""'!"" &amp; $B$12 &amp; "":"" &amp; $B$12)))))/$D$6"),"#N/A")</f>
        <v>#N/A</v>
      </c>
      <c r="K27" s="290" t="str">
        <f>IFERROR(__xludf.DUMMYFUNCTION("VAR.S(FILTER(INDIRECT(""'"" &amp; $B$16 &amp; ""'!"" &amp; $B27 &amp; "":"" &amp; $B27), INDIRECT(""'"" &amp; $B$16 &amp; ""'!"" &amp; $B$17 &amp; "":"" &amp; $B$17) = K$21, ISNUMBER(SEARCH($B$4, INDIRECT(""'"" &amp; $B$16 &amp; ""'!"" &amp; $B$12 &amp; "":"" &amp; $B$12)))))/$D$7"),"#N/A")</f>
        <v>#N/A</v>
      </c>
      <c r="L27" s="290" t="str">
        <f>IFERROR(__xludf.DUMMYFUNCTION("VAR.S(FILTER(INDIRECT(""'"" &amp; $B$16 &amp; ""'!"" &amp; $B27 &amp; "":"" &amp; $B27), INDIRECT(""'"" &amp; $B$16 &amp; ""'!"" &amp; $B$17 &amp; "":"" &amp; $B$17) = L$21, ISNUMBER(SEARCH($B$4, INDIRECT(""'"" &amp; $B$16 &amp; ""'!"" &amp; $B$12 &amp; "":"" &amp; $B$12)))))/$D$8"),"#N/A")</f>
        <v>#N/A</v>
      </c>
      <c r="M27" s="290" t="str">
        <f>IFERROR(__xludf.DUMMYFUNCTION("VAR.S(FILTER(INDIRECT(""'"" &amp; $B$16 &amp; ""'!"" &amp; $B27 &amp; "":"" &amp; $B27), INDIRECT(""'"" &amp; $B$16 &amp; ""'!"" &amp; $B$17 &amp; "":"" &amp; $B$17) = M$21, ISNUMBER(SEARCH($B$4, INDIRECT(""'"" &amp; $B$16 &amp; ""'!"" &amp; $B$12 &amp; "":"" &amp; $B$12)))))/$D$9"),"#N/A")</f>
        <v>#N/A</v>
      </c>
      <c r="N27" s="290" t="str">
        <f>IFERROR(__xludf.DUMMYFUNCTION("VAR.S(FILTER(INDIRECT(""'"" &amp; $B$16 &amp; ""'!"" &amp; $B27 &amp; "":"" &amp; $B27), INDIRECT(""'"" &amp; $B$16 &amp; ""'!"" &amp; $B$17 &amp; "":"" &amp; $B$17) = N$21, ISNUMBER(SEARCH($B$4, INDIRECT(""'"" &amp; $B$16 &amp; ""'!"" &amp; $B$12 &amp; "":"" &amp; $B$12)))))/$D$10"),"#N/A")</f>
        <v>#N/A</v>
      </c>
      <c r="O27" s="291" t="str">
        <f>IFERROR(__xludf.DUMMYFUNCTION("AVERAGE(FILTER(INDIRECT(""'"" &amp; $B$16 &amp; ""'!"" &amp; $B27 &amp; "":"" &amp; $B27), INDIRECT(""'"" &amp; $B$16 &amp; ""'!"" &amp; $B$17 &amp; "":"" &amp; $B$17) = J$21, ISNUMBER(SEARCH($B$4, INDIRECT(""'"" &amp; $B$16 &amp; ""'!"" &amp; $B$12 &amp; "":"" &amp; $B$12)))))"),"#N/A")</f>
        <v>#N/A</v>
      </c>
      <c r="P27" s="291" t="str">
        <f>IFERROR(__xludf.DUMMYFUNCTION("AVERAGE(FILTER(INDIRECT(""'"" &amp; $B$16 &amp; ""'!"" &amp; $B27 &amp; "":"" &amp; $B27), INDIRECT(""'"" &amp; $B$16 &amp; ""'!"" &amp; $B$17 &amp; "":"" &amp; $B$17) = K$21, ISNUMBER(SEARCH($B$4, INDIRECT(""'"" &amp; $B$16 &amp; ""'!"" &amp; $B$12 &amp; "":"" &amp; $B$12)))))"),"#N/A")</f>
        <v>#N/A</v>
      </c>
      <c r="Q27" s="291" t="str">
        <f>IFERROR(__xludf.DUMMYFUNCTION("AVERAGE(FILTER(INDIRECT(""'"" &amp; $B$16 &amp; ""'!"" &amp; $B27 &amp; "":"" &amp; $B27), INDIRECT(""'"" &amp; $B$16 &amp; ""'!"" &amp; $B$17 &amp; "":"" &amp; $B$17) = L$21, ISNUMBER(SEARCH($B$4, INDIRECT(""'"" &amp; $B$16 &amp; ""'!"" &amp; $B$12 &amp; "":"" &amp; $B$12)))))"),"#N/A")</f>
        <v>#N/A</v>
      </c>
      <c r="R27" s="291" t="str">
        <f>IFERROR(__xludf.DUMMYFUNCTION("AVERAGE(FILTER(INDIRECT(""'"" &amp; $B$16 &amp; ""'!"" &amp; $B27 &amp; "":"" &amp; $B27), INDIRECT(""'"" &amp; $B$16 &amp; ""'!"" &amp; $B$17 &amp; "":"" &amp; $B$17) = M$21, ISNUMBER(SEARCH($B$4, INDIRECT(""'"" &amp; $B$16 &amp; ""'!"" &amp; $B$12 &amp; "":"" &amp; $B$12)))))"),"#N/A")</f>
        <v>#N/A</v>
      </c>
      <c r="S27" s="291" t="str">
        <f>IFERROR(__xludf.DUMMYFUNCTION("AVERAGE(FILTER(INDIRECT(""'"" &amp; $B$16 &amp; ""'!"" &amp; $B27 &amp; "":"" &amp; $B27), INDIRECT(""'"" &amp; $B$16 &amp; ""'!"" &amp; $B$17 &amp; "":"" &amp; $B$17) = N$21, ISNUMBER(SEARCH($B$4, INDIRECT(""'"" &amp; $B$16 &amp; ""'!"" &amp; $B$12 &amp; "":"" &amp; $B$12)))))"),"#N/A")</f>
        <v>#N/A</v>
      </c>
      <c r="T27" s="106" t="str">
        <f t="shared" si="29"/>
        <v>#N/A</v>
      </c>
      <c r="U27" s="106" t="str">
        <f t="shared" si="30"/>
        <v>#N/A</v>
      </c>
      <c r="V27" s="106" t="str">
        <f t="shared" si="31"/>
        <v>#N/A</v>
      </c>
      <c r="W27" s="106" t="str">
        <f t="shared" si="32"/>
        <v>#N/A</v>
      </c>
      <c r="X27" s="106" t="str">
        <f t="shared" si="33"/>
        <v>#N/A</v>
      </c>
      <c r="Y27" s="106" t="str">
        <f t="shared" si="34"/>
        <v>#N/A</v>
      </c>
      <c r="Z27" s="106" t="str">
        <f t="shared" si="35"/>
        <v>#N/A</v>
      </c>
      <c r="AA27" s="106" t="str">
        <f t="shared" si="36"/>
        <v>#N/A</v>
      </c>
      <c r="AB27" s="106" t="str">
        <f t="shared" si="37"/>
        <v>#N/A</v>
      </c>
      <c r="AC27" s="106" t="str">
        <f t="shared" si="38"/>
        <v>#N/A</v>
      </c>
      <c r="AD27" s="107" t="str">
        <f t="shared" si="39"/>
        <v>#N/A</v>
      </c>
      <c r="AE27" s="107" t="str">
        <f t="shared" si="40"/>
        <v>#N/A</v>
      </c>
      <c r="AF27" s="107" t="str">
        <f t="shared" si="41"/>
        <v>#N/A</v>
      </c>
      <c r="AG27" s="107" t="str">
        <f t="shared" si="42"/>
        <v>#N/A</v>
      </c>
      <c r="AH27" s="107" t="str">
        <f t="shared" si="43"/>
        <v>#N/A</v>
      </c>
      <c r="AI27" s="106" t="str">
        <f t="shared" si="44"/>
        <v>#N/A</v>
      </c>
      <c r="AJ27" s="106" t="str">
        <f t="shared" si="45"/>
        <v>#N/A</v>
      </c>
      <c r="AK27" s="108" t="str">
        <f t="shared" si="46"/>
        <v>#N/A</v>
      </c>
      <c r="AL27" s="109" t="str">
        <f t="shared" si="47"/>
        <v>#N/A</v>
      </c>
      <c r="AM27" s="110" t="str">
        <f t="shared" si="48"/>
        <v>#N/A</v>
      </c>
    </row>
    <row r="28" ht="15.75" customHeight="1">
      <c r="A28" s="271" t="s">
        <v>366</v>
      </c>
      <c r="B28" s="90" t="str">
        <f t="shared" si="26"/>
        <v>$BU</v>
      </c>
      <c r="C28" s="288">
        <v>9.0</v>
      </c>
      <c r="D28" s="289">
        <f t="shared" ref="D28:H28" si="53">COUNTIFS(INDIRECT("'" &amp; $B$16 &amp; "'!" &amp; $B$17 &amp; ":" &amp; $B$17),D$21,INDIRECT("'" &amp; $B$16 &amp; "'!" &amp; $B28 &amp; ":" &amp; $B28),1,INDIRECT("'" &amp; $B$16 &amp; "'!" &amp; $B$12 &amp; ":" &amp; $B$12), "*" &amp; $B$4 &amp; "*")
</f>
        <v>0</v>
      </c>
      <c r="E28" s="289">
        <f t="shared" si="53"/>
        <v>0</v>
      </c>
      <c r="F28" s="289">
        <f t="shared" si="53"/>
        <v>0</v>
      </c>
      <c r="G28" s="289">
        <f t="shared" si="53"/>
        <v>0</v>
      </c>
      <c r="H28" s="289">
        <f t="shared" si="53"/>
        <v>0</v>
      </c>
      <c r="I28" s="289">
        <f t="shared" si="28"/>
        <v>0</v>
      </c>
      <c r="J28" s="290" t="str">
        <f>IFERROR(__xludf.DUMMYFUNCTION("VAR.S(FILTER(INDIRECT(""'"" &amp; $B$16 &amp; ""'!"" &amp; $B28 &amp; "":"" &amp; $B28), INDIRECT(""'"" &amp; $B$16 &amp; ""'!"" &amp; $B$17 &amp; "":"" &amp; $B$17) = J$21, ISNUMBER(SEARCH($B$4, INDIRECT(""'"" &amp; $B$16 &amp; ""'!"" &amp; $B$12 &amp; "":"" &amp; $B$12)))))/$D$6"),"#N/A")</f>
        <v>#N/A</v>
      </c>
      <c r="K28" s="290" t="str">
        <f>IFERROR(__xludf.DUMMYFUNCTION("VAR.S(FILTER(INDIRECT(""'"" &amp; $B$16 &amp; ""'!"" &amp; $B28 &amp; "":"" &amp; $B28), INDIRECT(""'"" &amp; $B$16 &amp; ""'!"" &amp; $B$17 &amp; "":"" &amp; $B$17) = K$21, ISNUMBER(SEARCH($B$4, INDIRECT(""'"" &amp; $B$16 &amp; ""'!"" &amp; $B$12 &amp; "":"" &amp; $B$12)))))/$D$7"),"#N/A")</f>
        <v>#N/A</v>
      </c>
      <c r="L28" s="290" t="str">
        <f>IFERROR(__xludf.DUMMYFUNCTION("VAR.S(FILTER(INDIRECT(""'"" &amp; $B$16 &amp; ""'!"" &amp; $B28 &amp; "":"" &amp; $B28), INDIRECT(""'"" &amp; $B$16 &amp; ""'!"" &amp; $B$17 &amp; "":"" &amp; $B$17) = L$21, ISNUMBER(SEARCH($B$4, INDIRECT(""'"" &amp; $B$16 &amp; ""'!"" &amp; $B$12 &amp; "":"" &amp; $B$12)))))/$D$8"),"#N/A")</f>
        <v>#N/A</v>
      </c>
      <c r="M28" s="290" t="str">
        <f>IFERROR(__xludf.DUMMYFUNCTION("VAR.S(FILTER(INDIRECT(""'"" &amp; $B$16 &amp; ""'!"" &amp; $B28 &amp; "":"" &amp; $B28), INDIRECT(""'"" &amp; $B$16 &amp; ""'!"" &amp; $B$17 &amp; "":"" &amp; $B$17) = M$21, ISNUMBER(SEARCH($B$4, INDIRECT(""'"" &amp; $B$16 &amp; ""'!"" &amp; $B$12 &amp; "":"" &amp; $B$12)))))/$D$9"),"#N/A")</f>
        <v>#N/A</v>
      </c>
      <c r="N28" s="290" t="str">
        <f>IFERROR(__xludf.DUMMYFUNCTION("VAR.S(FILTER(INDIRECT(""'"" &amp; $B$16 &amp; ""'!"" &amp; $B28 &amp; "":"" &amp; $B28), INDIRECT(""'"" &amp; $B$16 &amp; ""'!"" &amp; $B$17 &amp; "":"" &amp; $B$17) = N$21, ISNUMBER(SEARCH($B$4, INDIRECT(""'"" &amp; $B$16 &amp; ""'!"" &amp; $B$12 &amp; "":"" &amp; $B$12)))))/$D$10"),"#N/A")</f>
        <v>#N/A</v>
      </c>
      <c r="O28" s="291" t="str">
        <f>IFERROR(__xludf.DUMMYFUNCTION("AVERAGE(FILTER(INDIRECT(""'"" &amp; $B$16 &amp; ""'!"" &amp; $B28 &amp; "":"" &amp; $B28), INDIRECT(""'"" &amp; $B$16 &amp; ""'!"" &amp; $B$17 &amp; "":"" &amp; $B$17) = J$21, ISNUMBER(SEARCH($B$4, INDIRECT(""'"" &amp; $B$16 &amp; ""'!"" &amp; $B$12 &amp; "":"" &amp; $B$12)))))"),"#N/A")</f>
        <v>#N/A</v>
      </c>
      <c r="P28" s="291" t="str">
        <f>IFERROR(__xludf.DUMMYFUNCTION("AVERAGE(FILTER(INDIRECT(""'"" &amp; $B$16 &amp; ""'!"" &amp; $B28 &amp; "":"" &amp; $B28), INDIRECT(""'"" &amp; $B$16 &amp; ""'!"" &amp; $B$17 &amp; "":"" &amp; $B$17) = K$21, ISNUMBER(SEARCH($B$4, INDIRECT(""'"" &amp; $B$16 &amp; ""'!"" &amp; $B$12 &amp; "":"" &amp; $B$12)))))"),"#N/A")</f>
        <v>#N/A</v>
      </c>
      <c r="Q28" s="291" t="str">
        <f>IFERROR(__xludf.DUMMYFUNCTION("AVERAGE(FILTER(INDIRECT(""'"" &amp; $B$16 &amp; ""'!"" &amp; $B28 &amp; "":"" &amp; $B28), INDIRECT(""'"" &amp; $B$16 &amp; ""'!"" &amp; $B$17 &amp; "":"" &amp; $B$17) = L$21, ISNUMBER(SEARCH($B$4, INDIRECT(""'"" &amp; $B$16 &amp; ""'!"" &amp; $B$12 &amp; "":"" &amp; $B$12)))))"),"#N/A")</f>
        <v>#N/A</v>
      </c>
      <c r="R28" s="291" t="str">
        <f>IFERROR(__xludf.DUMMYFUNCTION("AVERAGE(FILTER(INDIRECT(""'"" &amp; $B$16 &amp; ""'!"" &amp; $B28 &amp; "":"" &amp; $B28), INDIRECT(""'"" &amp; $B$16 &amp; ""'!"" &amp; $B$17 &amp; "":"" &amp; $B$17) = M$21, ISNUMBER(SEARCH($B$4, INDIRECT(""'"" &amp; $B$16 &amp; ""'!"" &amp; $B$12 &amp; "":"" &amp; $B$12)))))"),"#N/A")</f>
        <v>#N/A</v>
      </c>
      <c r="S28" s="291" t="str">
        <f>IFERROR(__xludf.DUMMYFUNCTION("AVERAGE(FILTER(INDIRECT(""'"" &amp; $B$16 &amp; ""'!"" &amp; $B28 &amp; "":"" &amp; $B28), INDIRECT(""'"" &amp; $B$16 &amp; ""'!"" &amp; $B$17 &amp; "":"" &amp; $B$17) = N$21, ISNUMBER(SEARCH($B$4, INDIRECT(""'"" &amp; $B$16 &amp; ""'!"" &amp; $B$12 &amp; "":"" &amp; $B$12)))))"),"#N/A")</f>
        <v>#N/A</v>
      </c>
      <c r="T28" s="106" t="str">
        <f t="shared" si="29"/>
        <v>#N/A</v>
      </c>
      <c r="U28" s="106" t="str">
        <f t="shared" si="30"/>
        <v>#N/A</v>
      </c>
      <c r="V28" s="106" t="str">
        <f t="shared" si="31"/>
        <v>#N/A</v>
      </c>
      <c r="W28" s="106" t="str">
        <f t="shared" si="32"/>
        <v>#N/A</v>
      </c>
      <c r="X28" s="106" t="str">
        <f t="shared" si="33"/>
        <v>#N/A</v>
      </c>
      <c r="Y28" s="106" t="str">
        <f t="shared" si="34"/>
        <v>#N/A</v>
      </c>
      <c r="Z28" s="106" t="str">
        <f t="shared" si="35"/>
        <v>#N/A</v>
      </c>
      <c r="AA28" s="106" t="str">
        <f t="shared" si="36"/>
        <v>#N/A</v>
      </c>
      <c r="AB28" s="106" t="str">
        <f t="shared" si="37"/>
        <v>#N/A</v>
      </c>
      <c r="AC28" s="106" t="str">
        <f t="shared" si="38"/>
        <v>#N/A</v>
      </c>
      <c r="AD28" s="107" t="str">
        <f t="shared" si="39"/>
        <v>#N/A</v>
      </c>
      <c r="AE28" s="107" t="str">
        <f t="shared" si="40"/>
        <v>#N/A</v>
      </c>
      <c r="AF28" s="107" t="str">
        <f t="shared" si="41"/>
        <v>#N/A</v>
      </c>
      <c r="AG28" s="107" t="str">
        <f t="shared" si="42"/>
        <v>#N/A</v>
      </c>
      <c r="AH28" s="107" t="str">
        <f t="shared" si="43"/>
        <v>#N/A</v>
      </c>
      <c r="AI28" s="106" t="str">
        <f t="shared" si="44"/>
        <v>#N/A</v>
      </c>
      <c r="AJ28" s="106" t="str">
        <f t="shared" si="45"/>
        <v>#N/A</v>
      </c>
      <c r="AK28" s="108" t="str">
        <f t="shared" si="46"/>
        <v>#N/A</v>
      </c>
      <c r="AL28" s="109" t="str">
        <f t="shared" si="47"/>
        <v>#N/A</v>
      </c>
      <c r="AM28" s="110" t="str">
        <f t="shared" si="48"/>
        <v>#N/A</v>
      </c>
    </row>
    <row r="29" ht="15.75" customHeight="1">
      <c r="A29" s="271" t="s">
        <v>369</v>
      </c>
      <c r="B29" s="90" t="str">
        <f t="shared" si="26"/>
        <v>$BV</v>
      </c>
      <c r="C29" s="288">
        <v>10.0</v>
      </c>
      <c r="D29" s="289">
        <f t="shared" ref="D29:H29" si="54">COUNTIFS(INDIRECT("'" &amp; $B$16 &amp; "'!" &amp; $B$17 &amp; ":" &amp; $B$17),D$21,INDIRECT("'" &amp; $B$16 &amp; "'!" &amp; $B29 &amp; ":" &amp; $B29),1,INDIRECT("'" &amp; $B$16 &amp; "'!" &amp; $B$12 &amp; ":" &amp; $B$12), "*" &amp; $B$4 &amp; "*")
</f>
        <v>0</v>
      </c>
      <c r="E29" s="289">
        <f t="shared" si="54"/>
        <v>0</v>
      </c>
      <c r="F29" s="289">
        <f t="shared" si="54"/>
        <v>0</v>
      </c>
      <c r="G29" s="289">
        <f t="shared" si="54"/>
        <v>0</v>
      </c>
      <c r="H29" s="289">
        <f t="shared" si="54"/>
        <v>0</v>
      </c>
      <c r="I29" s="289">
        <f t="shared" si="28"/>
        <v>0</v>
      </c>
      <c r="J29" s="290" t="str">
        <f>IFERROR(__xludf.DUMMYFUNCTION("VAR.S(FILTER(INDIRECT(""'"" &amp; $B$16 &amp; ""'!"" &amp; $B29 &amp; "":"" &amp; $B29), INDIRECT(""'"" &amp; $B$16 &amp; ""'!"" &amp; $B$17 &amp; "":"" &amp; $B$17) = J$21, ISNUMBER(SEARCH($B$4, INDIRECT(""'"" &amp; $B$16 &amp; ""'!"" &amp; $B$12 &amp; "":"" &amp; $B$12)))))/$D$6"),"#N/A")</f>
        <v>#N/A</v>
      </c>
      <c r="K29" s="290" t="str">
        <f>IFERROR(__xludf.DUMMYFUNCTION("VAR.S(FILTER(INDIRECT(""'"" &amp; $B$16 &amp; ""'!"" &amp; $B29 &amp; "":"" &amp; $B29), INDIRECT(""'"" &amp; $B$16 &amp; ""'!"" &amp; $B$17 &amp; "":"" &amp; $B$17) = K$21, ISNUMBER(SEARCH($B$4, INDIRECT(""'"" &amp; $B$16 &amp; ""'!"" &amp; $B$12 &amp; "":"" &amp; $B$12)))))/$D$7"),"#N/A")</f>
        <v>#N/A</v>
      </c>
      <c r="L29" s="290" t="str">
        <f>IFERROR(__xludf.DUMMYFUNCTION("VAR.S(FILTER(INDIRECT(""'"" &amp; $B$16 &amp; ""'!"" &amp; $B29 &amp; "":"" &amp; $B29), INDIRECT(""'"" &amp; $B$16 &amp; ""'!"" &amp; $B$17 &amp; "":"" &amp; $B$17) = L$21, ISNUMBER(SEARCH($B$4, INDIRECT(""'"" &amp; $B$16 &amp; ""'!"" &amp; $B$12 &amp; "":"" &amp; $B$12)))))/$D$8"),"#N/A")</f>
        <v>#N/A</v>
      </c>
      <c r="M29" s="290" t="str">
        <f>IFERROR(__xludf.DUMMYFUNCTION("VAR.S(FILTER(INDIRECT(""'"" &amp; $B$16 &amp; ""'!"" &amp; $B29 &amp; "":"" &amp; $B29), INDIRECT(""'"" &amp; $B$16 &amp; ""'!"" &amp; $B$17 &amp; "":"" &amp; $B$17) = M$21, ISNUMBER(SEARCH($B$4, INDIRECT(""'"" &amp; $B$16 &amp; ""'!"" &amp; $B$12 &amp; "":"" &amp; $B$12)))))/$D$9"),"#N/A")</f>
        <v>#N/A</v>
      </c>
      <c r="N29" s="290" t="str">
        <f>IFERROR(__xludf.DUMMYFUNCTION("VAR.S(FILTER(INDIRECT(""'"" &amp; $B$16 &amp; ""'!"" &amp; $B29 &amp; "":"" &amp; $B29), INDIRECT(""'"" &amp; $B$16 &amp; ""'!"" &amp; $B$17 &amp; "":"" &amp; $B$17) = N$21, ISNUMBER(SEARCH($B$4, INDIRECT(""'"" &amp; $B$16 &amp; ""'!"" &amp; $B$12 &amp; "":"" &amp; $B$12)))))/$D$10"),"#N/A")</f>
        <v>#N/A</v>
      </c>
      <c r="O29" s="291" t="str">
        <f>IFERROR(__xludf.DUMMYFUNCTION("AVERAGE(FILTER(INDIRECT(""'"" &amp; $B$16 &amp; ""'!"" &amp; $B29 &amp; "":"" &amp; $B29), INDIRECT(""'"" &amp; $B$16 &amp; ""'!"" &amp; $B$17 &amp; "":"" &amp; $B$17) = J$21, ISNUMBER(SEARCH($B$4, INDIRECT(""'"" &amp; $B$16 &amp; ""'!"" &amp; $B$12 &amp; "":"" &amp; $B$12)))))"),"#N/A")</f>
        <v>#N/A</v>
      </c>
      <c r="P29" s="291" t="str">
        <f>IFERROR(__xludf.DUMMYFUNCTION("AVERAGE(FILTER(INDIRECT(""'"" &amp; $B$16 &amp; ""'!"" &amp; $B29 &amp; "":"" &amp; $B29), INDIRECT(""'"" &amp; $B$16 &amp; ""'!"" &amp; $B$17 &amp; "":"" &amp; $B$17) = K$21, ISNUMBER(SEARCH($B$4, INDIRECT(""'"" &amp; $B$16 &amp; ""'!"" &amp; $B$12 &amp; "":"" &amp; $B$12)))))"),"#N/A")</f>
        <v>#N/A</v>
      </c>
      <c r="Q29" s="291" t="str">
        <f>IFERROR(__xludf.DUMMYFUNCTION("AVERAGE(FILTER(INDIRECT(""'"" &amp; $B$16 &amp; ""'!"" &amp; $B29 &amp; "":"" &amp; $B29), INDIRECT(""'"" &amp; $B$16 &amp; ""'!"" &amp; $B$17 &amp; "":"" &amp; $B$17) = L$21, ISNUMBER(SEARCH($B$4, INDIRECT(""'"" &amp; $B$16 &amp; ""'!"" &amp; $B$12 &amp; "":"" &amp; $B$12)))))"),"#N/A")</f>
        <v>#N/A</v>
      </c>
      <c r="R29" s="291" t="str">
        <f>IFERROR(__xludf.DUMMYFUNCTION("AVERAGE(FILTER(INDIRECT(""'"" &amp; $B$16 &amp; ""'!"" &amp; $B29 &amp; "":"" &amp; $B29), INDIRECT(""'"" &amp; $B$16 &amp; ""'!"" &amp; $B$17 &amp; "":"" &amp; $B$17) = M$21, ISNUMBER(SEARCH($B$4, INDIRECT(""'"" &amp; $B$16 &amp; ""'!"" &amp; $B$12 &amp; "":"" &amp; $B$12)))))"),"#N/A")</f>
        <v>#N/A</v>
      </c>
      <c r="S29" s="291" t="str">
        <f>IFERROR(__xludf.DUMMYFUNCTION("AVERAGE(FILTER(INDIRECT(""'"" &amp; $B$16 &amp; ""'!"" &amp; $B29 &amp; "":"" &amp; $B29), INDIRECT(""'"" &amp; $B$16 &amp; ""'!"" &amp; $B$17 &amp; "":"" &amp; $B$17) = N$21, ISNUMBER(SEARCH($B$4, INDIRECT(""'"" &amp; $B$16 &amp; ""'!"" &amp; $B$12 &amp; "":"" &amp; $B$12)))))"),"#N/A")</f>
        <v>#N/A</v>
      </c>
      <c r="T29" s="106" t="str">
        <f t="shared" si="29"/>
        <v>#N/A</v>
      </c>
      <c r="U29" s="106" t="str">
        <f t="shared" si="30"/>
        <v>#N/A</v>
      </c>
      <c r="V29" s="106" t="str">
        <f t="shared" si="31"/>
        <v>#N/A</v>
      </c>
      <c r="W29" s="106" t="str">
        <f t="shared" si="32"/>
        <v>#N/A</v>
      </c>
      <c r="X29" s="106" t="str">
        <f t="shared" si="33"/>
        <v>#N/A</v>
      </c>
      <c r="Y29" s="106" t="str">
        <f t="shared" si="34"/>
        <v>#N/A</v>
      </c>
      <c r="Z29" s="106" t="str">
        <f t="shared" si="35"/>
        <v>#N/A</v>
      </c>
      <c r="AA29" s="106" t="str">
        <f t="shared" si="36"/>
        <v>#N/A</v>
      </c>
      <c r="AB29" s="106" t="str">
        <f t="shared" si="37"/>
        <v>#N/A</v>
      </c>
      <c r="AC29" s="106" t="str">
        <f t="shared" si="38"/>
        <v>#N/A</v>
      </c>
      <c r="AD29" s="107" t="str">
        <f t="shared" si="39"/>
        <v>#N/A</v>
      </c>
      <c r="AE29" s="107" t="str">
        <f t="shared" si="40"/>
        <v>#N/A</v>
      </c>
      <c r="AF29" s="107" t="str">
        <f t="shared" si="41"/>
        <v>#N/A</v>
      </c>
      <c r="AG29" s="107" t="str">
        <f t="shared" si="42"/>
        <v>#N/A</v>
      </c>
      <c r="AH29" s="107" t="str">
        <f t="shared" si="43"/>
        <v>#N/A</v>
      </c>
      <c r="AI29" s="106" t="str">
        <f t="shared" si="44"/>
        <v>#N/A</v>
      </c>
      <c r="AJ29" s="106" t="str">
        <f t="shared" si="45"/>
        <v>#N/A</v>
      </c>
      <c r="AK29" s="108" t="str">
        <f t="shared" si="46"/>
        <v>#N/A</v>
      </c>
      <c r="AL29" s="109" t="str">
        <f t="shared" si="47"/>
        <v>#N/A</v>
      </c>
      <c r="AM29" s="110" t="str">
        <f t="shared" si="48"/>
        <v>#N/A</v>
      </c>
    </row>
    <row r="30" ht="15.75" customHeight="1">
      <c r="A30" s="271" t="s">
        <v>372</v>
      </c>
      <c r="B30" s="90" t="str">
        <f t="shared" si="26"/>
        <v>$BW</v>
      </c>
      <c r="C30" s="288">
        <v>11.0</v>
      </c>
      <c r="D30" s="289">
        <f t="shared" ref="D30:H30" si="55">COUNTIFS(INDIRECT("'" &amp; $B$16 &amp; "'!" &amp; $B$17 &amp; ":" &amp; $B$17),D$21,INDIRECT("'" &amp; $B$16 &amp; "'!" &amp; $B30 &amp; ":" &amp; $B30),1,INDIRECT("'" &amp; $B$16 &amp; "'!" &amp; $B$12 &amp; ":" &amp; $B$12), "*" &amp; $B$4 &amp; "*")
</f>
        <v>0</v>
      </c>
      <c r="E30" s="289">
        <f t="shared" si="55"/>
        <v>0</v>
      </c>
      <c r="F30" s="289">
        <f t="shared" si="55"/>
        <v>0</v>
      </c>
      <c r="G30" s="289">
        <f t="shared" si="55"/>
        <v>0</v>
      </c>
      <c r="H30" s="289">
        <f t="shared" si="55"/>
        <v>0</v>
      </c>
      <c r="I30" s="289">
        <f t="shared" si="28"/>
        <v>0</v>
      </c>
      <c r="J30" s="290" t="str">
        <f>IFERROR(__xludf.DUMMYFUNCTION("VAR.S(FILTER(INDIRECT(""'"" &amp; $B$16 &amp; ""'!"" &amp; $B30 &amp; "":"" &amp; $B30), INDIRECT(""'"" &amp; $B$16 &amp; ""'!"" &amp; $B$17 &amp; "":"" &amp; $B$17) = J$21, ISNUMBER(SEARCH($B$4, INDIRECT(""'"" &amp; $B$16 &amp; ""'!"" &amp; $B$12 &amp; "":"" &amp; $B$12)))))/$D$6"),"#N/A")</f>
        <v>#N/A</v>
      </c>
      <c r="K30" s="290" t="str">
        <f>IFERROR(__xludf.DUMMYFUNCTION("VAR.S(FILTER(INDIRECT(""'"" &amp; $B$16 &amp; ""'!"" &amp; $B30 &amp; "":"" &amp; $B30), INDIRECT(""'"" &amp; $B$16 &amp; ""'!"" &amp; $B$17 &amp; "":"" &amp; $B$17) = K$21, ISNUMBER(SEARCH($B$4, INDIRECT(""'"" &amp; $B$16 &amp; ""'!"" &amp; $B$12 &amp; "":"" &amp; $B$12)))))/$D$7"),"#N/A")</f>
        <v>#N/A</v>
      </c>
      <c r="L30" s="290" t="str">
        <f>IFERROR(__xludf.DUMMYFUNCTION("VAR.S(FILTER(INDIRECT(""'"" &amp; $B$16 &amp; ""'!"" &amp; $B30 &amp; "":"" &amp; $B30), INDIRECT(""'"" &amp; $B$16 &amp; ""'!"" &amp; $B$17 &amp; "":"" &amp; $B$17) = L$21, ISNUMBER(SEARCH($B$4, INDIRECT(""'"" &amp; $B$16 &amp; ""'!"" &amp; $B$12 &amp; "":"" &amp; $B$12)))))/$D$8"),"#N/A")</f>
        <v>#N/A</v>
      </c>
      <c r="M30" s="290" t="str">
        <f>IFERROR(__xludf.DUMMYFUNCTION("VAR.S(FILTER(INDIRECT(""'"" &amp; $B$16 &amp; ""'!"" &amp; $B30 &amp; "":"" &amp; $B30), INDIRECT(""'"" &amp; $B$16 &amp; ""'!"" &amp; $B$17 &amp; "":"" &amp; $B$17) = M$21, ISNUMBER(SEARCH($B$4, INDIRECT(""'"" &amp; $B$16 &amp; ""'!"" &amp; $B$12 &amp; "":"" &amp; $B$12)))))/$D$9"),"#N/A")</f>
        <v>#N/A</v>
      </c>
      <c r="N30" s="290" t="str">
        <f>IFERROR(__xludf.DUMMYFUNCTION("VAR.S(FILTER(INDIRECT(""'"" &amp; $B$16 &amp; ""'!"" &amp; $B30 &amp; "":"" &amp; $B30), INDIRECT(""'"" &amp; $B$16 &amp; ""'!"" &amp; $B$17 &amp; "":"" &amp; $B$17) = N$21, ISNUMBER(SEARCH($B$4, INDIRECT(""'"" &amp; $B$16 &amp; ""'!"" &amp; $B$12 &amp; "":"" &amp; $B$12)))))/$D$10"),"#N/A")</f>
        <v>#N/A</v>
      </c>
      <c r="O30" s="291" t="str">
        <f>IFERROR(__xludf.DUMMYFUNCTION("AVERAGE(FILTER(INDIRECT(""'"" &amp; $B$16 &amp; ""'!"" &amp; $B30 &amp; "":"" &amp; $B30), INDIRECT(""'"" &amp; $B$16 &amp; ""'!"" &amp; $B$17 &amp; "":"" &amp; $B$17) = J$21, ISNUMBER(SEARCH($B$4, INDIRECT(""'"" &amp; $B$16 &amp; ""'!"" &amp; $B$12 &amp; "":"" &amp; $B$12)))))"),"#N/A")</f>
        <v>#N/A</v>
      </c>
      <c r="P30" s="291" t="str">
        <f>IFERROR(__xludf.DUMMYFUNCTION("AVERAGE(FILTER(INDIRECT(""'"" &amp; $B$16 &amp; ""'!"" &amp; $B30 &amp; "":"" &amp; $B30), INDIRECT(""'"" &amp; $B$16 &amp; ""'!"" &amp; $B$17 &amp; "":"" &amp; $B$17) = K$21, ISNUMBER(SEARCH($B$4, INDIRECT(""'"" &amp; $B$16 &amp; ""'!"" &amp; $B$12 &amp; "":"" &amp; $B$12)))))"),"#N/A")</f>
        <v>#N/A</v>
      </c>
      <c r="Q30" s="291" t="str">
        <f>IFERROR(__xludf.DUMMYFUNCTION("AVERAGE(FILTER(INDIRECT(""'"" &amp; $B$16 &amp; ""'!"" &amp; $B30 &amp; "":"" &amp; $B30), INDIRECT(""'"" &amp; $B$16 &amp; ""'!"" &amp; $B$17 &amp; "":"" &amp; $B$17) = L$21, ISNUMBER(SEARCH($B$4, INDIRECT(""'"" &amp; $B$16 &amp; ""'!"" &amp; $B$12 &amp; "":"" &amp; $B$12)))))"),"#N/A")</f>
        <v>#N/A</v>
      </c>
      <c r="R30" s="291" t="str">
        <f>IFERROR(__xludf.DUMMYFUNCTION("AVERAGE(FILTER(INDIRECT(""'"" &amp; $B$16 &amp; ""'!"" &amp; $B30 &amp; "":"" &amp; $B30), INDIRECT(""'"" &amp; $B$16 &amp; ""'!"" &amp; $B$17 &amp; "":"" &amp; $B$17) = M$21, ISNUMBER(SEARCH($B$4, INDIRECT(""'"" &amp; $B$16 &amp; ""'!"" &amp; $B$12 &amp; "":"" &amp; $B$12)))))"),"#N/A")</f>
        <v>#N/A</v>
      </c>
      <c r="S30" s="291" t="str">
        <f>IFERROR(__xludf.DUMMYFUNCTION("AVERAGE(FILTER(INDIRECT(""'"" &amp; $B$16 &amp; ""'!"" &amp; $B30 &amp; "":"" &amp; $B30), INDIRECT(""'"" &amp; $B$16 &amp; ""'!"" &amp; $B$17 &amp; "":"" &amp; $B$17) = N$21, ISNUMBER(SEARCH($B$4, INDIRECT(""'"" &amp; $B$16 &amp; ""'!"" &amp; $B$12 &amp; "":"" &amp; $B$12)))))"),"#N/A")</f>
        <v>#N/A</v>
      </c>
      <c r="T30" s="106" t="str">
        <f t="shared" si="29"/>
        <v>#N/A</v>
      </c>
      <c r="U30" s="106" t="str">
        <f t="shared" si="30"/>
        <v>#N/A</v>
      </c>
      <c r="V30" s="106" t="str">
        <f t="shared" si="31"/>
        <v>#N/A</v>
      </c>
      <c r="W30" s="106" t="str">
        <f t="shared" si="32"/>
        <v>#N/A</v>
      </c>
      <c r="X30" s="106" t="str">
        <f t="shared" si="33"/>
        <v>#N/A</v>
      </c>
      <c r="Y30" s="106" t="str">
        <f t="shared" si="34"/>
        <v>#N/A</v>
      </c>
      <c r="Z30" s="106" t="str">
        <f t="shared" si="35"/>
        <v>#N/A</v>
      </c>
      <c r="AA30" s="106" t="str">
        <f t="shared" si="36"/>
        <v>#N/A</v>
      </c>
      <c r="AB30" s="106" t="str">
        <f t="shared" si="37"/>
        <v>#N/A</v>
      </c>
      <c r="AC30" s="106" t="str">
        <f t="shared" si="38"/>
        <v>#N/A</v>
      </c>
      <c r="AD30" s="107" t="str">
        <f t="shared" si="39"/>
        <v>#N/A</v>
      </c>
      <c r="AE30" s="107" t="str">
        <f t="shared" si="40"/>
        <v>#N/A</v>
      </c>
      <c r="AF30" s="107" t="str">
        <f t="shared" si="41"/>
        <v>#N/A</v>
      </c>
      <c r="AG30" s="107" t="str">
        <f t="shared" si="42"/>
        <v>#N/A</v>
      </c>
      <c r="AH30" s="107" t="str">
        <f t="shared" si="43"/>
        <v>#N/A</v>
      </c>
      <c r="AI30" s="106" t="str">
        <f t="shared" si="44"/>
        <v>#N/A</v>
      </c>
      <c r="AJ30" s="106" t="str">
        <f t="shared" si="45"/>
        <v>#N/A</v>
      </c>
      <c r="AK30" s="108" t="str">
        <f t="shared" si="46"/>
        <v>#N/A</v>
      </c>
      <c r="AL30" s="109" t="str">
        <f t="shared" si="47"/>
        <v>#N/A</v>
      </c>
      <c r="AM30" s="110" t="str">
        <f t="shared" si="48"/>
        <v>#N/A</v>
      </c>
    </row>
    <row r="31" ht="15.75" customHeight="1">
      <c r="A31" s="82" t="s">
        <v>487</v>
      </c>
      <c r="B31" s="82" t="s">
        <v>568</v>
      </c>
      <c r="C31" s="85"/>
      <c r="D31" s="85"/>
      <c r="E31" s="85"/>
      <c r="F31" s="85"/>
      <c r="G31" s="85"/>
      <c r="H31" s="85"/>
      <c r="I31" s="235"/>
      <c r="J31" s="85"/>
      <c r="K31" s="85"/>
      <c r="L31" s="85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292"/>
      <c r="AE31" s="292"/>
      <c r="AF31" s="292"/>
      <c r="AG31" s="292"/>
      <c r="AH31" s="292"/>
      <c r="AI31" s="85"/>
      <c r="AJ31" s="85"/>
      <c r="AK31" s="85"/>
      <c r="AL31" s="112"/>
      <c r="AM31" s="293" t="str">
        <f>SUM(AM22:AM30)</f>
        <v>#N/A</v>
      </c>
    </row>
    <row r="32" ht="15.75" customHeight="1">
      <c r="A32" s="115" t="s">
        <v>375</v>
      </c>
      <c r="B32" s="90" t="str">
        <f t="shared" ref="B32:B40" si="57">IFERROR("$" &amp; SUBSTITUTE(ADDRESS(1, MATCH(A32, INDIRECT("'" &amp; $B$16 &amp; "'!1:1"), 0), 4), "1", ""), "Not Found")
</f>
        <v>$BX</v>
      </c>
      <c r="C32" s="288">
        <v>1.0</v>
      </c>
      <c r="D32" s="294">
        <f t="shared" ref="D32:H32" si="56">COUNTIFS(INDIRECT("'" &amp; $B$16 &amp; "'!" &amp; $B$17 &amp; ":" &amp; $B$17),D$21,INDIRECT("'" &amp; $B$16 &amp; "'!" &amp; $B32 &amp; ":" &amp; $B32),1,INDIRECT("'" &amp; $B$16 &amp; "'!" &amp; $B$12 &amp; ":" &amp; $B$12), "*" &amp; $B$4 &amp; "*")
</f>
        <v>0</v>
      </c>
      <c r="E32" s="294">
        <f t="shared" si="56"/>
        <v>0</v>
      </c>
      <c r="F32" s="294">
        <f t="shared" si="56"/>
        <v>0</v>
      </c>
      <c r="G32" s="294">
        <f t="shared" si="56"/>
        <v>0</v>
      </c>
      <c r="H32" s="294">
        <f t="shared" si="56"/>
        <v>0</v>
      </c>
      <c r="I32" s="294">
        <f t="shared" ref="I32:I40" si="59">SUM(D32:H32)</f>
        <v>0</v>
      </c>
      <c r="J32" s="295" t="str">
        <f>IFERROR(__xludf.DUMMYFUNCTION("VAR.S(FILTER(INDIRECT(""'"" &amp; $B$16 &amp; ""'!"" &amp; $B32 &amp; "":"" &amp; $B32), INDIRECT(""'"" &amp; $B$16 &amp; ""'!"" &amp; $B$17 &amp; "":"" &amp; $B$17) = J$21, ISNUMBER(SEARCH($B$4, INDIRECT(""'"" &amp; $B$16 &amp; ""'!"" &amp; $B$12 &amp; "":"" &amp; $B$12)))))/$D$6"),"#N/A")</f>
        <v>#N/A</v>
      </c>
      <c r="K32" s="295" t="str">
        <f>IFERROR(__xludf.DUMMYFUNCTION("VAR.S(FILTER(INDIRECT(""'"" &amp; $B$16 &amp; ""'!"" &amp; $B32 &amp; "":"" &amp; $B32), INDIRECT(""'"" &amp; $B$16 &amp; ""'!"" &amp; $B$17 &amp; "":"" &amp; $B$17) = K$21, ISNUMBER(SEARCH($B$4, INDIRECT(""'"" &amp; $B$16 &amp; ""'!"" &amp; $B$12 &amp; "":"" &amp; $B$12)))))/$D$7"),"#N/A")</f>
        <v>#N/A</v>
      </c>
      <c r="L32" s="295" t="str">
        <f>IFERROR(__xludf.DUMMYFUNCTION("VAR.S(FILTER(INDIRECT(""'"" &amp; $B$16 &amp; ""'!"" &amp; $B32 &amp; "":"" &amp; $B32), INDIRECT(""'"" &amp; $B$16 &amp; ""'!"" &amp; $B$17 &amp; "":"" &amp; $B$17) = L$21, ISNUMBER(SEARCH($B$4, INDIRECT(""'"" &amp; $B$16 &amp; ""'!"" &amp; $B$12 &amp; "":"" &amp; $B$12)))))/$D$8"),"#N/A")</f>
        <v>#N/A</v>
      </c>
      <c r="M32" s="296" t="str">
        <f>IFERROR(__xludf.DUMMYFUNCTION("VAR.S(FILTER(INDIRECT(""'"" &amp; $B$16 &amp; ""'!"" &amp; $B32 &amp; "":"" &amp; $B32), INDIRECT(""'"" &amp; $B$16 &amp; ""'!"" &amp; $B$17 &amp; "":"" &amp; $B$17) = M$21, ISNUMBER(SEARCH($B$4, INDIRECT(""'"" &amp; $B$16 &amp; ""'!"" &amp; $B$12 &amp; "":"" &amp; $B$12)))))/$D$9"),"#N/A")</f>
        <v>#N/A</v>
      </c>
      <c r="N32" s="296" t="str">
        <f>IFERROR(__xludf.DUMMYFUNCTION("VAR.S(FILTER(INDIRECT(""'"" &amp; $B$16 &amp; ""'!"" &amp; $B32 &amp; "":"" &amp; $B32), INDIRECT(""'"" &amp; $B$16 &amp; ""'!"" &amp; $B$17 &amp; "":"" &amp; $B$17) = N$21, ISNUMBER(SEARCH($B$4, INDIRECT(""'"" &amp; $B$16 &amp; ""'!"" &amp; $B$12 &amp; "":"" &amp; $B$12)))))/$D$10"),"#N/A")</f>
        <v>#N/A</v>
      </c>
      <c r="O32" s="297" t="str">
        <f>IFERROR(__xludf.DUMMYFUNCTION("AVERAGE(FILTER(INDIRECT(""'"" &amp; $B$16 &amp; ""'!"" &amp; $B32 &amp; "":"" &amp; $B32), INDIRECT(""'"" &amp; $B$16 &amp; ""'!"" &amp; $B$17 &amp; "":"" &amp; $B$17) = J$21, ISNUMBER(SEARCH($B$4, INDIRECT(""'"" &amp; $B$16 &amp; ""'!"" &amp; $B$12 &amp; "":"" &amp; $B$12)))))"),"#N/A")</f>
        <v>#N/A</v>
      </c>
      <c r="P32" s="297" t="str">
        <f>IFERROR(__xludf.DUMMYFUNCTION("AVERAGE(FILTER(INDIRECT(""'"" &amp; $B$16 &amp; ""'!"" &amp; $B32 &amp; "":"" &amp; $B32), INDIRECT(""'"" &amp; $B$16 &amp; ""'!"" &amp; $B$17 &amp; "":"" &amp; $B$17) = K$21, ISNUMBER(SEARCH($B$4, INDIRECT(""'"" &amp; $B$16 &amp; ""'!"" &amp; $B$12 &amp; "":"" &amp; $B$12)))))"),"#N/A")</f>
        <v>#N/A</v>
      </c>
      <c r="Q32" s="297" t="str">
        <f>IFERROR(__xludf.DUMMYFUNCTION("AVERAGE(FILTER(INDIRECT(""'"" &amp; $B$16 &amp; ""'!"" &amp; $B32 &amp; "":"" &amp; $B32), INDIRECT(""'"" &amp; $B$16 &amp; ""'!"" &amp; $B$17 &amp; "":"" &amp; $B$17) = L$21, ISNUMBER(SEARCH($B$4, INDIRECT(""'"" &amp; $B$16 &amp; ""'!"" &amp; $B$12 &amp; "":"" &amp; $B$12)))))"),"#N/A")</f>
        <v>#N/A</v>
      </c>
      <c r="R32" s="297" t="str">
        <f>IFERROR(__xludf.DUMMYFUNCTION("AVERAGE(FILTER(INDIRECT(""'"" &amp; $B$16 &amp; ""'!"" &amp; $B32 &amp; "":"" &amp; $B32), INDIRECT(""'"" &amp; $B$16 &amp; ""'!"" &amp; $B$17 &amp; "":"" &amp; $B$17) = M$21, ISNUMBER(SEARCH($B$4, INDIRECT(""'"" &amp; $B$16 &amp; ""'!"" &amp; $B$12 &amp; "":"" &amp; $B$12)))))"),"#N/A")</f>
        <v>#N/A</v>
      </c>
      <c r="S32" s="297" t="str">
        <f>IFERROR(__xludf.DUMMYFUNCTION("AVERAGE(FILTER(INDIRECT(""'"" &amp; $B$16 &amp; ""'!"" &amp; $B32 &amp; "":"" &amp; $B32), INDIRECT(""'"" &amp; $B$16 &amp; ""'!"" &amp; $B$17 &amp; "":"" &amp; $B$17) = N$21, ISNUMBER(SEARCH($B$4, INDIRECT(""'"" &amp; $B$16 &amp; ""'!"" &amp; $B$12 &amp; "":"" &amp; $B$12)))))"),"#N/A")</f>
        <v>#N/A</v>
      </c>
      <c r="T32" s="298" t="str">
        <f t="shared" ref="T32:T40" si="60">($B$6^2*J32)^0.5</f>
        <v>#N/A</v>
      </c>
      <c r="U32" s="298" t="str">
        <f t="shared" ref="U32:U40" si="61">($B$7^2*K32)^0.5</f>
        <v>#N/A</v>
      </c>
      <c r="V32" s="298" t="str">
        <f t="shared" ref="V32:V40" si="62">($B$8^2*L32)^0.5</f>
        <v>#N/A</v>
      </c>
      <c r="W32" s="298" t="str">
        <f t="shared" ref="W32:W40" si="63">($B$9^2*M32)^0.5</f>
        <v>#N/A</v>
      </c>
      <c r="X32" s="298" t="str">
        <f t="shared" ref="X32:X40" si="64">($B$10^2*N32)^0.5</f>
        <v>#N/A</v>
      </c>
      <c r="Y32" s="298" t="str">
        <f t="shared" ref="Y32:Y40" si="65">O32*$B$6</f>
        <v>#N/A</v>
      </c>
      <c r="Z32" s="298" t="str">
        <f t="shared" ref="Z32:Z40" si="66">P32*$B$7</f>
        <v>#N/A</v>
      </c>
      <c r="AA32" s="298" t="str">
        <f t="shared" ref="AA32:AA40" si="67">Q32*$B$8</f>
        <v>#N/A</v>
      </c>
      <c r="AB32" s="298" t="str">
        <f t="shared" ref="AB32:AB40" si="68">R32*$B$9</f>
        <v>#N/A</v>
      </c>
      <c r="AC32" s="298" t="str">
        <f t="shared" ref="AC32:AC40" si="69">S32*$B$10</f>
        <v>#N/A</v>
      </c>
      <c r="AD32" s="297" t="str">
        <f t="shared" ref="AD32:AD40" si="70">O32*$C$6</f>
        <v>#N/A</v>
      </c>
      <c r="AE32" s="297" t="str">
        <f t="shared" ref="AE32:AE40" si="71">P32*$C$7</f>
        <v>#N/A</v>
      </c>
      <c r="AF32" s="297" t="str">
        <f t="shared" ref="AF32:AF40" si="72">Q32*$C$8</f>
        <v>#N/A</v>
      </c>
      <c r="AG32" s="297" t="str">
        <f t="shared" ref="AG32:AG40" si="73">R32*$C$9</f>
        <v>#N/A</v>
      </c>
      <c r="AH32" s="297" t="str">
        <f t="shared" ref="AH32:AH40" si="74">S32*$C$10</f>
        <v>#N/A</v>
      </c>
      <c r="AI32" s="298" t="str">
        <f t="shared" ref="AI32:AI40" si="75">(T32*T32+U32*U32+V32*V32+W32*W32+X32*X32)^0.5</f>
        <v>#N/A</v>
      </c>
      <c r="AJ32" s="298" t="str">
        <f t="shared" ref="AJ32:AJ40" si="76">AI32*$B$14</f>
        <v>#N/A</v>
      </c>
      <c r="AK32" s="298" t="str">
        <f t="shared" ref="AK32:AK40" si="77">SUM(Y32:AC32)</f>
        <v>#N/A</v>
      </c>
      <c r="AL32" s="299" t="str">
        <f t="shared" ref="AL32:AL40" si="78">IF(AJ32=0,0,AJ32/AK32)</f>
        <v>#N/A</v>
      </c>
      <c r="AM32" s="121" t="str">
        <f t="shared" ref="AM32:AM40" si="79">AK32/$B$2</f>
        <v>#N/A</v>
      </c>
    </row>
    <row r="33" ht="15.75" customHeight="1">
      <c r="A33" s="115" t="s">
        <v>378</v>
      </c>
      <c r="B33" s="90" t="str">
        <f t="shared" si="57"/>
        <v>$BY</v>
      </c>
      <c r="C33" s="288">
        <v>2.0</v>
      </c>
      <c r="D33" s="294">
        <f t="shared" ref="D33:H33" si="58">COUNTIFS(INDIRECT("'" &amp; $B$16 &amp; "'!" &amp; $B$17 &amp; ":" &amp; $B$17),D$21,INDIRECT("'" &amp; $B$16 &amp; "'!" &amp; $B33 &amp; ":" &amp; $B33),1,INDIRECT("'" &amp; $B$16 &amp; "'!" &amp; $B$12 &amp; ":" &amp; $B$12), "*" &amp; $B$4 &amp; "*")
</f>
        <v>0</v>
      </c>
      <c r="E33" s="294">
        <f t="shared" si="58"/>
        <v>0</v>
      </c>
      <c r="F33" s="294">
        <f t="shared" si="58"/>
        <v>0</v>
      </c>
      <c r="G33" s="294">
        <f t="shared" si="58"/>
        <v>0</v>
      </c>
      <c r="H33" s="294">
        <f t="shared" si="58"/>
        <v>0</v>
      </c>
      <c r="I33" s="294">
        <f t="shared" si="59"/>
        <v>0</v>
      </c>
      <c r="J33" s="295" t="str">
        <f>IFERROR(__xludf.DUMMYFUNCTION("VAR.S(FILTER(INDIRECT(""'"" &amp; $B$16 &amp; ""'!"" &amp; $B33 &amp; "":"" &amp; $B33), INDIRECT(""'"" &amp; $B$16 &amp; ""'!"" &amp; $B$17 &amp; "":"" &amp; $B$17) = J$21, ISNUMBER(SEARCH($B$4, INDIRECT(""'"" &amp; $B$16 &amp; ""'!"" &amp; $B$12 &amp; "":"" &amp; $B$12)))))/$D$6"),"#N/A")</f>
        <v>#N/A</v>
      </c>
      <c r="K33" s="295" t="str">
        <f>IFERROR(__xludf.DUMMYFUNCTION("VAR.S(FILTER(INDIRECT(""'"" &amp; $B$16 &amp; ""'!"" &amp; $B33 &amp; "":"" &amp; $B33), INDIRECT(""'"" &amp; $B$16 &amp; ""'!"" &amp; $B$17 &amp; "":"" &amp; $B$17) = K$21, ISNUMBER(SEARCH($B$4, INDIRECT(""'"" &amp; $B$16 &amp; ""'!"" &amp; $B$12 &amp; "":"" &amp; $B$12)))))/$D$7"),"#N/A")</f>
        <v>#N/A</v>
      </c>
      <c r="L33" s="295" t="str">
        <f>IFERROR(__xludf.DUMMYFUNCTION("VAR.S(FILTER(INDIRECT(""'"" &amp; $B$16 &amp; ""'!"" &amp; $B33 &amp; "":"" &amp; $B33), INDIRECT(""'"" &amp; $B$16 &amp; ""'!"" &amp; $B$17 &amp; "":"" &amp; $B$17) = L$21, ISNUMBER(SEARCH($B$4, INDIRECT(""'"" &amp; $B$16 &amp; ""'!"" &amp; $B$12 &amp; "":"" &amp; $B$12)))))/$D$8"),"#N/A")</f>
        <v>#N/A</v>
      </c>
      <c r="M33" s="296" t="str">
        <f>IFERROR(__xludf.DUMMYFUNCTION("VAR.S(FILTER(INDIRECT(""'"" &amp; $B$16 &amp; ""'!"" &amp; $B33 &amp; "":"" &amp; $B33), INDIRECT(""'"" &amp; $B$16 &amp; ""'!"" &amp; $B$17 &amp; "":"" &amp; $B$17) = M$21, ISNUMBER(SEARCH($B$4, INDIRECT(""'"" &amp; $B$16 &amp; ""'!"" &amp; $B$12 &amp; "":"" &amp; $B$12)))))/$D$9"),"#N/A")</f>
        <v>#N/A</v>
      </c>
      <c r="N33" s="296" t="str">
        <f>IFERROR(__xludf.DUMMYFUNCTION("VAR.S(FILTER(INDIRECT(""'"" &amp; $B$16 &amp; ""'!"" &amp; $B33 &amp; "":"" &amp; $B33), INDIRECT(""'"" &amp; $B$16 &amp; ""'!"" &amp; $B$17 &amp; "":"" &amp; $B$17) = N$21, ISNUMBER(SEARCH($B$4, INDIRECT(""'"" &amp; $B$16 &amp; ""'!"" &amp; $B$12 &amp; "":"" &amp; $B$12)))))/$D$10"),"#N/A")</f>
        <v>#N/A</v>
      </c>
      <c r="O33" s="297" t="str">
        <f>IFERROR(__xludf.DUMMYFUNCTION("AVERAGE(FILTER(INDIRECT(""'"" &amp; $B$16 &amp; ""'!"" &amp; $B33 &amp; "":"" &amp; $B33), INDIRECT(""'"" &amp; $B$16 &amp; ""'!"" &amp; $B$17 &amp; "":"" &amp; $B$17) = J$21, ISNUMBER(SEARCH($B$4, INDIRECT(""'"" &amp; $B$16 &amp; ""'!"" &amp; $B$12 &amp; "":"" &amp; $B$12)))))"),"#N/A")</f>
        <v>#N/A</v>
      </c>
      <c r="P33" s="297" t="str">
        <f>IFERROR(__xludf.DUMMYFUNCTION("AVERAGE(FILTER(INDIRECT(""'"" &amp; $B$16 &amp; ""'!"" &amp; $B33 &amp; "":"" &amp; $B33), INDIRECT(""'"" &amp; $B$16 &amp; ""'!"" &amp; $B$17 &amp; "":"" &amp; $B$17) = K$21, ISNUMBER(SEARCH($B$4, INDIRECT(""'"" &amp; $B$16 &amp; ""'!"" &amp; $B$12 &amp; "":"" &amp; $B$12)))))"),"#N/A")</f>
        <v>#N/A</v>
      </c>
      <c r="Q33" s="297" t="str">
        <f>IFERROR(__xludf.DUMMYFUNCTION("AVERAGE(FILTER(INDIRECT(""'"" &amp; $B$16 &amp; ""'!"" &amp; $B33 &amp; "":"" &amp; $B33), INDIRECT(""'"" &amp; $B$16 &amp; ""'!"" &amp; $B$17 &amp; "":"" &amp; $B$17) = L$21, ISNUMBER(SEARCH($B$4, INDIRECT(""'"" &amp; $B$16 &amp; ""'!"" &amp; $B$12 &amp; "":"" &amp; $B$12)))))"),"#N/A")</f>
        <v>#N/A</v>
      </c>
      <c r="R33" s="297" t="str">
        <f>IFERROR(__xludf.DUMMYFUNCTION("AVERAGE(FILTER(INDIRECT(""'"" &amp; $B$16 &amp; ""'!"" &amp; $B33 &amp; "":"" &amp; $B33), INDIRECT(""'"" &amp; $B$16 &amp; ""'!"" &amp; $B$17 &amp; "":"" &amp; $B$17) = M$21, ISNUMBER(SEARCH($B$4, INDIRECT(""'"" &amp; $B$16 &amp; ""'!"" &amp; $B$12 &amp; "":"" &amp; $B$12)))))"),"#N/A")</f>
        <v>#N/A</v>
      </c>
      <c r="S33" s="297" t="str">
        <f>IFERROR(__xludf.DUMMYFUNCTION("AVERAGE(FILTER(INDIRECT(""'"" &amp; $B$16 &amp; ""'!"" &amp; $B33 &amp; "":"" &amp; $B33), INDIRECT(""'"" &amp; $B$16 &amp; ""'!"" &amp; $B$17 &amp; "":"" &amp; $B$17) = N$21, ISNUMBER(SEARCH($B$4, INDIRECT(""'"" &amp; $B$16 &amp; ""'!"" &amp; $B$12 &amp; "":"" &amp; $B$12)))))"),"#N/A")</f>
        <v>#N/A</v>
      </c>
      <c r="T33" s="298" t="str">
        <f t="shared" si="60"/>
        <v>#N/A</v>
      </c>
      <c r="U33" s="298" t="str">
        <f t="shared" si="61"/>
        <v>#N/A</v>
      </c>
      <c r="V33" s="298" t="str">
        <f t="shared" si="62"/>
        <v>#N/A</v>
      </c>
      <c r="W33" s="298" t="str">
        <f t="shared" si="63"/>
        <v>#N/A</v>
      </c>
      <c r="X33" s="298" t="str">
        <f t="shared" si="64"/>
        <v>#N/A</v>
      </c>
      <c r="Y33" s="298" t="str">
        <f t="shared" si="65"/>
        <v>#N/A</v>
      </c>
      <c r="Z33" s="298" t="str">
        <f t="shared" si="66"/>
        <v>#N/A</v>
      </c>
      <c r="AA33" s="298" t="str">
        <f t="shared" si="67"/>
        <v>#N/A</v>
      </c>
      <c r="AB33" s="298" t="str">
        <f t="shared" si="68"/>
        <v>#N/A</v>
      </c>
      <c r="AC33" s="298" t="str">
        <f t="shared" si="69"/>
        <v>#N/A</v>
      </c>
      <c r="AD33" s="297" t="str">
        <f t="shared" si="70"/>
        <v>#N/A</v>
      </c>
      <c r="AE33" s="297" t="str">
        <f t="shared" si="71"/>
        <v>#N/A</v>
      </c>
      <c r="AF33" s="297" t="str">
        <f t="shared" si="72"/>
        <v>#N/A</v>
      </c>
      <c r="AG33" s="297" t="str">
        <f t="shared" si="73"/>
        <v>#N/A</v>
      </c>
      <c r="AH33" s="297" t="str">
        <f t="shared" si="74"/>
        <v>#N/A</v>
      </c>
      <c r="AI33" s="298" t="str">
        <f t="shared" si="75"/>
        <v>#N/A</v>
      </c>
      <c r="AJ33" s="298" t="str">
        <f t="shared" si="76"/>
        <v>#N/A</v>
      </c>
      <c r="AK33" s="298" t="str">
        <f t="shared" si="77"/>
        <v>#N/A</v>
      </c>
      <c r="AL33" s="299" t="str">
        <f t="shared" si="78"/>
        <v>#N/A</v>
      </c>
      <c r="AM33" s="121" t="str">
        <f t="shared" si="79"/>
        <v>#N/A</v>
      </c>
    </row>
    <row r="34" ht="15.75" customHeight="1">
      <c r="A34" s="115" t="s">
        <v>381</v>
      </c>
      <c r="B34" s="90" t="str">
        <f t="shared" si="57"/>
        <v>$BZ</v>
      </c>
      <c r="C34" s="288">
        <v>3.0</v>
      </c>
      <c r="D34" s="294">
        <f t="shared" ref="D34:H34" si="80">COUNTIFS(INDIRECT("'" &amp; $B$16 &amp; "'!" &amp; $B$17 &amp; ":" &amp; $B$17),D$21,INDIRECT("'" &amp; $B$16 &amp; "'!" &amp; $B34 &amp; ":" &amp; $B34),1,INDIRECT("'" &amp; $B$16 &amp; "'!" &amp; $B$12 &amp; ":" &amp; $B$12), "*" &amp; $B$4 &amp; "*")
</f>
        <v>0</v>
      </c>
      <c r="E34" s="294">
        <f t="shared" si="80"/>
        <v>0</v>
      </c>
      <c r="F34" s="294">
        <f t="shared" si="80"/>
        <v>0</v>
      </c>
      <c r="G34" s="294">
        <f t="shared" si="80"/>
        <v>0</v>
      </c>
      <c r="H34" s="294">
        <f t="shared" si="80"/>
        <v>0</v>
      </c>
      <c r="I34" s="294">
        <f t="shared" si="59"/>
        <v>0</v>
      </c>
      <c r="J34" s="295" t="str">
        <f>IFERROR(__xludf.DUMMYFUNCTION("VAR.S(FILTER(INDIRECT(""'"" &amp; $B$16 &amp; ""'!"" &amp; $B34 &amp; "":"" &amp; $B34), INDIRECT(""'"" &amp; $B$16 &amp; ""'!"" &amp; $B$17 &amp; "":"" &amp; $B$17) = J$21, ISNUMBER(SEARCH($B$4, INDIRECT(""'"" &amp; $B$16 &amp; ""'!"" &amp; $B$12 &amp; "":"" &amp; $B$12)))))/$D$6"),"#N/A")</f>
        <v>#N/A</v>
      </c>
      <c r="K34" s="295" t="str">
        <f>IFERROR(__xludf.DUMMYFUNCTION("VAR.S(FILTER(INDIRECT(""'"" &amp; $B$16 &amp; ""'!"" &amp; $B34 &amp; "":"" &amp; $B34), INDIRECT(""'"" &amp; $B$16 &amp; ""'!"" &amp; $B$17 &amp; "":"" &amp; $B$17) = K$21, ISNUMBER(SEARCH($B$4, INDIRECT(""'"" &amp; $B$16 &amp; ""'!"" &amp; $B$12 &amp; "":"" &amp; $B$12)))))/$D$7"),"#N/A")</f>
        <v>#N/A</v>
      </c>
      <c r="L34" s="295" t="str">
        <f>IFERROR(__xludf.DUMMYFUNCTION("VAR.S(FILTER(INDIRECT(""'"" &amp; $B$16 &amp; ""'!"" &amp; $B34 &amp; "":"" &amp; $B34), INDIRECT(""'"" &amp; $B$16 &amp; ""'!"" &amp; $B$17 &amp; "":"" &amp; $B$17) = L$21, ISNUMBER(SEARCH($B$4, INDIRECT(""'"" &amp; $B$16 &amp; ""'!"" &amp; $B$12 &amp; "":"" &amp; $B$12)))))/$D$8"),"#N/A")</f>
        <v>#N/A</v>
      </c>
      <c r="M34" s="296" t="str">
        <f>IFERROR(__xludf.DUMMYFUNCTION("VAR.S(FILTER(INDIRECT(""'"" &amp; $B$16 &amp; ""'!"" &amp; $B34 &amp; "":"" &amp; $B34), INDIRECT(""'"" &amp; $B$16 &amp; ""'!"" &amp; $B$17 &amp; "":"" &amp; $B$17) = M$21, ISNUMBER(SEARCH($B$4, INDIRECT(""'"" &amp; $B$16 &amp; ""'!"" &amp; $B$12 &amp; "":"" &amp; $B$12)))))/$D$9"),"#N/A")</f>
        <v>#N/A</v>
      </c>
      <c r="N34" s="296" t="str">
        <f>IFERROR(__xludf.DUMMYFUNCTION("VAR.S(FILTER(INDIRECT(""'"" &amp; $B$16 &amp; ""'!"" &amp; $B34 &amp; "":"" &amp; $B34), INDIRECT(""'"" &amp; $B$16 &amp; ""'!"" &amp; $B$17 &amp; "":"" &amp; $B$17) = N$21, ISNUMBER(SEARCH($B$4, INDIRECT(""'"" &amp; $B$16 &amp; ""'!"" &amp; $B$12 &amp; "":"" &amp; $B$12)))))/$D$10"),"#N/A")</f>
        <v>#N/A</v>
      </c>
      <c r="O34" s="297" t="str">
        <f>IFERROR(__xludf.DUMMYFUNCTION("AVERAGE(FILTER(INDIRECT(""'"" &amp; $B$16 &amp; ""'!"" &amp; $B34 &amp; "":"" &amp; $B34), INDIRECT(""'"" &amp; $B$16 &amp; ""'!"" &amp; $B$17 &amp; "":"" &amp; $B$17) = J$21, ISNUMBER(SEARCH($B$4, INDIRECT(""'"" &amp; $B$16 &amp; ""'!"" &amp; $B$12 &amp; "":"" &amp; $B$12)))))"),"#N/A")</f>
        <v>#N/A</v>
      </c>
      <c r="P34" s="297" t="str">
        <f>IFERROR(__xludf.DUMMYFUNCTION("AVERAGE(FILTER(INDIRECT(""'"" &amp; $B$16 &amp; ""'!"" &amp; $B34 &amp; "":"" &amp; $B34), INDIRECT(""'"" &amp; $B$16 &amp; ""'!"" &amp; $B$17 &amp; "":"" &amp; $B$17) = K$21, ISNUMBER(SEARCH($B$4, INDIRECT(""'"" &amp; $B$16 &amp; ""'!"" &amp; $B$12 &amp; "":"" &amp; $B$12)))))"),"#N/A")</f>
        <v>#N/A</v>
      </c>
      <c r="Q34" s="297" t="str">
        <f>IFERROR(__xludf.DUMMYFUNCTION("AVERAGE(FILTER(INDIRECT(""'"" &amp; $B$16 &amp; ""'!"" &amp; $B34 &amp; "":"" &amp; $B34), INDIRECT(""'"" &amp; $B$16 &amp; ""'!"" &amp; $B$17 &amp; "":"" &amp; $B$17) = L$21, ISNUMBER(SEARCH($B$4, INDIRECT(""'"" &amp; $B$16 &amp; ""'!"" &amp; $B$12 &amp; "":"" &amp; $B$12)))))"),"#N/A")</f>
        <v>#N/A</v>
      </c>
      <c r="R34" s="297" t="str">
        <f>IFERROR(__xludf.DUMMYFUNCTION("AVERAGE(FILTER(INDIRECT(""'"" &amp; $B$16 &amp; ""'!"" &amp; $B34 &amp; "":"" &amp; $B34), INDIRECT(""'"" &amp; $B$16 &amp; ""'!"" &amp; $B$17 &amp; "":"" &amp; $B$17) = M$21, ISNUMBER(SEARCH($B$4, INDIRECT(""'"" &amp; $B$16 &amp; ""'!"" &amp; $B$12 &amp; "":"" &amp; $B$12)))))"),"#N/A")</f>
        <v>#N/A</v>
      </c>
      <c r="S34" s="297" t="str">
        <f>IFERROR(__xludf.DUMMYFUNCTION("AVERAGE(FILTER(INDIRECT(""'"" &amp; $B$16 &amp; ""'!"" &amp; $B34 &amp; "":"" &amp; $B34), INDIRECT(""'"" &amp; $B$16 &amp; ""'!"" &amp; $B$17 &amp; "":"" &amp; $B$17) = N$21, ISNUMBER(SEARCH($B$4, INDIRECT(""'"" &amp; $B$16 &amp; ""'!"" &amp; $B$12 &amp; "":"" &amp; $B$12)))))"),"#N/A")</f>
        <v>#N/A</v>
      </c>
      <c r="T34" s="298" t="str">
        <f t="shared" si="60"/>
        <v>#N/A</v>
      </c>
      <c r="U34" s="298" t="str">
        <f t="shared" si="61"/>
        <v>#N/A</v>
      </c>
      <c r="V34" s="298" t="str">
        <f t="shared" si="62"/>
        <v>#N/A</v>
      </c>
      <c r="W34" s="298" t="str">
        <f t="shared" si="63"/>
        <v>#N/A</v>
      </c>
      <c r="X34" s="298" t="str">
        <f t="shared" si="64"/>
        <v>#N/A</v>
      </c>
      <c r="Y34" s="298" t="str">
        <f t="shared" si="65"/>
        <v>#N/A</v>
      </c>
      <c r="Z34" s="298" t="str">
        <f t="shared" si="66"/>
        <v>#N/A</v>
      </c>
      <c r="AA34" s="298" t="str">
        <f t="shared" si="67"/>
        <v>#N/A</v>
      </c>
      <c r="AB34" s="298" t="str">
        <f t="shared" si="68"/>
        <v>#N/A</v>
      </c>
      <c r="AC34" s="298" t="str">
        <f t="shared" si="69"/>
        <v>#N/A</v>
      </c>
      <c r="AD34" s="297" t="str">
        <f t="shared" si="70"/>
        <v>#N/A</v>
      </c>
      <c r="AE34" s="297" t="str">
        <f t="shared" si="71"/>
        <v>#N/A</v>
      </c>
      <c r="AF34" s="297" t="str">
        <f t="shared" si="72"/>
        <v>#N/A</v>
      </c>
      <c r="AG34" s="297" t="str">
        <f t="shared" si="73"/>
        <v>#N/A</v>
      </c>
      <c r="AH34" s="297" t="str">
        <f t="shared" si="74"/>
        <v>#N/A</v>
      </c>
      <c r="AI34" s="298" t="str">
        <f t="shared" si="75"/>
        <v>#N/A</v>
      </c>
      <c r="AJ34" s="298" t="str">
        <f t="shared" si="76"/>
        <v>#N/A</v>
      </c>
      <c r="AK34" s="298" t="str">
        <f t="shared" si="77"/>
        <v>#N/A</v>
      </c>
      <c r="AL34" s="299" t="str">
        <f t="shared" si="78"/>
        <v>#N/A</v>
      </c>
      <c r="AM34" s="121" t="str">
        <f t="shared" si="79"/>
        <v>#N/A</v>
      </c>
    </row>
    <row r="35" ht="15.75" customHeight="1">
      <c r="A35" s="115" t="s">
        <v>384</v>
      </c>
      <c r="B35" s="90" t="str">
        <f t="shared" si="57"/>
        <v>$CA</v>
      </c>
      <c r="C35" s="288">
        <v>4.0</v>
      </c>
      <c r="D35" s="294">
        <f t="shared" ref="D35:H35" si="81">COUNTIFS(INDIRECT("'" &amp; $B$16 &amp; "'!" &amp; $B$17 &amp; ":" &amp; $B$17),D$21,INDIRECT("'" &amp; $B$16 &amp; "'!" &amp; $B35 &amp; ":" &amp; $B35),1,INDIRECT("'" &amp; $B$16 &amp; "'!" &amp; $B$12 &amp; ":" &amp; $B$12), "*" &amp; $B$4 &amp; "*")
</f>
        <v>0</v>
      </c>
      <c r="E35" s="294">
        <f t="shared" si="81"/>
        <v>0</v>
      </c>
      <c r="F35" s="294">
        <f t="shared" si="81"/>
        <v>0</v>
      </c>
      <c r="G35" s="294">
        <f t="shared" si="81"/>
        <v>0</v>
      </c>
      <c r="H35" s="294">
        <f t="shared" si="81"/>
        <v>0</v>
      </c>
      <c r="I35" s="294">
        <f t="shared" si="59"/>
        <v>0</v>
      </c>
      <c r="J35" s="295" t="str">
        <f>IFERROR(__xludf.DUMMYFUNCTION("VAR.S(FILTER(INDIRECT(""'"" &amp; $B$16 &amp; ""'!"" &amp; $B35 &amp; "":"" &amp; $B35), INDIRECT(""'"" &amp; $B$16 &amp; ""'!"" &amp; $B$17 &amp; "":"" &amp; $B$17) = J$21, ISNUMBER(SEARCH($B$4, INDIRECT(""'"" &amp; $B$16 &amp; ""'!"" &amp; $B$12 &amp; "":"" &amp; $B$12)))))/$D$6"),"#N/A")</f>
        <v>#N/A</v>
      </c>
      <c r="K35" s="295" t="str">
        <f>IFERROR(__xludf.DUMMYFUNCTION("VAR.S(FILTER(INDIRECT(""'"" &amp; $B$16 &amp; ""'!"" &amp; $B35 &amp; "":"" &amp; $B35), INDIRECT(""'"" &amp; $B$16 &amp; ""'!"" &amp; $B$17 &amp; "":"" &amp; $B$17) = K$21, ISNUMBER(SEARCH($B$4, INDIRECT(""'"" &amp; $B$16 &amp; ""'!"" &amp; $B$12 &amp; "":"" &amp; $B$12)))))/$D$7"),"#N/A")</f>
        <v>#N/A</v>
      </c>
      <c r="L35" s="295" t="str">
        <f>IFERROR(__xludf.DUMMYFUNCTION("VAR.S(FILTER(INDIRECT(""'"" &amp; $B$16 &amp; ""'!"" &amp; $B35 &amp; "":"" &amp; $B35), INDIRECT(""'"" &amp; $B$16 &amp; ""'!"" &amp; $B$17 &amp; "":"" &amp; $B$17) = L$21, ISNUMBER(SEARCH($B$4, INDIRECT(""'"" &amp; $B$16 &amp; ""'!"" &amp; $B$12 &amp; "":"" &amp; $B$12)))))/$D$8"),"#N/A")</f>
        <v>#N/A</v>
      </c>
      <c r="M35" s="296" t="str">
        <f>IFERROR(__xludf.DUMMYFUNCTION("VAR.S(FILTER(INDIRECT(""'"" &amp; $B$16 &amp; ""'!"" &amp; $B35 &amp; "":"" &amp; $B35), INDIRECT(""'"" &amp; $B$16 &amp; ""'!"" &amp; $B$17 &amp; "":"" &amp; $B$17) = M$21, ISNUMBER(SEARCH($B$4, INDIRECT(""'"" &amp; $B$16 &amp; ""'!"" &amp; $B$12 &amp; "":"" &amp; $B$12)))))/$D$9"),"#N/A")</f>
        <v>#N/A</v>
      </c>
      <c r="N35" s="296" t="str">
        <f>IFERROR(__xludf.DUMMYFUNCTION("VAR.S(FILTER(INDIRECT(""'"" &amp; $B$16 &amp; ""'!"" &amp; $B35 &amp; "":"" &amp; $B35), INDIRECT(""'"" &amp; $B$16 &amp; ""'!"" &amp; $B$17 &amp; "":"" &amp; $B$17) = N$21, ISNUMBER(SEARCH($B$4, INDIRECT(""'"" &amp; $B$16 &amp; ""'!"" &amp; $B$12 &amp; "":"" &amp; $B$12)))))/$D$10"),"#N/A")</f>
        <v>#N/A</v>
      </c>
      <c r="O35" s="297" t="str">
        <f>IFERROR(__xludf.DUMMYFUNCTION("AVERAGE(FILTER(INDIRECT(""'"" &amp; $B$16 &amp; ""'!"" &amp; $B35 &amp; "":"" &amp; $B35), INDIRECT(""'"" &amp; $B$16 &amp; ""'!"" &amp; $B$17 &amp; "":"" &amp; $B$17) = J$21, ISNUMBER(SEARCH($B$4, INDIRECT(""'"" &amp; $B$16 &amp; ""'!"" &amp; $B$12 &amp; "":"" &amp; $B$12)))))"),"#N/A")</f>
        <v>#N/A</v>
      </c>
      <c r="P35" s="297" t="str">
        <f>IFERROR(__xludf.DUMMYFUNCTION("AVERAGE(FILTER(INDIRECT(""'"" &amp; $B$16 &amp; ""'!"" &amp; $B35 &amp; "":"" &amp; $B35), INDIRECT(""'"" &amp; $B$16 &amp; ""'!"" &amp; $B$17 &amp; "":"" &amp; $B$17) = K$21, ISNUMBER(SEARCH($B$4, INDIRECT(""'"" &amp; $B$16 &amp; ""'!"" &amp; $B$12 &amp; "":"" &amp; $B$12)))))"),"#N/A")</f>
        <v>#N/A</v>
      </c>
      <c r="Q35" s="297" t="str">
        <f>IFERROR(__xludf.DUMMYFUNCTION("AVERAGE(FILTER(INDIRECT(""'"" &amp; $B$16 &amp; ""'!"" &amp; $B35 &amp; "":"" &amp; $B35), INDIRECT(""'"" &amp; $B$16 &amp; ""'!"" &amp; $B$17 &amp; "":"" &amp; $B$17) = L$21, ISNUMBER(SEARCH($B$4, INDIRECT(""'"" &amp; $B$16 &amp; ""'!"" &amp; $B$12 &amp; "":"" &amp; $B$12)))))"),"#N/A")</f>
        <v>#N/A</v>
      </c>
      <c r="R35" s="297" t="str">
        <f>IFERROR(__xludf.DUMMYFUNCTION("AVERAGE(FILTER(INDIRECT(""'"" &amp; $B$16 &amp; ""'!"" &amp; $B35 &amp; "":"" &amp; $B35), INDIRECT(""'"" &amp; $B$16 &amp; ""'!"" &amp; $B$17 &amp; "":"" &amp; $B$17) = M$21, ISNUMBER(SEARCH($B$4, INDIRECT(""'"" &amp; $B$16 &amp; ""'!"" &amp; $B$12 &amp; "":"" &amp; $B$12)))))"),"#N/A")</f>
        <v>#N/A</v>
      </c>
      <c r="S35" s="297" t="str">
        <f>IFERROR(__xludf.DUMMYFUNCTION("AVERAGE(FILTER(INDIRECT(""'"" &amp; $B$16 &amp; ""'!"" &amp; $B35 &amp; "":"" &amp; $B35), INDIRECT(""'"" &amp; $B$16 &amp; ""'!"" &amp; $B$17 &amp; "":"" &amp; $B$17) = N$21, ISNUMBER(SEARCH($B$4, INDIRECT(""'"" &amp; $B$16 &amp; ""'!"" &amp; $B$12 &amp; "":"" &amp; $B$12)))))"),"#N/A")</f>
        <v>#N/A</v>
      </c>
      <c r="T35" s="298" t="str">
        <f t="shared" si="60"/>
        <v>#N/A</v>
      </c>
      <c r="U35" s="298" t="str">
        <f t="shared" si="61"/>
        <v>#N/A</v>
      </c>
      <c r="V35" s="298" t="str">
        <f t="shared" si="62"/>
        <v>#N/A</v>
      </c>
      <c r="W35" s="298" t="str">
        <f t="shared" si="63"/>
        <v>#N/A</v>
      </c>
      <c r="X35" s="298" t="str">
        <f t="shared" si="64"/>
        <v>#N/A</v>
      </c>
      <c r="Y35" s="298" t="str">
        <f t="shared" si="65"/>
        <v>#N/A</v>
      </c>
      <c r="Z35" s="298" t="str">
        <f t="shared" si="66"/>
        <v>#N/A</v>
      </c>
      <c r="AA35" s="298" t="str">
        <f t="shared" si="67"/>
        <v>#N/A</v>
      </c>
      <c r="AB35" s="298" t="str">
        <f t="shared" si="68"/>
        <v>#N/A</v>
      </c>
      <c r="AC35" s="298" t="str">
        <f t="shared" si="69"/>
        <v>#N/A</v>
      </c>
      <c r="AD35" s="297" t="str">
        <f t="shared" si="70"/>
        <v>#N/A</v>
      </c>
      <c r="AE35" s="297" t="str">
        <f t="shared" si="71"/>
        <v>#N/A</v>
      </c>
      <c r="AF35" s="297" t="str">
        <f t="shared" si="72"/>
        <v>#N/A</v>
      </c>
      <c r="AG35" s="297" t="str">
        <f t="shared" si="73"/>
        <v>#N/A</v>
      </c>
      <c r="AH35" s="297" t="str">
        <f t="shared" si="74"/>
        <v>#N/A</v>
      </c>
      <c r="AI35" s="298" t="str">
        <f t="shared" si="75"/>
        <v>#N/A</v>
      </c>
      <c r="AJ35" s="298" t="str">
        <f t="shared" si="76"/>
        <v>#N/A</v>
      </c>
      <c r="AK35" s="298" t="str">
        <f t="shared" si="77"/>
        <v>#N/A</v>
      </c>
      <c r="AL35" s="299" t="str">
        <f t="shared" si="78"/>
        <v>#N/A</v>
      </c>
      <c r="AM35" s="121" t="str">
        <f t="shared" si="79"/>
        <v>#N/A</v>
      </c>
    </row>
    <row r="36" ht="15.75" customHeight="1">
      <c r="A36" s="115" t="s">
        <v>387</v>
      </c>
      <c r="B36" s="90" t="str">
        <f t="shared" si="57"/>
        <v>$CB</v>
      </c>
      <c r="C36" s="288">
        <v>7.0</v>
      </c>
      <c r="D36" s="294">
        <f t="shared" ref="D36:H36" si="82">COUNTIFS(INDIRECT("'" &amp; $B$16 &amp; "'!" &amp; $B$17 &amp; ":" &amp; $B$17),D$21,INDIRECT("'" &amp; $B$16 &amp; "'!" &amp; $B36 &amp; ":" &amp; $B36),1,INDIRECT("'" &amp; $B$16 &amp; "'!" &amp; $B$12 &amp; ":" &amp; $B$12), "*" &amp; $B$4 &amp; "*")
</f>
        <v>0</v>
      </c>
      <c r="E36" s="294">
        <f t="shared" si="82"/>
        <v>0</v>
      </c>
      <c r="F36" s="294">
        <f t="shared" si="82"/>
        <v>0</v>
      </c>
      <c r="G36" s="294">
        <f t="shared" si="82"/>
        <v>0</v>
      </c>
      <c r="H36" s="294">
        <f t="shared" si="82"/>
        <v>0</v>
      </c>
      <c r="I36" s="294">
        <f t="shared" si="59"/>
        <v>0</v>
      </c>
      <c r="J36" s="295" t="str">
        <f>IFERROR(__xludf.DUMMYFUNCTION("VAR.S(FILTER(INDIRECT(""'"" &amp; $B$16 &amp; ""'!"" &amp; $B36 &amp; "":"" &amp; $B36), INDIRECT(""'"" &amp; $B$16 &amp; ""'!"" &amp; $B$17 &amp; "":"" &amp; $B$17) = J$21, ISNUMBER(SEARCH($B$4, INDIRECT(""'"" &amp; $B$16 &amp; ""'!"" &amp; $B$12 &amp; "":"" &amp; $B$12)))))/$D$6"),"#N/A")</f>
        <v>#N/A</v>
      </c>
      <c r="K36" s="295" t="str">
        <f>IFERROR(__xludf.DUMMYFUNCTION("VAR.S(FILTER(INDIRECT(""'"" &amp; $B$16 &amp; ""'!"" &amp; $B36 &amp; "":"" &amp; $B36), INDIRECT(""'"" &amp; $B$16 &amp; ""'!"" &amp; $B$17 &amp; "":"" &amp; $B$17) = K$21, ISNUMBER(SEARCH($B$4, INDIRECT(""'"" &amp; $B$16 &amp; ""'!"" &amp; $B$12 &amp; "":"" &amp; $B$12)))))/$D$7"),"#N/A")</f>
        <v>#N/A</v>
      </c>
      <c r="L36" s="295" t="str">
        <f>IFERROR(__xludf.DUMMYFUNCTION("VAR.S(FILTER(INDIRECT(""'"" &amp; $B$16 &amp; ""'!"" &amp; $B36 &amp; "":"" &amp; $B36), INDIRECT(""'"" &amp; $B$16 &amp; ""'!"" &amp; $B$17 &amp; "":"" &amp; $B$17) = L$21, ISNUMBER(SEARCH($B$4, INDIRECT(""'"" &amp; $B$16 &amp; ""'!"" &amp; $B$12 &amp; "":"" &amp; $B$12)))))/$D$8"),"#N/A")</f>
        <v>#N/A</v>
      </c>
      <c r="M36" s="296" t="str">
        <f>IFERROR(__xludf.DUMMYFUNCTION("VAR.S(FILTER(INDIRECT(""'"" &amp; $B$16 &amp; ""'!"" &amp; $B36 &amp; "":"" &amp; $B36), INDIRECT(""'"" &amp; $B$16 &amp; ""'!"" &amp; $B$17 &amp; "":"" &amp; $B$17) = M$21, ISNUMBER(SEARCH($B$4, INDIRECT(""'"" &amp; $B$16 &amp; ""'!"" &amp; $B$12 &amp; "":"" &amp; $B$12)))))/$D$9"),"#N/A")</f>
        <v>#N/A</v>
      </c>
      <c r="N36" s="296" t="str">
        <f>IFERROR(__xludf.DUMMYFUNCTION("VAR.S(FILTER(INDIRECT(""'"" &amp; $B$16 &amp; ""'!"" &amp; $B36 &amp; "":"" &amp; $B36), INDIRECT(""'"" &amp; $B$16 &amp; ""'!"" &amp; $B$17 &amp; "":"" &amp; $B$17) = N$21, ISNUMBER(SEARCH($B$4, INDIRECT(""'"" &amp; $B$16 &amp; ""'!"" &amp; $B$12 &amp; "":"" &amp; $B$12)))))/$D$10"),"#N/A")</f>
        <v>#N/A</v>
      </c>
      <c r="O36" s="297" t="str">
        <f>IFERROR(__xludf.DUMMYFUNCTION("AVERAGE(FILTER(INDIRECT(""'"" &amp; $B$16 &amp; ""'!"" &amp; $B36 &amp; "":"" &amp; $B36), INDIRECT(""'"" &amp; $B$16 &amp; ""'!"" &amp; $B$17 &amp; "":"" &amp; $B$17) = J$21, ISNUMBER(SEARCH($B$4, INDIRECT(""'"" &amp; $B$16 &amp; ""'!"" &amp; $B$12 &amp; "":"" &amp; $B$12)))))"),"#N/A")</f>
        <v>#N/A</v>
      </c>
      <c r="P36" s="297" t="str">
        <f>IFERROR(__xludf.DUMMYFUNCTION("AVERAGE(FILTER(INDIRECT(""'"" &amp; $B$16 &amp; ""'!"" &amp; $B36 &amp; "":"" &amp; $B36), INDIRECT(""'"" &amp; $B$16 &amp; ""'!"" &amp; $B$17 &amp; "":"" &amp; $B$17) = K$21, ISNUMBER(SEARCH($B$4, INDIRECT(""'"" &amp; $B$16 &amp; ""'!"" &amp; $B$12 &amp; "":"" &amp; $B$12)))))"),"#N/A")</f>
        <v>#N/A</v>
      </c>
      <c r="Q36" s="297" t="str">
        <f>IFERROR(__xludf.DUMMYFUNCTION("AVERAGE(FILTER(INDIRECT(""'"" &amp; $B$16 &amp; ""'!"" &amp; $B36 &amp; "":"" &amp; $B36), INDIRECT(""'"" &amp; $B$16 &amp; ""'!"" &amp; $B$17 &amp; "":"" &amp; $B$17) = L$21, ISNUMBER(SEARCH($B$4, INDIRECT(""'"" &amp; $B$16 &amp; ""'!"" &amp; $B$12 &amp; "":"" &amp; $B$12)))))"),"#N/A")</f>
        <v>#N/A</v>
      </c>
      <c r="R36" s="297" t="str">
        <f>IFERROR(__xludf.DUMMYFUNCTION("AVERAGE(FILTER(INDIRECT(""'"" &amp; $B$16 &amp; ""'!"" &amp; $B36 &amp; "":"" &amp; $B36), INDIRECT(""'"" &amp; $B$16 &amp; ""'!"" &amp; $B$17 &amp; "":"" &amp; $B$17) = M$21, ISNUMBER(SEARCH($B$4, INDIRECT(""'"" &amp; $B$16 &amp; ""'!"" &amp; $B$12 &amp; "":"" &amp; $B$12)))))"),"#N/A")</f>
        <v>#N/A</v>
      </c>
      <c r="S36" s="297" t="str">
        <f>IFERROR(__xludf.DUMMYFUNCTION("AVERAGE(FILTER(INDIRECT(""'"" &amp; $B$16 &amp; ""'!"" &amp; $B36 &amp; "":"" &amp; $B36), INDIRECT(""'"" &amp; $B$16 &amp; ""'!"" &amp; $B$17 &amp; "":"" &amp; $B$17) = N$21, ISNUMBER(SEARCH($B$4, INDIRECT(""'"" &amp; $B$16 &amp; ""'!"" &amp; $B$12 &amp; "":"" &amp; $B$12)))))"),"#N/A")</f>
        <v>#N/A</v>
      </c>
      <c r="T36" s="298" t="str">
        <f t="shared" si="60"/>
        <v>#N/A</v>
      </c>
      <c r="U36" s="298" t="str">
        <f t="shared" si="61"/>
        <v>#N/A</v>
      </c>
      <c r="V36" s="298" t="str">
        <f t="shared" si="62"/>
        <v>#N/A</v>
      </c>
      <c r="W36" s="298" t="str">
        <f t="shared" si="63"/>
        <v>#N/A</v>
      </c>
      <c r="X36" s="298" t="str">
        <f t="shared" si="64"/>
        <v>#N/A</v>
      </c>
      <c r="Y36" s="298" t="str">
        <f t="shared" si="65"/>
        <v>#N/A</v>
      </c>
      <c r="Z36" s="298" t="str">
        <f t="shared" si="66"/>
        <v>#N/A</v>
      </c>
      <c r="AA36" s="298" t="str">
        <f t="shared" si="67"/>
        <v>#N/A</v>
      </c>
      <c r="AB36" s="298" t="str">
        <f t="shared" si="68"/>
        <v>#N/A</v>
      </c>
      <c r="AC36" s="298" t="str">
        <f t="shared" si="69"/>
        <v>#N/A</v>
      </c>
      <c r="AD36" s="297" t="str">
        <f t="shared" si="70"/>
        <v>#N/A</v>
      </c>
      <c r="AE36" s="297" t="str">
        <f t="shared" si="71"/>
        <v>#N/A</v>
      </c>
      <c r="AF36" s="297" t="str">
        <f t="shared" si="72"/>
        <v>#N/A</v>
      </c>
      <c r="AG36" s="297" t="str">
        <f t="shared" si="73"/>
        <v>#N/A</v>
      </c>
      <c r="AH36" s="297" t="str">
        <f t="shared" si="74"/>
        <v>#N/A</v>
      </c>
      <c r="AI36" s="298" t="str">
        <f t="shared" si="75"/>
        <v>#N/A</v>
      </c>
      <c r="AJ36" s="298" t="str">
        <f t="shared" si="76"/>
        <v>#N/A</v>
      </c>
      <c r="AK36" s="298" t="str">
        <f t="shared" si="77"/>
        <v>#N/A</v>
      </c>
      <c r="AL36" s="299" t="str">
        <f t="shared" si="78"/>
        <v>#N/A</v>
      </c>
      <c r="AM36" s="121" t="str">
        <f t="shared" si="79"/>
        <v>#N/A</v>
      </c>
    </row>
    <row r="37" ht="15.75" customHeight="1">
      <c r="A37" s="115" t="s">
        <v>390</v>
      </c>
      <c r="B37" s="90" t="str">
        <f t="shared" si="57"/>
        <v>$CC</v>
      </c>
      <c r="C37" s="288">
        <v>8.0</v>
      </c>
      <c r="D37" s="294">
        <f t="shared" ref="D37:H37" si="83">COUNTIFS(INDIRECT("'" &amp; $B$16 &amp; "'!" &amp; $B$17 &amp; ":" &amp; $B$17),D$21,INDIRECT("'" &amp; $B$16 &amp; "'!" &amp; $B37 &amp; ":" &amp; $B37),1,INDIRECT("'" &amp; $B$16 &amp; "'!" &amp; $B$12 &amp; ":" &amp; $B$12), "*" &amp; $B$4 &amp; "*")
</f>
        <v>0</v>
      </c>
      <c r="E37" s="294">
        <f t="shared" si="83"/>
        <v>0</v>
      </c>
      <c r="F37" s="294">
        <f t="shared" si="83"/>
        <v>0</v>
      </c>
      <c r="G37" s="294">
        <f t="shared" si="83"/>
        <v>0</v>
      </c>
      <c r="H37" s="294">
        <f t="shared" si="83"/>
        <v>0</v>
      </c>
      <c r="I37" s="294">
        <f t="shared" si="59"/>
        <v>0</v>
      </c>
      <c r="J37" s="295" t="str">
        <f>IFERROR(__xludf.DUMMYFUNCTION("VAR.S(FILTER(INDIRECT(""'"" &amp; $B$16 &amp; ""'!"" &amp; $B37 &amp; "":"" &amp; $B37), INDIRECT(""'"" &amp; $B$16 &amp; ""'!"" &amp; $B$17 &amp; "":"" &amp; $B$17) = J$21, ISNUMBER(SEARCH($B$4, INDIRECT(""'"" &amp; $B$16 &amp; ""'!"" &amp; $B$12 &amp; "":"" &amp; $B$12)))))/$D$6"),"#N/A")</f>
        <v>#N/A</v>
      </c>
      <c r="K37" s="295" t="str">
        <f>IFERROR(__xludf.DUMMYFUNCTION("VAR.S(FILTER(INDIRECT(""'"" &amp; $B$16 &amp; ""'!"" &amp; $B37 &amp; "":"" &amp; $B37), INDIRECT(""'"" &amp; $B$16 &amp; ""'!"" &amp; $B$17 &amp; "":"" &amp; $B$17) = K$21, ISNUMBER(SEARCH($B$4, INDIRECT(""'"" &amp; $B$16 &amp; ""'!"" &amp; $B$12 &amp; "":"" &amp; $B$12)))))/$D$7"),"#N/A")</f>
        <v>#N/A</v>
      </c>
      <c r="L37" s="295" t="str">
        <f>IFERROR(__xludf.DUMMYFUNCTION("VAR.S(FILTER(INDIRECT(""'"" &amp; $B$16 &amp; ""'!"" &amp; $B37 &amp; "":"" &amp; $B37), INDIRECT(""'"" &amp; $B$16 &amp; ""'!"" &amp; $B$17 &amp; "":"" &amp; $B$17) = L$21, ISNUMBER(SEARCH($B$4, INDIRECT(""'"" &amp; $B$16 &amp; ""'!"" &amp; $B$12 &amp; "":"" &amp; $B$12)))))/$D$8"),"#N/A")</f>
        <v>#N/A</v>
      </c>
      <c r="M37" s="296" t="str">
        <f>IFERROR(__xludf.DUMMYFUNCTION("VAR.S(FILTER(INDIRECT(""'"" &amp; $B$16 &amp; ""'!"" &amp; $B37 &amp; "":"" &amp; $B37), INDIRECT(""'"" &amp; $B$16 &amp; ""'!"" &amp; $B$17 &amp; "":"" &amp; $B$17) = M$21, ISNUMBER(SEARCH($B$4, INDIRECT(""'"" &amp; $B$16 &amp; ""'!"" &amp; $B$12 &amp; "":"" &amp; $B$12)))))/$D$9"),"#N/A")</f>
        <v>#N/A</v>
      </c>
      <c r="N37" s="296" t="str">
        <f>IFERROR(__xludf.DUMMYFUNCTION("VAR.S(FILTER(INDIRECT(""'"" &amp; $B$16 &amp; ""'!"" &amp; $B37 &amp; "":"" &amp; $B37), INDIRECT(""'"" &amp; $B$16 &amp; ""'!"" &amp; $B$17 &amp; "":"" &amp; $B$17) = N$21, ISNUMBER(SEARCH($B$4, INDIRECT(""'"" &amp; $B$16 &amp; ""'!"" &amp; $B$12 &amp; "":"" &amp; $B$12)))))/$D$10"),"#N/A")</f>
        <v>#N/A</v>
      </c>
      <c r="O37" s="297" t="str">
        <f>IFERROR(__xludf.DUMMYFUNCTION("AVERAGE(FILTER(INDIRECT(""'"" &amp; $B$16 &amp; ""'!"" &amp; $B37 &amp; "":"" &amp; $B37), INDIRECT(""'"" &amp; $B$16 &amp; ""'!"" &amp; $B$17 &amp; "":"" &amp; $B$17) = J$21, ISNUMBER(SEARCH($B$4, INDIRECT(""'"" &amp; $B$16 &amp; ""'!"" &amp; $B$12 &amp; "":"" &amp; $B$12)))))"),"#N/A")</f>
        <v>#N/A</v>
      </c>
      <c r="P37" s="297" t="str">
        <f>IFERROR(__xludf.DUMMYFUNCTION("AVERAGE(FILTER(INDIRECT(""'"" &amp; $B$16 &amp; ""'!"" &amp; $B37 &amp; "":"" &amp; $B37), INDIRECT(""'"" &amp; $B$16 &amp; ""'!"" &amp; $B$17 &amp; "":"" &amp; $B$17) = K$21, ISNUMBER(SEARCH($B$4, INDIRECT(""'"" &amp; $B$16 &amp; ""'!"" &amp; $B$12 &amp; "":"" &amp; $B$12)))))"),"#N/A")</f>
        <v>#N/A</v>
      </c>
      <c r="Q37" s="297" t="str">
        <f>IFERROR(__xludf.DUMMYFUNCTION("AVERAGE(FILTER(INDIRECT(""'"" &amp; $B$16 &amp; ""'!"" &amp; $B37 &amp; "":"" &amp; $B37), INDIRECT(""'"" &amp; $B$16 &amp; ""'!"" &amp; $B$17 &amp; "":"" &amp; $B$17) = L$21, ISNUMBER(SEARCH($B$4, INDIRECT(""'"" &amp; $B$16 &amp; ""'!"" &amp; $B$12 &amp; "":"" &amp; $B$12)))))"),"#N/A")</f>
        <v>#N/A</v>
      </c>
      <c r="R37" s="297" t="str">
        <f>IFERROR(__xludf.DUMMYFUNCTION("AVERAGE(FILTER(INDIRECT(""'"" &amp; $B$16 &amp; ""'!"" &amp; $B37 &amp; "":"" &amp; $B37), INDIRECT(""'"" &amp; $B$16 &amp; ""'!"" &amp; $B$17 &amp; "":"" &amp; $B$17) = M$21, ISNUMBER(SEARCH($B$4, INDIRECT(""'"" &amp; $B$16 &amp; ""'!"" &amp; $B$12 &amp; "":"" &amp; $B$12)))))"),"#N/A")</f>
        <v>#N/A</v>
      </c>
      <c r="S37" s="297" t="str">
        <f>IFERROR(__xludf.DUMMYFUNCTION("AVERAGE(FILTER(INDIRECT(""'"" &amp; $B$16 &amp; ""'!"" &amp; $B37 &amp; "":"" &amp; $B37), INDIRECT(""'"" &amp; $B$16 &amp; ""'!"" &amp; $B$17 &amp; "":"" &amp; $B$17) = N$21, ISNUMBER(SEARCH($B$4, INDIRECT(""'"" &amp; $B$16 &amp; ""'!"" &amp; $B$12 &amp; "":"" &amp; $B$12)))))"),"#N/A")</f>
        <v>#N/A</v>
      </c>
      <c r="T37" s="298" t="str">
        <f t="shared" si="60"/>
        <v>#N/A</v>
      </c>
      <c r="U37" s="298" t="str">
        <f t="shared" si="61"/>
        <v>#N/A</v>
      </c>
      <c r="V37" s="298" t="str">
        <f t="shared" si="62"/>
        <v>#N/A</v>
      </c>
      <c r="W37" s="298" t="str">
        <f t="shared" si="63"/>
        <v>#N/A</v>
      </c>
      <c r="X37" s="298" t="str">
        <f t="shared" si="64"/>
        <v>#N/A</v>
      </c>
      <c r="Y37" s="298" t="str">
        <f t="shared" si="65"/>
        <v>#N/A</v>
      </c>
      <c r="Z37" s="298" t="str">
        <f t="shared" si="66"/>
        <v>#N/A</v>
      </c>
      <c r="AA37" s="298" t="str">
        <f t="shared" si="67"/>
        <v>#N/A</v>
      </c>
      <c r="AB37" s="298" t="str">
        <f t="shared" si="68"/>
        <v>#N/A</v>
      </c>
      <c r="AC37" s="298" t="str">
        <f t="shared" si="69"/>
        <v>#N/A</v>
      </c>
      <c r="AD37" s="297" t="str">
        <f t="shared" si="70"/>
        <v>#N/A</v>
      </c>
      <c r="AE37" s="297" t="str">
        <f t="shared" si="71"/>
        <v>#N/A</v>
      </c>
      <c r="AF37" s="297" t="str">
        <f t="shared" si="72"/>
        <v>#N/A</v>
      </c>
      <c r="AG37" s="297" t="str">
        <f t="shared" si="73"/>
        <v>#N/A</v>
      </c>
      <c r="AH37" s="297" t="str">
        <f t="shared" si="74"/>
        <v>#N/A</v>
      </c>
      <c r="AI37" s="298" t="str">
        <f t="shared" si="75"/>
        <v>#N/A</v>
      </c>
      <c r="AJ37" s="298" t="str">
        <f t="shared" si="76"/>
        <v>#N/A</v>
      </c>
      <c r="AK37" s="298" t="str">
        <f t="shared" si="77"/>
        <v>#N/A</v>
      </c>
      <c r="AL37" s="299" t="str">
        <f t="shared" si="78"/>
        <v>#N/A</v>
      </c>
      <c r="AM37" s="121" t="str">
        <f t="shared" si="79"/>
        <v>#N/A</v>
      </c>
    </row>
    <row r="38" ht="15.75" customHeight="1">
      <c r="A38" s="115" t="s">
        <v>393</v>
      </c>
      <c r="B38" s="90" t="str">
        <f t="shared" si="57"/>
        <v>$CD</v>
      </c>
      <c r="C38" s="288">
        <v>9.0</v>
      </c>
      <c r="D38" s="294">
        <f t="shared" ref="D38:H38" si="84">COUNTIFS(INDIRECT("'" &amp; $B$16 &amp; "'!" &amp; $B$17 &amp; ":" &amp; $B$17),D$21,INDIRECT("'" &amp; $B$16 &amp; "'!" &amp; $B38 &amp; ":" &amp; $B38),1,INDIRECT("'" &amp; $B$16 &amp; "'!" &amp; $B$12 &amp; ":" &amp; $B$12), "*" &amp; $B$4 &amp; "*")
</f>
        <v>0</v>
      </c>
      <c r="E38" s="294">
        <f t="shared" si="84"/>
        <v>0</v>
      </c>
      <c r="F38" s="294">
        <f t="shared" si="84"/>
        <v>0</v>
      </c>
      <c r="G38" s="294">
        <f t="shared" si="84"/>
        <v>0</v>
      </c>
      <c r="H38" s="294">
        <f t="shared" si="84"/>
        <v>0</v>
      </c>
      <c r="I38" s="294">
        <f t="shared" si="59"/>
        <v>0</v>
      </c>
      <c r="J38" s="295" t="str">
        <f>IFERROR(__xludf.DUMMYFUNCTION("VAR.S(FILTER(INDIRECT(""'"" &amp; $B$16 &amp; ""'!"" &amp; $B38 &amp; "":"" &amp; $B38), INDIRECT(""'"" &amp; $B$16 &amp; ""'!"" &amp; $B$17 &amp; "":"" &amp; $B$17) = J$21, ISNUMBER(SEARCH($B$4, INDIRECT(""'"" &amp; $B$16 &amp; ""'!"" &amp; $B$12 &amp; "":"" &amp; $B$12)))))/$D$6"),"#N/A")</f>
        <v>#N/A</v>
      </c>
      <c r="K38" s="295" t="str">
        <f>IFERROR(__xludf.DUMMYFUNCTION("VAR.S(FILTER(INDIRECT(""'"" &amp; $B$16 &amp; ""'!"" &amp; $B38 &amp; "":"" &amp; $B38), INDIRECT(""'"" &amp; $B$16 &amp; ""'!"" &amp; $B$17 &amp; "":"" &amp; $B$17) = K$21, ISNUMBER(SEARCH($B$4, INDIRECT(""'"" &amp; $B$16 &amp; ""'!"" &amp; $B$12 &amp; "":"" &amp; $B$12)))))/$D$7"),"#N/A")</f>
        <v>#N/A</v>
      </c>
      <c r="L38" s="295" t="str">
        <f>IFERROR(__xludf.DUMMYFUNCTION("VAR.S(FILTER(INDIRECT(""'"" &amp; $B$16 &amp; ""'!"" &amp; $B38 &amp; "":"" &amp; $B38), INDIRECT(""'"" &amp; $B$16 &amp; ""'!"" &amp; $B$17 &amp; "":"" &amp; $B$17) = L$21, ISNUMBER(SEARCH($B$4, INDIRECT(""'"" &amp; $B$16 &amp; ""'!"" &amp; $B$12 &amp; "":"" &amp; $B$12)))))/$D$8"),"#N/A")</f>
        <v>#N/A</v>
      </c>
      <c r="M38" s="296" t="str">
        <f>IFERROR(__xludf.DUMMYFUNCTION("VAR.S(FILTER(INDIRECT(""'"" &amp; $B$16 &amp; ""'!"" &amp; $B38 &amp; "":"" &amp; $B38), INDIRECT(""'"" &amp; $B$16 &amp; ""'!"" &amp; $B$17 &amp; "":"" &amp; $B$17) = M$21, ISNUMBER(SEARCH($B$4, INDIRECT(""'"" &amp; $B$16 &amp; ""'!"" &amp; $B$12 &amp; "":"" &amp; $B$12)))))/$D$9"),"#N/A")</f>
        <v>#N/A</v>
      </c>
      <c r="N38" s="296" t="str">
        <f>IFERROR(__xludf.DUMMYFUNCTION("VAR.S(FILTER(INDIRECT(""'"" &amp; $B$16 &amp; ""'!"" &amp; $B38 &amp; "":"" &amp; $B38), INDIRECT(""'"" &amp; $B$16 &amp; ""'!"" &amp; $B$17 &amp; "":"" &amp; $B$17) = N$21, ISNUMBER(SEARCH($B$4, INDIRECT(""'"" &amp; $B$16 &amp; ""'!"" &amp; $B$12 &amp; "":"" &amp; $B$12)))))/$D$10"),"#N/A")</f>
        <v>#N/A</v>
      </c>
      <c r="O38" s="297" t="str">
        <f>IFERROR(__xludf.DUMMYFUNCTION("AVERAGE(FILTER(INDIRECT(""'"" &amp; $B$16 &amp; ""'!"" &amp; $B38 &amp; "":"" &amp; $B38), INDIRECT(""'"" &amp; $B$16 &amp; ""'!"" &amp; $B$17 &amp; "":"" &amp; $B$17) = J$21, ISNUMBER(SEARCH($B$4, INDIRECT(""'"" &amp; $B$16 &amp; ""'!"" &amp; $B$12 &amp; "":"" &amp; $B$12)))))"),"#N/A")</f>
        <v>#N/A</v>
      </c>
      <c r="P38" s="297" t="str">
        <f>IFERROR(__xludf.DUMMYFUNCTION("AVERAGE(FILTER(INDIRECT(""'"" &amp; $B$16 &amp; ""'!"" &amp; $B38 &amp; "":"" &amp; $B38), INDIRECT(""'"" &amp; $B$16 &amp; ""'!"" &amp; $B$17 &amp; "":"" &amp; $B$17) = K$21, ISNUMBER(SEARCH($B$4, INDIRECT(""'"" &amp; $B$16 &amp; ""'!"" &amp; $B$12 &amp; "":"" &amp; $B$12)))))"),"#N/A")</f>
        <v>#N/A</v>
      </c>
      <c r="Q38" s="297" t="str">
        <f>IFERROR(__xludf.DUMMYFUNCTION("AVERAGE(FILTER(INDIRECT(""'"" &amp; $B$16 &amp; ""'!"" &amp; $B38 &amp; "":"" &amp; $B38), INDIRECT(""'"" &amp; $B$16 &amp; ""'!"" &amp; $B$17 &amp; "":"" &amp; $B$17) = L$21, ISNUMBER(SEARCH($B$4, INDIRECT(""'"" &amp; $B$16 &amp; ""'!"" &amp; $B$12 &amp; "":"" &amp; $B$12)))))"),"#N/A")</f>
        <v>#N/A</v>
      </c>
      <c r="R38" s="297" t="str">
        <f>IFERROR(__xludf.DUMMYFUNCTION("AVERAGE(FILTER(INDIRECT(""'"" &amp; $B$16 &amp; ""'!"" &amp; $B38 &amp; "":"" &amp; $B38), INDIRECT(""'"" &amp; $B$16 &amp; ""'!"" &amp; $B$17 &amp; "":"" &amp; $B$17) = M$21, ISNUMBER(SEARCH($B$4, INDIRECT(""'"" &amp; $B$16 &amp; ""'!"" &amp; $B$12 &amp; "":"" &amp; $B$12)))))"),"#N/A")</f>
        <v>#N/A</v>
      </c>
      <c r="S38" s="297" t="str">
        <f>IFERROR(__xludf.DUMMYFUNCTION("AVERAGE(FILTER(INDIRECT(""'"" &amp; $B$16 &amp; ""'!"" &amp; $B38 &amp; "":"" &amp; $B38), INDIRECT(""'"" &amp; $B$16 &amp; ""'!"" &amp; $B$17 &amp; "":"" &amp; $B$17) = N$21, ISNUMBER(SEARCH($B$4, INDIRECT(""'"" &amp; $B$16 &amp; ""'!"" &amp; $B$12 &amp; "":"" &amp; $B$12)))))"),"#N/A")</f>
        <v>#N/A</v>
      </c>
      <c r="T38" s="298" t="str">
        <f t="shared" si="60"/>
        <v>#N/A</v>
      </c>
      <c r="U38" s="298" t="str">
        <f t="shared" si="61"/>
        <v>#N/A</v>
      </c>
      <c r="V38" s="298" t="str">
        <f t="shared" si="62"/>
        <v>#N/A</v>
      </c>
      <c r="W38" s="298" t="str">
        <f t="shared" si="63"/>
        <v>#N/A</v>
      </c>
      <c r="X38" s="298" t="str">
        <f t="shared" si="64"/>
        <v>#N/A</v>
      </c>
      <c r="Y38" s="298" t="str">
        <f t="shared" si="65"/>
        <v>#N/A</v>
      </c>
      <c r="Z38" s="298" t="str">
        <f t="shared" si="66"/>
        <v>#N/A</v>
      </c>
      <c r="AA38" s="298" t="str">
        <f t="shared" si="67"/>
        <v>#N/A</v>
      </c>
      <c r="AB38" s="298" t="str">
        <f t="shared" si="68"/>
        <v>#N/A</v>
      </c>
      <c r="AC38" s="298" t="str">
        <f t="shared" si="69"/>
        <v>#N/A</v>
      </c>
      <c r="AD38" s="297" t="str">
        <f t="shared" si="70"/>
        <v>#N/A</v>
      </c>
      <c r="AE38" s="297" t="str">
        <f t="shared" si="71"/>
        <v>#N/A</v>
      </c>
      <c r="AF38" s="297" t="str">
        <f t="shared" si="72"/>
        <v>#N/A</v>
      </c>
      <c r="AG38" s="297" t="str">
        <f t="shared" si="73"/>
        <v>#N/A</v>
      </c>
      <c r="AH38" s="297" t="str">
        <f t="shared" si="74"/>
        <v>#N/A</v>
      </c>
      <c r="AI38" s="298" t="str">
        <f t="shared" si="75"/>
        <v>#N/A</v>
      </c>
      <c r="AJ38" s="298" t="str">
        <f t="shared" si="76"/>
        <v>#N/A</v>
      </c>
      <c r="AK38" s="298" t="str">
        <f t="shared" si="77"/>
        <v>#N/A</v>
      </c>
      <c r="AL38" s="299" t="str">
        <f t="shared" si="78"/>
        <v>#N/A</v>
      </c>
      <c r="AM38" s="121" t="str">
        <f t="shared" si="79"/>
        <v>#N/A</v>
      </c>
    </row>
    <row r="39" ht="15.75" customHeight="1">
      <c r="A39" s="115" t="s">
        <v>396</v>
      </c>
      <c r="B39" s="90" t="str">
        <f t="shared" si="57"/>
        <v>$CE</v>
      </c>
      <c r="C39" s="288">
        <v>10.0</v>
      </c>
      <c r="D39" s="294">
        <f t="shared" ref="D39:H39" si="85">COUNTIFS(INDIRECT("'" &amp; $B$16 &amp; "'!" &amp; $B$17 &amp; ":" &amp; $B$17),D$21,INDIRECT("'" &amp; $B$16 &amp; "'!" &amp; $B39 &amp; ":" &amp; $B39),1,INDIRECT("'" &amp; $B$16 &amp; "'!" &amp; $B$12 &amp; ":" &amp; $B$12), "*" &amp; $B$4 &amp; "*")
</f>
        <v>0</v>
      </c>
      <c r="E39" s="294">
        <f t="shared" si="85"/>
        <v>0</v>
      </c>
      <c r="F39" s="294">
        <f t="shared" si="85"/>
        <v>0</v>
      </c>
      <c r="G39" s="294">
        <f t="shared" si="85"/>
        <v>0</v>
      </c>
      <c r="H39" s="294">
        <f t="shared" si="85"/>
        <v>0</v>
      </c>
      <c r="I39" s="294">
        <f t="shared" si="59"/>
        <v>0</v>
      </c>
      <c r="J39" s="295" t="str">
        <f>IFERROR(__xludf.DUMMYFUNCTION("VAR.S(FILTER(INDIRECT(""'"" &amp; $B$16 &amp; ""'!"" &amp; $B39 &amp; "":"" &amp; $B39), INDIRECT(""'"" &amp; $B$16 &amp; ""'!"" &amp; $B$17 &amp; "":"" &amp; $B$17) = J$21, ISNUMBER(SEARCH($B$4, INDIRECT(""'"" &amp; $B$16 &amp; ""'!"" &amp; $B$12 &amp; "":"" &amp; $B$12)))))/$D$6"),"#N/A")</f>
        <v>#N/A</v>
      </c>
      <c r="K39" s="295" t="str">
        <f>IFERROR(__xludf.DUMMYFUNCTION("VAR.S(FILTER(INDIRECT(""'"" &amp; $B$16 &amp; ""'!"" &amp; $B39 &amp; "":"" &amp; $B39), INDIRECT(""'"" &amp; $B$16 &amp; ""'!"" &amp; $B$17 &amp; "":"" &amp; $B$17) = K$21, ISNUMBER(SEARCH($B$4, INDIRECT(""'"" &amp; $B$16 &amp; ""'!"" &amp; $B$12 &amp; "":"" &amp; $B$12)))))/$D$7"),"#N/A")</f>
        <v>#N/A</v>
      </c>
      <c r="L39" s="295" t="str">
        <f>IFERROR(__xludf.DUMMYFUNCTION("VAR.S(FILTER(INDIRECT(""'"" &amp; $B$16 &amp; ""'!"" &amp; $B39 &amp; "":"" &amp; $B39), INDIRECT(""'"" &amp; $B$16 &amp; ""'!"" &amp; $B$17 &amp; "":"" &amp; $B$17) = L$21, ISNUMBER(SEARCH($B$4, INDIRECT(""'"" &amp; $B$16 &amp; ""'!"" &amp; $B$12 &amp; "":"" &amp; $B$12)))))/$D$8"),"#N/A")</f>
        <v>#N/A</v>
      </c>
      <c r="M39" s="296" t="str">
        <f>IFERROR(__xludf.DUMMYFUNCTION("VAR.S(FILTER(INDIRECT(""'"" &amp; $B$16 &amp; ""'!"" &amp; $B39 &amp; "":"" &amp; $B39), INDIRECT(""'"" &amp; $B$16 &amp; ""'!"" &amp; $B$17 &amp; "":"" &amp; $B$17) = M$21, ISNUMBER(SEARCH($B$4, INDIRECT(""'"" &amp; $B$16 &amp; ""'!"" &amp; $B$12 &amp; "":"" &amp; $B$12)))))/$D$9"),"#N/A")</f>
        <v>#N/A</v>
      </c>
      <c r="N39" s="296" t="str">
        <f>IFERROR(__xludf.DUMMYFUNCTION("VAR.S(FILTER(INDIRECT(""'"" &amp; $B$16 &amp; ""'!"" &amp; $B39 &amp; "":"" &amp; $B39), INDIRECT(""'"" &amp; $B$16 &amp; ""'!"" &amp; $B$17 &amp; "":"" &amp; $B$17) = N$21, ISNUMBER(SEARCH($B$4, INDIRECT(""'"" &amp; $B$16 &amp; ""'!"" &amp; $B$12 &amp; "":"" &amp; $B$12)))))/$D$10"),"#N/A")</f>
        <v>#N/A</v>
      </c>
      <c r="O39" s="297" t="str">
        <f>IFERROR(__xludf.DUMMYFUNCTION("AVERAGE(FILTER(INDIRECT(""'"" &amp; $B$16 &amp; ""'!"" &amp; $B39 &amp; "":"" &amp; $B39), INDIRECT(""'"" &amp; $B$16 &amp; ""'!"" &amp; $B$17 &amp; "":"" &amp; $B$17) = J$21, ISNUMBER(SEARCH($B$4, INDIRECT(""'"" &amp; $B$16 &amp; ""'!"" &amp; $B$12 &amp; "":"" &amp; $B$12)))))"),"#N/A")</f>
        <v>#N/A</v>
      </c>
      <c r="P39" s="297" t="str">
        <f>IFERROR(__xludf.DUMMYFUNCTION("AVERAGE(FILTER(INDIRECT(""'"" &amp; $B$16 &amp; ""'!"" &amp; $B39 &amp; "":"" &amp; $B39), INDIRECT(""'"" &amp; $B$16 &amp; ""'!"" &amp; $B$17 &amp; "":"" &amp; $B$17) = K$21, ISNUMBER(SEARCH($B$4, INDIRECT(""'"" &amp; $B$16 &amp; ""'!"" &amp; $B$12 &amp; "":"" &amp; $B$12)))))"),"#N/A")</f>
        <v>#N/A</v>
      </c>
      <c r="Q39" s="297" t="str">
        <f>IFERROR(__xludf.DUMMYFUNCTION("AVERAGE(FILTER(INDIRECT(""'"" &amp; $B$16 &amp; ""'!"" &amp; $B39 &amp; "":"" &amp; $B39), INDIRECT(""'"" &amp; $B$16 &amp; ""'!"" &amp; $B$17 &amp; "":"" &amp; $B$17) = L$21, ISNUMBER(SEARCH($B$4, INDIRECT(""'"" &amp; $B$16 &amp; ""'!"" &amp; $B$12 &amp; "":"" &amp; $B$12)))))"),"#N/A")</f>
        <v>#N/A</v>
      </c>
      <c r="R39" s="297" t="str">
        <f>IFERROR(__xludf.DUMMYFUNCTION("AVERAGE(FILTER(INDIRECT(""'"" &amp; $B$16 &amp; ""'!"" &amp; $B39 &amp; "":"" &amp; $B39), INDIRECT(""'"" &amp; $B$16 &amp; ""'!"" &amp; $B$17 &amp; "":"" &amp; $B$17) = M$21, ISNUMBER(SEARCH($B$4, INDIRECT(""'"" &amp; $B$16 &amp; ""'!"" &amp; $B$12 &amp; "":"" &amp; $B$12)))))"),"#N/A")</f>
        <v>#N/A</v>
      </c>
      <c r="S39" s="297" t="str">
        <f>IFERROR(__xludf.DUMMYFUNCTION("AVERAGE(FILTER(INDIRECT(""'"" &amp; $B$16 &amp; ""'!"" &amp; $B39 &amp; "":"" &amp; $B39), INDIRECT(""'"" &amp; $B$16 &amp; ""'!"" &amp; $B$17 &amp; "":"" &amp; $B$17) = N$21, ISNUMBER(SEARCH($B$4, INDIRECT(""'"" &amp; $B$16 &amp; ""'!"" &amp; $B$12 &amp; "":"" &amp; $B$12)))))"),"#N/A")</f>
        <v>#N/A</v>
      </c>
      <c r="T39" s="298" t="str">
        <f t="shared" si="60"/>
        <v>#N/A</v>
      </c>
      <c r="U39" s="298" t="str">
        <f t="shared" si="61"/>
        <v>#N/A</v>
      </c>
      <c r="V39" s="298" t="str">
        <f t="shared" si="62"/>
        <v>#N/A</v>
      </c>
      <c r="W39" s="298" t="str">
        <f t="shared" si="63"/>
        <v>#N/A</v>
      </c>
      <c r="X39" s="298" t="str">
        <f t="shared" si="64"/>
        <v>#N/A</v>
      </c>
      <c r="Y39" s="298" t="str">
        <f t="shared" si="65"/>
        <v>#N/A</v>
      </c>
      <c r="Z39" s="298" t="str">
        <f t="shared" si="66"/>
        <v>#N/A</v>
      </c>
      <c r="AA39" s="298" t="str">
        <f t="shared" si="67"/>
        <v>#N/A</v>
      </c>
      <c r="AB39" s="298" t="str">
        <f t="shared" si="68"/>
        <v>#N/A</v>
      </c>
      <c r="AC39" s="298" t="str">
        <f t="shared" si="69"/>
        <v>#N/A</v>
      </c>
      <c r="AD39" s="297" t="str">
        <f t="shared" si="70"/>
        <v>#N/A</v>
      </c>
      <c r="AE39" s="297" t="str">
        <f t="shared" si="71"/>
        <v>#N/A</v>
      </c>
      <c r="AF39" s="297" t="str">
        <f t="shared" si="72"/>
        <v>#N/A</v>
      </c>
      <c r="AG39" s="297" t="str">
        <f t="shared" si="73"/>
        <v>#N/A</v>
      </c>
      <c r="AH39" s="297" t="str">
        <f t="shared" si="74"/>
        <v>#N/A</v>
      </c>
      <c r="AI39" s="298" t="str">
        <f t="shared" si="75"/>
        <v>#N/A</v>
      </c>
      <c r="AJ39" s="298" t="str">
        <f t="shared" si="76"/>
        <v>#N/A</v>
      </c>
      <c r="AK39" s="298" t="str">
        <f t="shared" si="77"/>
        <v>#N/A</v>
      </c>
      <c r="AL39" s="299" t="str">
        <f t="shared" si="78"/>
        <v>#N/A</v>
      </c>
      <c r="AM39" s="121" t="str">
        <f t="shared" si="79"/>
        <v>#N/A</v>
      </c>
    </row>
    <row r="40" ht="15.75" customHeight="1">
      <c r="A40" s="115" t="s">
        <v>399</v>
      </c>
      <c r="B40" s="90" t="str">
        <f t="shared" si="57"/>
        <v>$CF</v>
      </c>
      <c r="C40" s="288">
        <v>11.0</v>
      </c>
      <c r="D40" s="294">
        <f t="shared" ref="D40:H40" si="86">COUNTIFS(INDIRECT("'" &amp; $B$16 &amp; "'!" &amp; $B$17 &amp; ":" &amp; $B$17),D$21,INDIRECT("'" &amp; $B$16 &amp; "'!" &amp; $B40 &amp; ":" &amp; $B40),1,INDIRECT("'" &amp; $B$16 &amp; "'!" &amp; $B$12 &amp; ":" &amp; $B$12), "*" &amp; $B$4 &amp; "*")
</f>
        <v>0</v>
      </c>
      <c r="E40" s="294">
        <f t="shared" si="86"/>
        <v>0</v>
      </c>
      <c r="F40" s="294">
        <f t="shared" si="86"/>
        <v>0</v>
      </c>
      <c r="G40" s="294">
        <f t="shared" si="86"/>
        <v>0</v>
      </c>
      <c r="H40" s="294">
        <f t="shared" si="86"/>
        <v>0</v>
      </c>
      <c r="I40" s="294">
        <f t="shared" si="59"/>
        <v>0</v>
      </c>
      <c r="J40" s="295" t="str">
        <f>IFERROR(__xludf.DUMMYFUNCTION("VAR.S(FILTER(INDIRECT(""'"" &amp; $B$16 &amp; ""'!"" &amp; $B40 &amp; "":"" &amp; $B40), INDIRECT(""'"" &amp; $B$16 &amp; ""'!"" &amp; $B$17 &amp; "":"" &amp; $B$17) = J$21, ISNUMBER(SEARCH($B$4, INDIRECT(""'"" &amp; $B$16 &amp; ""'!"" &amp; $B$12 &amp; "":"" &amp; $B$12)))))/$D$6"),"#N/A")</f>
        <v>#N/A</v>
      </c>
      <c r="K40" s="295" t="str">
        <f>IFERROR(__xludf.DUMMYFUNCTION("VAR.S(FILTER(INDIRECT(""'"" &amp; $B$16 &amp; ""'!"" &amp; $B40 &amp; "":"" &amp; $B40), INDIRECT(""'"" &amp; $B$16 &amp; ""'!"" &amp; $B$17 &amp; "":"" &amp; $B$17) = K$21, ISNUMBER(SEARCH($B$4, INDIRECT(""'"" &amp; $B$16 &amp; ""'!"" &amp; $B$12 &amp; "":"" &amp; $B$12)))))/$D$7"),"#N/A")</f>
        <v>#N/A</v>
      </c>
      <c r="L40" s="295" t="str">
        <f>IFERROR(__xludf.DUMMYFUNCTION("VAR.S(FILTER(INDIRECT(""'"" &amp; $B$16 &amp; ""'!"" &amp; $B40 &amp; "":"" &amp; $B40), INDIRECT(""'"" &amp; $B$16 &amp; ""'!"" &amp; $B$17 &amp; "":"" &amp; $B$17) = L$21, ISNUMBER(SEARCH($B$4, INDIRECT(""'"" &amp; $B$16 &amp; ""'!"" &amp; $B$12 &amp; "":"" &amp; $B$12)))))/$D$8"),"#N/A")</f>
        <v>#N/A</v>
      </c>
      <c r="M40" s="296" t="str">
        <f>IFERROR(__xludf.DUMMYFUNCTION("VAR.S(FILTER(INDIRECT(""'"" &amp; $B$16 &amp; ""'!"" &amp; $B40 &amp; "":"" &amp; $B40), INDIRECT(""'"" &amp; $B$16 &amp; ""'!"" &amp; $B$17 &amp; "":"" &amp; $B$17) = M$21, ISNUMBER(SEARCH($B$4, INDIRECT(""'"" &amp; $B$16 &amp; ""'!"" &amp; $B$12 &amp; "":"" &amp; $B$12)))))/$D$9"),"#N/A")</f>
        <v>#N/A</v>
      </c>
      <c r="N40" s="296" t="str">
        <f>IFERROR(__xludf.DUMMYFUNCTION("VAR.S(FILTER(INDIRECT(""'"" &amp; $B$16 &amp; ""'!"" &amp; $B40 &amp; "":"" &amp; $B40), INDIRECT(""'"" &amp; $B$16 &amp; ""'!"" &amp; $B$17 &amp; "":"" &amp; $B$17) = N$21, ISNUMBER(SEARCH($B$4, INDIRECT(""'"" &amp; $B$16 &amp; ""'!"" &amp; $B$12 &amp; "":"" &amp; $B$12)))))/$D$10"),"#N/A")</f>
        <v>#N/A</v>
      </c>
      <c r="O40" s="297" t="str">
        <f>IFERROR(__xludf.DUMMYFUNCTION("AVERAGE(FILTER(INDIRECT(""'"" &amp; $B$16 &amp; ""'!"" &amp; $B40 &amp; "":"" &amp; $B40), INDIRECT(""'"" &amp; $B$16 &amp; ""'!"" &amp; $B$17 &amp; "":"" &amp; $B$17) = J$21, ISNUMBER(SEARCH($B$4, INDIRECT(""'"" &amp; $B$16 &amp; ""'!"" &amp; $B$12 &amp; "":"" &amp; $B$12)))))"),"#N/A")</f>
        <v>#N/A</v>
      </c>
      <c r="P40" s="297" t="str">
        <f>IFERROR(__xludf.DUMMYFUNCTION("AVERAGE(FILTER(INDIRECT(""'"" &amp; $B$16 &amp; ""'!"" &amp; $B40 &amp; "":"" &amp; $B40), INDIRECT(""'"" &amp; $B$16 &amp; ""'!"" &amp; $B$17 &amp; "":"" &amp; $B$17) = K$21, ISNUMBER(SEARCH($B$4, INDIRECT(""'"" &amp; $B$16 &amp; ""'!"" &amp; $B$12 &amp; "":"" &amp; $B$12)))))"),"#N/A")</f>
        <v>#N/A</v>
      </c>
      <c r="Q40" s="297" t="str">
        <f>IFERROR(__xludf.DUMMYFUNCTION("AVERAGE(FILTER(INDIRECT(""'"" &amp; $B$16 &amp; ""'!"" &amp; $B40 &amp; "":"" &amp; $B40), INDIRECT(""'"" &amp; $B$16 &amp; ""'!"" &amp; $B$17 &amp; "":"" &amp; $B$17) = L$21, ISNUMBER(SEARCH($B$4, INDIRECT(""'"" &amp; $B$16 &amp; ""'!"" &amp; $B$12 &amp; "":"" &amp; $B$12)))))"),"#N/A")</f>
        <v>#N/A</v>
      </c>
      <c r="R40" s="297" t="str">
        <f>IFERROR(__xludf.DUMMYFUNCTION("AVERAGE(FILTER(INDIRECT(""'"" &amp; $B$16 &amp; ""'!"" &amp; $B40 &amp; "":"" &amp; $B40), INDIRECT(""'"" &amp; $B$16 &amp; ""'!"" &amp; $B$17 &amp; "":"" &amp; $B$17) = M$21, ISNUMBER(SEARCH($B$4, INDIRECT(""'"" &amp; $B$16 &amp; ""'!"" &amp; $B$12 &amp; "":"" &amp; $B$12)))))"),"#N/A")</f>
        <v>#N/A</v>
      </c>
      <c r="S40" s="297" t="str">
        <f>IFERROR(__xludf.DUMMYFUNCTION("AVERAGE(FILTER(INDIRECT(""'"" &amp; $B$16 &amp; ""'!"" &amp; $B40 &amp; "":"" &amp; $B40), INDIRECT(""'"" &amp; $B$16 &amp; ""'!"" &amp; $B$17 &amp; "":"" &amp; $B$17) = N$21, ISNUMBER(SEARCH($B$4, INDIRECT(""'"" &amp; $B$16 &amp; ""'!"" &amp; $B$12 &amp; "":"" &amp; $B$12)))))"),"#N/A")</f>
        <v>#N/A</v>
      </c>
      <c r="T40" s="298" t="str">
        <f t="shared" si="60"/>
        <v>#N/A</v>
      </c>
      <c r="U40" s="298" t="str">
        <f t="shared" si="61"/>
        <v>#N/A</v>
      </c>
      <c r="V40" s="298" t="str">
        <f t="shared" si="62"/>
        <v>#N/A</v>
      </c>
      <c r="W40" s="298" t="str">
        <f t="shared" si="63"/>
        <v>#N/A</v>
      </c>
      <c r="X40" s="298" t="str">
        <f t="shared" si="64"/>
        <v>#N/A</v>
      </c>
      <c r="Y40" s="298" t="str">
        <f t="shared" si="65"/>
        <v>#N/A</v>
      </c>
      <c r="Z40" s="298" t="str">
        <f t="shared" si="66"/>
        <v>#N/A</v>
      </c>
      <c r="AA40" s="298" t="str">
        <f t="shared" si="67"/>
        <v>#N/A</v>
      </c>
      <c r="AB40" s="298" t="str">
        <f t="shared" si="68"/>
        <v>#N/A</v>
      </c>
      <c r="AC40" s="298" t="str">
        <f t="shared" si="69"/>
        <v>#N/A</v>
      </c>
      <c r="AD40" s="297" t="str">
        <f t="shared" si="70"/>
        <v>#N/A</v>
      </c>
      <c r="AE40" s="297" t="str">
        <f t="shared" si="71"/>
        <v>#N/A</v>
      </c>
      <c r="AF40" s="297" t="str">
        <f t="shared" si="72"/>
        <v>#N/A</v>
      </c>
      <c r="AG40" s="297" t="str">
        <f t="shared" si="73"/>
        <v>#N/A</v>
      </c>
      <c r="AH40" s="297" t="str">
        <f t="shared" si="74"/>
        <v>#N/A</v>
      </c>
      <c r="AI40" s="298" t="str">
        <f t="shared" si="75"/>
        <v>#N/A</v>
      </c>
      <c r="AJ40" s="298" t="str">
        <f t="shared" si="76"/>
        <v>#N/A</v>
      </c>
      <c r="AK40" s="298" t="str">
        <f t="shared" si="77"/>
        <v>#N/A</v>
      </c>
      <c r="AL40" s="299" t="str">
        <f t="shared" si="78"/>
        <v>#N/A</v>
      </c>
      <c r="AM40" s="121" t="str">
        <f t="shared" si="79"/>
        <v>#N/A</v>
      </c>
    </row>
    <row r="41" ht="15.75" customHeight="1">
      <c r="A41" s="82" t="s">
        <v>296</v>
      </c>
      <c r="B41" s="82" t="s">
        <v>296</v>
      </c>
      <c r="C41" s="85"/>
      <c r="D41" s="85"/>
      <c r="E41" s="85"/>
      <c r="F41" s="85"/>
      <c r="G41" s="85"/>
      <c r="H41" s="85"/>
      <c r="I41" s="235"/>
      <c r="J41" s="85"/>
      <c r="K41" s="85"/>
      <c r="L41" s="85"/>
      <c r="M41" s="112"/>
      <c r="N41" s="112"/>
      <c r="O41" s="292"/>
      <c r="P41" s="292"/>
      <c r="Q41" s="292"/>
      <c r="R41" s="292"/>
      <c r="S41" s="29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292"/>
      <c r="AE41" s="292"/>
      <c r="AF41" s="292"/>
      <c r="AG41" s="292"/>
      <c r="AH41" s="292"/>
      <c r="AI41" s="85"/>
      <c r="AJ41" s="85"/>
      <c r="AK41" s="85"/>
      <c r="AL41" s="85"/>
      <c r="AM41" s="293" t="str">
        <f>SUM(AM32:AM40)</f>
        <v>#N/A</v>
      </c>
    </row>
    <row r="42" ht="15.75" customHeight="1">
      <c r="A42" s="141" t="s">
        <v>402</v>
      </c>
      <c r="B42" s="90" t="str">
        <f t="shared" ref="B42:B50" si="88">IFERROR("$" &amp; SUBSTITUTE(ADDRESS(1, MATCH(A42, INDIRECT("'" &amp; $B$16 &amp; "'!1:1"), 0), 4), "1", ""), "Not Found")
</f>
        <v>$CG</v>
      </c>
      <c r="C42" s="288">
        <v>1.0</v>
      </c>
      <c r="D42" s="301">
        <f t="shared" ref="D42:H42" si="87">COUNTIFS(INDIRECT("'" &amp; $B$16 &amp; "'!" &amp; $B$17 &amp; ":" &amp; $B$17),D$21,INDIRECT("'" &amp; $B$16 &amp; "'!" &amp; $B42 &amp; ":" &amp; $B42),1,INDIRECT("'" &amp; $B$16 &amp; "'!" &amp; $B$12 &amp; ":" &amp; $B$12), "*" &amp; $B$4 &amp; "*")
</f>
        <v>0</v>
      </c>
      <c r="E42" s="301">
        <f t="shared" si="87"/>
        <v>0</v>
      </c>
      <c r="F42" s="301">
        <f t="shared" si="87"/>
        <v>0</v>
      </c>
      <c r="G42" s="301">
        <f t="shared" si="87"/>
        <v>0</v>
      </c>
      <c r="H42" s="301">
        <f t="shared" si="87"/>
        <v>0</v>
      </c>
      <c r="I42" s="301">
        <f t="shared" ref="I42:I50" si="90">SUM(D42:H42)</f>
        <v>0</v>
      </c>
      <c r="J42" s="302" t="str">
        <f>IFERROR(__xludf.DUMMYFUNCTION("VAR.S(FILTER(INDIRECT(""'"" &amp; $B$16 &amp; ""'!"" &amp; $B42 &amp; "":"" &amp; $B42), INDIRECT(""'"" &amp; $B$16 &amp; ""'!"" &amp; $B$17 &amp; "":"" &amp; $B$17) = J$21, ISNUMBER(SEARCH($B$4, INDIRECT(""'"" &amp; $B$16 &amp; ""'!"" &amp; $B$12 &amp; "":"" &amp; $B$12)))))/$D$6"),"#N/A")</f>
        <v>#N/A</v>
      </c>
      <c r="K42" s="302" t="str">
        <f>IFERROR(__xludf.DUMMYFUNCTION("VAR.S(FILTER(INDIRECT(""'"" &amp; $B$16 &amp; ""'!"" &amp; $B42 &amp; "":"" &amp; $B42), INDIRECT(""'"" &amp; $B$16 &amp; ""'!"" &amp; $B$17 &amp; "":"" &amp; $B$17) = K$21, ISNUMBER(SEARCH($B$4, INDIRECT(""'"" &amp; $B$16 &amp; ""'!"" &amp; $B$12 &amp; "":"" &amp; $B$12)))))/$D$7"),"#N/A")</f>
        <v>#N/A</v>
      </c>
      <c r="L42" s="302" t="str">
        <f>IFERROR(__xludf.DUMMYFUNCTION("VAR.S(FILTER(INDIRECT(""'"" &amp; $B$16 &amp; ""'!"" &amp; $B42 &amp; "":"" &amp; $B42), INDIRECT(""'"" &amp; $B$16 &amp; ""'!"" &amp; $B$17 &amp; "":"" &amp; $B$17) = L$21, ISNUMBER(SEARCH($B$4, INDIRECT(""'"" &amp; $B$16 &amp; ""'!"" &amp; $B$12 &amp; "":"" &amp; $B$12)))))/$D$8"),"#N/A")</f>
        <v>#N/A</v>
      </c>
      <c r="M42" s="303" t="str">
        <f>IFERROR(__xludf.DUMMYFUNCTION("VAR.S(FILTER(INDIRECT(""'"" &amp; $B$16 &amp; ""'!"" &amp; $B42 &amp; "":"" &amp; $B42), INDIRECT(""'"" &amp; $B$16 &amp; ""'!"" &amp; $B$17 &amp; "":"" &amp; $B$17) = M$21, ISNUMBER(SEARCH($B$4, INDIRECT(""'"" &amp; $B$16 &amp; ""'!"" &amp; $B$12 &amp; "":"" &amp; $B$12)))))/$D$9"),"#N/A")</f>
        <v>#N/A</v>
      </c>
      <c r="N42" s="303" t="str">
        <f>IFERROR(__xludf.DUMMYFUNCTION("VAR.S(FILTER(INDIRECT(""'"" &amp; $B$16 &amp; ""'!"" &amp; $B42 &amp; "":"" &amp; $B42), INDIRECT(""'"" &amp; $B$16 &amp; ""'!"" &amp; $B$17 &amp; "":"" &amp; $B$17) = N$21, ISNUMBER(SEARCH($B$4, INDIRECT(""'"" &amp; $B$16 &amp; ""'!"" &amp; $B$12 &amp; "":"" &amp; $B$12)))))/$D$10"),"#N/A")</f>
        <v>#N/A</v>
      </c>
      <c r="O42" s="304" t="str">
        <f>IFERROR(__xludf.DUMMYFUNCTION("AVERAGE(FILTER(INDIRECT(""'"" &amp; $B$16 &amp; ""'!"" &amp; $B42 &amp; "":"" &amp; $B42), INDIRECT(""'"" &amp; $B$16 &amp; ""'!"" &amp; $B$17 &amp; "":"" &amp; $B$17) = J$21, ISNUMBER(SEARCH($B$4, INDIRECT(""'"" &amp; $B$16 &amp; ""'!"" &amp; $B$12 &amp; "":"" &amp; $B$12)))))"),"#N/A")</f>
        <v>#N/A</v>
      </c>
      <c r="P42" s="304" t="str">
        <f>IFERROR(__xludf.DUMMYFUNCTION("AVERAGE(FILTER(INDIRECT(""'"" &amp; $B$16 &amp; ""'!"" &amp; $B42 &amp; "":"" &amp; $B42), INDIRECT(""'"" &amp; $B$16 &amp; ""'!"" &amp; $B$17 &amp; "":"" &amp; $B$17) = K$21, ISNUMBER(SEARCH($B$4, INDIRECT(""'"" &amp; $B$16 &amp; ""'!"" &amp; $B$12 &amp; "":"" &amp; $B$12)))))"),"#N/A")</f>
        <v>#N/A</v>
      </c>
      <c r="Q42" s="304" t="str">
        <f>IFERROR(__xludf.DUMMYFUNCTION("AVERAGE(FILTER(INDIRECT(""'"" &amp; $B$16 &amp; ""'!"" &amp; $B42 &amp; "":"" &amp; $B42), INDIRECT(""'"" &amp; $B$16 &amp; ""'!"" &amp; $B$17 &amp; "":"" &amp; $B$17) = L$21, ISNUMBER(SEARCH($B$4, INDIRECT(""'"" &amp; $B$16 &amp; ""'!"" &amp; $B$12 &amp; "":"" &amp; $B$12)))))"),"#N/A")</f>
        <v>#N/A</v>
      </c>
      <c r="R42" s="304" t="str">
        <f>IFERROR(__xludf.DUMMYFUNCTION("AVERAGE(FILTER(INDIRECT(""'"" &amp; $B$16 &amp; ""'!"" &amp; $B42 &amp; "":"" &amp; $B42), INDIRECT(""'"" &amp; $B$16 &amp; ""'!"" &amp; $B$17 &amp; "":"" &amp; $B$17) = M$21, ISNUMBER(SEARCH($B$4, INDIRECT(""'"" &amp; $B$16 &amp; ""'!"" &amp; $B$12 &amp; "":"" &amp; $B$12)))))"),"#N/A")</f>
        <v>#N/A</v>
      </c>
      <c r="S42" s="304" t="str">
        <f>IFERROR(__xludf.DUMMYFUNCTION("AVERAGE(FILTER(INDIRECT(""'"" &amp; $B$16 &amp; ""'!"" &amp; $B42 &amp; "":"" &amp; $B42), INDIRECT(""'"" &amp; $B$16 &amp; ""'!"" &amp; $B$17 &amp; "":"" &amp; $B$17) = N$21, ISNUMBER(SEARCH($B$4, INDIRECT(""'"" &amp; $B$16 &amp; ""'!"" &amp; $B$12 &amp; "":"" &amp; $B$12)))))"),"#N/A")</f>
        <v>#N/A</v>
      </c>
      <c r="T42" s="305" t="str">
        <f t="shared" ref="T42:T50" si="91">($B$6^2*J42)^0.5</f>
        <v>#N/A</v>
      </c>
      <c r="U42" s="305" t="str">
        <f t="shared" ref="U42:U50" si="92">($B$7^2*K42)^0.5</f>
        <v>#N/A</v>
      </c>
      <c r="V42" s="305" t="str">
        <f t="shared" ref="V42:V50" si="93">($B$8^2*L42)^0.5</f>
        <v>#N/A</v>
      </c>
      <c r="W42" s="305" t="str">
        <f t="shared" ref="W42:W50" si="94">($B$9^2*M42)^0.5</f>
        <v>#N/A</v>
      </c>
      <c r="X42" s="305" t="str">
        <f t="shared" ref="X42:X50" si="95">($B$10^2*N42)^0.5</f>
        <v>#N/A</v>
      </c>
      <c r="Y42" s="305" t="str">
        <f t="shared" ref="Y42:Y50" si="96">O42*$B$6</f>
        <v>#N/A</v>
      </c>
      <c r="Z42" s="305" t="str">
        <f t="shared" ref="Z42:Z50" si="97">P42*$B$7</f>
        <v>#N/A</v>
      </c>
      <c r="AA42" s="305" t="str">
        <f t="shared" ref="AA42:AA50" si="98">Q42*$B$8</f>
        <v>#N/A</v>
      </c>
      <c r="AB42" s="305" t="str">
        <f t="shared" ref="AB42:AB50" si="99">R42*$B$9</f>
        <v>#N/A</v>
      </c>
      <c r="AC42" s="305" t="str">
        <f t="shared" ref="AC42:AC50" si="100">S42*$B$10</f>
        <v>#N/A</v>
      </c>
      <c r="AD42" s="304" t="str">
        <f t="shared" ref="AD42:AD50" si="101">O42*$C$6</f>
        <v>#N/A</v>
      </c>
      <c r="AE42" s="304" t="str">
        <f t="shared" ref="AE42:AE50" si="102">P42*$C$7</f>
        <v>#N/A</v>
      </c>
      <c r="AF42" s="304" t="str">
        <f t="shared" ref="AF42:AF50" si="103">Q42*$C$8</f>
        <v>#N/A</v>
      </c>
      <c r="AG42" s="304" t="str">
        <f t="shared" ref="AG42:AG50" si="104">R42*$C$9</f>
        <v>#N/A</v>
      </c>
      <c r="AH42" s="304" t="str">
        <f t="shared" ref="AH42:AH50" si="105">S42*$C$10</f>
        <v>#N/A</v>
      </c>
      <c r="AI42" s="305" t="str">
        <f t="shared" ref="AI42:AI50" si="106">(T42*T42+U42*U42+V42*V42+W42*W42+X42*X42)^0.5</f>
        <v>#N/A</v>
      </c>
      <c r="AJ42" s="305" t="str">
        <f t="shared" ref="AJ42:AJ50" si="107">AI42*$B$14</f>
        <v>#N/A</v>
      </c>
      <c r="AK42" s="305" t="str">
        <f t="shared" ref="AK42:AK50" si="108">SUM(Y42:AC42)</f>
        <v>#N/A</v>
      </c>
      <c r="AL42" s="306" t="str">
        <f t="shared" ref="AL42:AL50" si="109">IF(AJ42=0,0,AJ42/AK42)</f>
        <v>#N/A</v>
      </c>
      <c r="AM42" s="146" t="str">
        <f t="shared" ref="AM42:AM50" si="110">AK42/$B$2</f>
        <v>#N/A</v>
      </c>
    </row>
    <row r="43" ht="15.75" customHeight="1">
      <c r="A43" s="141" t="s">
        <v>405</v>
      </c>
      <c r="B43" s="90" t="str">
        <f t="shared" si="88"/>
        <v>$CH</v>
      </c>
      <c r="C43" s="288">
        <v>2.0</v>
      </c>
      <c r="D43" s="301">
        <f t="shared" ref="D43:H43" si="89">COUNTIFS(INDIRECT("'" &amp; $B$16 &amp; "'!" &amp; $B$17 &amp; ":" &amp; $B$17),D$21,INDIRECT("'" &amp; $B$16 &amp; "'!" &amp; $B43 &amp; ":" &amp; $B43),1,INDIRECT("'" &amp; $B$16 &amp; "'!" &amp; $B$12 &amp; ":" &amp; $B$12), "*" &amp; $B$4 &amp; "*")
</f>
        <v>0</v>
      </c>
      <c r="E43" s="301">
        <f t="shared" si="89"/>
        <v>0</v>
      </c>
      <c r="F43" s="301">
        <f t="shared" si="89"/>
        <v>0</v>
      </c>
      <c r="G43" s="301">
        <f t="shared" si="89"/>
        <v>0</v>
      </c>
      <c r="H43" s="301">
        <f t="shared" si="89"/>
        <v>0</v>
      </c>
      <c r="I43" s="301">
        <f t="shared" si="90"/>
        <v>0</v>
      </c>
      <c r="J43" s="302" t="str">
        <f>IFERROR(__xludf.DUMMYFUNCTION("VAR.S(FILTER(INDIRECT(""'"" &amp; $B$16 &amp; ""'!"" &amp; $B43 &amp; "":"" &amp; $B43), INDIRECT(""'"" &amp; $B$16 &amp; ""'!"" &amp; $B$17 &amp; "":"" &amp; $B$17) = J$21, ISNUMBER(SEARCH($B$4, INDIRECT(""'"" &amp; $B$16 &amp; ""'!"" &amp; $B$12 &amp; "":"" &amp; $B$12)))))/$D$6"),"#N/A")</f>
        <v>#N/A</v>
      </c>
      <c r="K43" s="302" t="str">
        <f>IFERROR(__xludf.DUMMYFUNCTION("VAR.S(FILTER(INDIRECT(""'"" &amp; $B$16 &amp; ""'!"" &amp; $B43 &amp; "":"" &amp; $B43), INDIRECT(""'"" &amp; $B$16 &amp; ""'!"" &amp; $B$17 &amp; "":"" &amp; $B$17) = K$21, ISNUMBER(SEARCH($B$4, INDIRECT(""'"" &amp; $B$16 &amp; ""'!"" &amp; $B$12 &amp; "":"" &amp; $B$12)))))/$D$7"),"#N/A")</f>
        <v>#N/A</v>
      </c>
      <c r="L43" s="302" t="str">
        <f>IFERROR(__xludf.DUMMYFUNCTION("VAR.S(FILTER(INDIRECT(""'"" &amp; $B$16 &amp; ""'!"" &amp; $B43 &amp; "":"" &amp; $B43), INDIRECT(""'"" &amp; $B$16 &amp; ""'!"" &amp; $B$17 &amp; "":"" &amp; $B$17) = L$21, ISNUMBER(SEARCH($B$4, INDIRECT(""'"" &amp; $B$16 &amp; ""'!"" &amp; $B$12 &amp; "":"" &amp; $B$12)))))/$D$8"),"#N/A")</f>
        <v>#N/A</v>
      </c>
      <c r="M43" s="303" t="str">
        <f>IFERROR(__xludf.DUMMYFUNCTION("VAR.S(FILTER(INDIRECT(""'"" &amp; $B$16 &amp; ""'!"" &amp; $B43 &amp; "":"" &amp; $B43), INDIRECT(""'"" &amp; $B$16 &amp; ""'!"" &amp; $B$17 &amp; "":"" &amp; $B$17) = M$21, ISNUMBER(SEARCH($B$4, INDIRECT(""'"" &amp; $B$16 &amp; ""'!"" &amp; $B$12 &amp; "":"" &amp; $B$12)))))/$D$9"),"#N/A")</f>
        <v>#N/A</v>
      </c>
      <c r="N43" s="303" t="str">
        <f>IFERROR(__xludf.DUMMYFUNCTION("VAR.S(FILTER(INDIRECT(""'"" &amp; $B$16 &amp; ""'!"" &amp; $B43 &amp; "":"" &amp; $B43), INDIRECT(""'"" &amp; $B$16 &amp; ""'!"" &amp; $B$17 &amp; "":"" &amp; $B$17) = N$21, ISNUMBER(SEARCH($B$4, INDIRECT(""'"" &amp; $B$16 &amp; ""'!"" &amp; $B$12 &amp; "":"" &amp; $B$12)))))/$D$10"),"#N/A")</f>
        <v>#N/A</v>
      </c>
      <c r="O43" s="304" t="str">
        <f>IFERROR(__xludf.DUMMYFUNCTION("AVERAGE(FILTER(INDIRECT(""'"" &amp; $B$16 &amp; ""'!"" &amp; $B43 &amp; "":"" &amp; $B43), INDIRECT(""'"" &amp; $B$16 &amp; ""'!"" &amp; $B$17 &amp; "":"" &amp; $B$17) = J$21, ISNUMBER(SEARCH($B$4, INDIRECT(""'"" &amp; $B$16 &amp; ""'!"" &amp; $B$12 &amp; "":"" &amp; $B$12)))))"),"#N/A")</f>
        <v>#N/A</v>
      </c>
      <c r="P43" s="304" t="str">
        <f>IFERROR(__xludf.DUMMYFUNCTION("AVERAGE(FILTER(INDIRECT(""'"" &amp; $B$16 &amp; ""'!"" &amp; $B43 &amp; "":"" &amp; $B43), INDIRECT(""'"" &amp; $B$16 &amp; ""'!"" &amp; $B$17 &amp; "":"" &amp; $B$17) = K$21, ISNUMBER(SEARCH($B$4, INDIRECT(""'"" &amp; $B$16 &amp; ""'!"" &amp; $B$12 &amp; "":"" &amp; $B$12)))))"),"#N/A")</f>
        <v>#N/A</v>
      </c>
      <c r="Q43" s="304" t="str">
        <f>IFERROR(__xludf.DUMMYFUNCTION("AVERAGE(FILTER(INDIRECT(""'"" &amp; $B$16 &amp; ""'!"" &amp; $B43 &amp; "":"" &amp; $B43), INDIRECT(""'"" &amp; $B$16 &amp; ""'!"" &amp; $B$17 &amp; "":"" &amp; $B$17) = L$21, ISNUMBER(SEARCH($B$4, INDIRECT(""'"" &amp; $B$16 &amp; ""'!"" &amp; $B$12 &amp; "":"" &amp; $B$12)))))"),"#N/A")</f>
        <v>#N/A</v>
      </c>
      <c r="R43" s="304" t="str">
        <f>IFERROR(__xludf.DUMMYFUNCTION("AVERAGE(FILTER(INDIRECT(""'"" &amp; $B$16 &amp; ""'!"" &amp; $B43 &amp; "":"" &amp; $B43), INDIRECT(""'"" &amp; $B$16 &amp; ""'!"" &amp; $B$17 &amp; "":"" &amp; $B$17) = M$21, ISNUMBER(SEARCH($B$4, INDIRECT(""'"" &amp; $B$16 &amp; ""'!"" &amp; $B$12 &amp; "":"" &amp; $B$12)))))"),"#N/A")</f>
        <v>#N/A</v>
      </c>
      <c r="S43" s="304" t="str">
        <f>IFERROR(__xludf.DUMMYFUNCTION("AVERAGE(FILTER(INDIRECT(""'"" &amp; $B$16 &amp; ""'!"" &amp; $B43 &amp; "":"" &amp; $B43), INDIRECT(""'"" &amp; $B$16 &amp; ""'!"" &amp; $B$17 &amp; "":"" &amp; $B$17) = N$21, ISNUMBER(SEARCH($B$4, INDIRECT(""'"" &amp; $B$16 &amp; ""'!"" &amp; $B$12 &amp; "":"" &amp; $B$12)))))"),"#N/A")</f>
        <v>#N/A</v>
      </c>
      <c r="T43" s="305" t="str">
        <f t="shared" si="91"/>
        <v>#N/A</v>
      </c>
      <c r="U43" s="305" t="str">
        <f t="shared" si="92"/>
        <v>#N/A</v>
      </c>
      <c r="V43" s="305" t="str">
        <f t="shared" si="93"/>
        <v>#N/A</v>
      </c>
      <c r="W43" s="305" t="str">
        <f t="shared" si="94"/>
        <v>#N/A</v>
      </c>
      <c r="X43" s="305" t="str">
        <f t="shared" si="95"/>
        <v>#N/A</v>
      </c>
      <c r="Y43" s="305" t="str">
        <f t="shared" si="96"/>
        <v>#N/A</v>
      </c>
      <c r="Z43" s="305" t="str">
        <f t="shared" si="97"/>
        <v>#N/A</v>
      </c>
      <c r="AA43" s="305" t="str">
        <f t="shared" si="98"/>
        <v>#N/A</v>
      </c>
      <c r="AB43" s="305" t="str">
        <f t="shared" si="99"/>
        <v>#N/A</v>
      </c>
      <c r="AC43" s="305" t="str">
        <f t="shared" si="100"/>
        <v>#N/A</v>
      </c>
      <c r="AD43" s="304" t="str">
        <f t="shared" si="101"/>
        <v>#N/A</v>
      </c>
      <c r="AE43" s="304" t="str">
        <f t="shared" si="102"/>
        <v>#N/A</v>
      </c>
      <c r="AF43" s="304" t="str">
        <f t="shared" si="103"/>
        <v>#N/A</v>
      </c>
      <c r="AG43" s="304" t="str">
        <f t="shared" si="104"/>
        <v>#N/A</v>
      </c>
      <c r="AH43" s="304" t="str">
        <f t="shared" si="105"/>
        <v>#N/A</v>
      </c>
      <c r="AI43" s="305" t="str">
        <f t="shared" si="106"/>
        <v>#N/A</v>
      </c>
      <c r="AJ43" s="305" t="str">
        <f t="shared" si="107"/>
        <v>#N/A</v>
      </c>
      <c r="AK43" s="305" t="str">
        <f t="shared" si="108"/>
        <v>#N/A</v>
      </c>
      <c r="AL43" s="306" t="str">
        <f t="shared" si="109"/>
        <v>#N/A</v>
      </c>
      <c r="AM43" s="146" t="str">
        <f t="shared" si="110"/>
        <v>#N/A</v>
      </c>
    </row>
    <row r="44" ht="15.75" customHeight="1">
      <c r="A44" s="141" t="s">
        <v>408</v>
      </c>
      <c r="B44" s="90" t="str">
        <f t="shared" si="88"/>
        <v>$CI</v>
      </c>
      <c r="C44" s="288">
        <v>3.0</v>
      </c>
      <c r="D44" s="301">
        <f t="shared" ref="D44:H44" si="111">COUNTIFS(INDIRECT("'" &amp; $B$16 &amp; "'!" &amp; $B$17 &amp; ":" &amp; $B$17),D$21,INDIRECT("'" &amp; $B$16 &amp; "'!" &amp; $B44 &amp; ":" &amp; $B44),1,INDIRECT("'" &amp; $B$16 &amp; "'!" &amp; $B$12 &amp; ":" &amp; $B$12), "*" &amp; $B$4 &amp; "*")
</f>
        <v>0</v>
      </c>
      <c r="E44" s="301">
        <f t="shared" si="111"/>
        <v>0</v>
      </c>
      <c r="F44" s="301">
        <f t="shared" si="111"/>
        <v>0</v>
      </c>
      <c r="G44" s="301">
        <f t="shared" si="111"/>
        <v>0</v>
      </c>
      <c r="H44" s="301">
        <f t="shared" si="111"/>
        <v>0</v>
      </c>
      <c r="I44" s="301">
        <f t="shared" si="90"/>
        <v>0</v>
      </c>
      <c r="J44" s="302" t="str">
        <f>IFERROR(__xludf.DUMMYFUNCTION("VAR.S(FILTER(INDIRECT(""'"" &amp; $B$16 &amp; ""'!"" &amp; $B44 &amp; "":"" &amp; $B44), INDIRECT(""'"" &amp; $B$16 &amp; ""'!"" &amp; $B$17 &amp; "":"" &amp; $B$17) = J$21, ISNUMBER(SEARCH($B$4, INDIRECT(""'"" &amp; $B$16 &amp; ""'!"" &amp; $B$12 &amp; "":"" &amp; $B$12)))))/$D$6"),"#N/A")</f>
        <v>#N/A</v>
      </c>
      <c r="K44" s="302" t="str">
        <f>IFERROR(__xludf.DUMMYFUNCTION("VAR.S(FILTER(INDIRECT(""'"" &amp; $B$16 &amp; ""'!"" &amp; $B44 &amp; "":"" &amp; $B44), INDIRECT(""'"" &amp; $B$16 &amp; ""'!"" &amp; $B$17 &amp; "":"" &amp; $B$17) = K$21, ISNUMBER(SEARCH($B$4, INDIRECT(""'"" &amp; $B$16 &amp; ""'!"" &amp; $B$12 &amp; "":"" &amp; $B$12)))))/$D$7"),"#N/A")</f>
        <v>#N/A</v>
      </c>
      <c r="L44" s="302" t="str">
        <f>IFERROR(__xludf.DUMMYFUNCTION("VAR.S(FILTER(INDIRECT(""'"" &amp; $B$16 &amp; ""'!"" &amp; $B44 &amp; "":"" &amp; $B44), INDIRECT(""'"" &amp; $B$16 &amp; ""'!"" &amp; $B$17 &amp; "":"" &amp; $B$17) = L$21, ISNUMBER(SEARCH($B$4, INDIRECT(""'"" &amp; $B$16 &amp; ""'!"" &amp; $B$12 &amp; "":"" &amp; $B$12)))))/$D$8"),"#N/A")</f>
        <v>#N/A</v>
      </c>
      <c r="M44" s="303" t="str">
        <f>IFERROR(__xludf.DUMMYFUNCTION("VAR.S(FILTER(INDIRECT(""'"" &amp; $B$16 &amp; ""'!"" &amp; $B44 &amp; "":"" &amp; $B44), INDIRECT(""'"" &amp; $B$16 &amp; ""'!"" &amp; $B$17 &amp; "":"" &amp; $B$17) = M$21, ISNUMBER(SEARCH($B$4, INDIRECT(""'"" &amp; $B$16 &amp; ""'!"" &amp; $B$12 &amp; "":"" &amp; $B$12)))))/$D$9"),"#N/A")</f>
        <v>#N/A</v>
      </c>
      <c r="N44" s="303" t="str">
        <f>IFERROR(__xludf.DUMMYFUNCTION("VAR.S(FILTER(INDIRECT(""'"" &amp; $B$16 &amp; ""'!"" &amp; $B44 &amp; "":"" &amp; $B44), INDIRECT(""'"" &amp; $B$16 &amp; ""'!"" &amp; $B$17 &amp; "":"" &amp; $B$17) = N$21, ISNUMBER(SEARCH($B$4, INDIRECT(""'"" &amp; $B$16 &amp; ""'!"" &amp; $B$12 &amp; "":"" &amp; $B$12)))))/$D$10"),"#N/A")</f>
        <v>#N/A</v>
      </c>
      <c r="O44" s="304" t="str">
        <f>IFERROR(__xludf.DUMMYFUNCTION("AVERAGE(FILTER(INDIRECT(""'"" &amp; $B$16 &amp; ""'!"" &amp; $B44 &amp; "":"" &amp; $B44), INDIRECT(""'"" &amp; $B$16 &amp; ""'!"" &amp; $B$17 &amp; "":"" &amp; $B$17) = J$21, ISNUMBER(SEARCH($B$4, INDIRECT(""'"" &amp; $B$16 &amp; ""'!"" &amp; $B$12 &amp; "":"" &amp; $B$12)))))"),"#N/A")</f>
        <v>#N/A</v>
      </c>
      <c r="P44" s="304" t="str">
        <f>IFERROR(__xludf.DUMMYFUNCTION("AVERAGE(FILTER(INDIRECT(""'"" &amp; $B$16 &amp; ""'!"" &amp; $B44 &amp; "":"" &amp; $B44), INDIRECT(""'"" &amp; $B$16 &amp; ""'!"" &amp; $B$17 &amp; "":"" &amp; $B$17) = K$21, ISNUMBER(SEARCH($B$4, INDIRECT(""'"" &amp; $B$16 &amp; ""'!"" &amp; $B$12 &amp; "":"" &amp; $B$12)))))"),"#N/A")</f>
        <v>#N/A</v>
      </c>
      <c r="Q44" s="304" t="str">
        <f>IFERROR(__xludf.DUMMYFUNCTION("AVERAGE(FILTER(INDIRECT(""'"" &amp; $B$16 &amp; ""'!"" &amp; $B44 &amp; "":"" &amp; $B44), INDIRECT(""'"" &amp; $B$16 &amp; ""'!"" &amp; $B$17 &amp; "":"" &amp; $B$17) = L$21, ISNUMBER(SEARCH($B$4, INDIRECT(""'"" &amp; $B$16 &amp; ""'!"" &amp; $B$12 &amp; "":"" &amp; $B$12)))))"),"#N/A")</f>
        <v>#N/A</v>
      </c>
      <c r="R44" s="304" t="str">
        <f>IFERROR(__xludf.DUMMYFUNCTION("AVERAGE(FILTER(INDIRECT(""'"" &amp; $B$16 &amp; ""'!"" &amp; $B44 &amp; "":"" &amp; $B44), INDIRECT(""'"" &amp; $B$16 &amp; ""'!"" &amp; $B$17 &amp; "":"" &amp; $B$17) = M$21, ISNUMBER(SEARCH($B$4, INDIRECT(""'"" &amp; $B$16 &amp; ""'!"" &amp; $B$12 &amp; "":"" &amp; $B$12)))))"),"#N/A")</f>
        <v>#N/A</v>
      </c>
      <c r="S44" s="304" t="str">
        <f>IFERROR(__xludf.DUMMYFUNCTION("AVERAGE(FILTER(INDIRECT(""'"" &amp; $B$16 &amp; ""'!"" &amp; $B44 &amp; "":"" &amp; $B44), INDIRECT(""'"" &amp; $B$16 &amp; ""'!"" &amp; $B$17 &amp; "":"" &amp; $B$17) = N$21, ISNUMBER(SEARCH($B$4, INDIRECT(""'"" &amp; $B$16 &amp; ""'!"" &amp; $B$12 &amp; "":"" &amp; $B$12)))))"),"#N/A")</f>
        <v>#N/A</v>
      </c>
      <c r="T44" s="305" t="str">
        <f t="shared" si="91"/>
        <v>#N/A</v>
      </c>
      <c r="U44" s="305" t="str">
        <f t="shared" si="92"/>
        <v>#N/A</v>
      </c>
      <c r="V44" s="305" t="str">
        <f t="shared" si="93"/>
        <v>#N/A</v>
      </c>
      <c r="W44" s="305" t="str">
        <f t="shared" si="94"/>
        <v>#N/A</v>
      </c>
      <c r="X44" s="305" t="str">
        <f t="shared" si="95"/>
        <v>#N/A</v>
      </c>
      <c r="Y44" s="305" t="str">
        <f t="shared" si="96"/>
        <v>#N/A</v>
      </c>
      <c r="Z44" s="305" t="str">
        <f t="shared" si="97"/>
        <v>#N/A</v>
      </c>
      <c r="AA44" s="305" t="str">
        <f t="shared" si="98"/>
        <v>#N/A</v>
      </c>
      <c r="AB44" s="305" t="str">
        <f t="shared" si="99"/>
        <v>#N/A</v>
      </c>
      <c r="AC44" s="305" t="str">
        <f t="shared" si="100"/>
        <v>#N/A</v>
      </c>
      <c r="AD44" s="304" t="str">
        <f t="shared" si="101"/>
        <v>#N/A</v>
      </c>
      <c r="AE44" s="304" t="str">
        <f t="shared" si="102"/>
        <v>#N/A</v>
      </c>
      <c r="AF44" s="304" t="str">
        <f t="shared" si="103"/>
        <v>#N/A</v>
      </c>
      <c r="AG44" s="304" t="str">
        <f t="shared" si="104"/>
        <v>#N/A</v>
      </c>
      <c r="AH44" s="304" t="str">
        <f t="shared" si="105"/>
        <v>#N/A</v>
      </c>
      <c r="AI44" s="305" t="str">
        <f t="shared" si="106"/>
        <v>#N/A</v>
      </c>
      <c r="AJ44" s="305" t="str">
        <f t="shared" si="107"/>
        <v>#N/A</v>
      </c>
      <c r="AK44" s="305" t="str">
        <f t="shared" si="108"/>
        <v>#N/A</v>
      </c>
      <c r="AL44" s="306" t="str">
        <f t="shared" si="109"/>
        <v>#N/A</v>
      </c>
      <c r="AM44" s="146" t="str">
        <f t="shared" si="110"/>
        <v>#N/A</v>
      </c>
    </row>
    <row r="45" ht="15.75" customHeight="1">
      <c r="A45" s="141" t="s">
        <v>411</v>
      </c>
      <c r="B45" s="90" t="str">
        <f t="shared" si="88"/>
        <v>$CJ</v>
      </c>
      <c r="C45" s="288">
        <v>4.0</v>
      </c>
      <c r="D45" s="301">
        <f t="shared" ref="D45:H45" si="112">COUNTIFS(INDIRECT("'" &amp; $B$16 &amp; "'!" &amp; $B$17 &amp; ":" &amp; $B$17),D$21,INDIRECT("'" &amp; $B$16 &amp; "'!" &amp; $B45 &amp; ":" &amp; $B45),1,INDIRECT("'" &amp; $B$16 &amp; "'!" &amp; $B$12 &amp; ":" &amp; $B$12), "*" &amp; $B$4 &amp; "*")
</f>
        <v>0</v>
      </c>
      <c r="E45" s="301">
        <f t="shared" si="112"/>
        <v>0</v>
      </c>
      <c r="F45" s="301">
        <f t="shared" si="112"/>
        <v>0</v>
      </c>
      <c r="G45" s="301">
        <f t="shared" si="112"/>
        <v>0</v>
      </c>
      <c r="H45" s="301">
        <f t="shared" si="112"/>
        <v>0</v>
      </c>
      <c r="I45" s="301">
        <f t="shared" si="90"/>
        <v>0</v>
      </c>
      <c r="J45" s="302" t="str">
        <f>IFERROR(__xludf.DUMMYFUNCTION("VAR.S(FILTER(INDIRECT(""'"" &amp; $B$16 &amp; ""'!"" &amp; $B45 &amp; "":"" &amp; $B45), INDIRECT(""'"" &amp; $B$16 &amp; ""'!"" &amp; $B$17 &amp; "":"" &amp; $B$17) = J$21, ISNUMBER(SEARCH($B$4, INDIRECT(""'"" &amp; $B$16 &amp; ""'!"" &amp; $B$12 &amp; "":"" &amp; $B$12)))))/$D$6"),"#N/A")</f>
        <v>#N/A</v>
      </c>
      <c r="K45" s="302" t="str">
        <f>IFERROR(__xludf.DUMMYFUNCTION("VAR.S(FILTER(INDIRECT(""'"" &amp; $B$16 &amp; ""'!"" &amp; $B45 &amp; "":"" &amp; $B45), INDIRECT(""'"" &amp; $B$16 &amp; ""'!"" &amp; $B$17 &amp; "":"" &amp; $B$17) = K$21, ISNUMBER(SEARCH($B$4, INDIRECT(""'"" &amp; $B$16 &amp; ""'!"" &amp; $B$12 &amp; "":"" &amp; $B$12)))))/$D$7"),"#N/A")</f>
        <v>#N/A</v>
      </c>
      <c r="L45" s="302" t="str">
        <f>IFERROR(__xludf.DUMMYFUNCTION("VAR.S(FILTER(INDIRECT(""'"" &amp; $B$16 &amp; ""'!"" &amp; $B45 &amp; "":"" &amp; $B45), INDIRECT(""'"" &amp; $B$16 &amp; ""'!"" &amp; $B$17 &amp; "":"" &amp; $B$17) = L$21, ISNUMBER(SEARCH($B$4, INDIRECT(""'"" &amp; $B$16 &amp; ""'!"" &amp; $B$12 &amp; "":"" &amp; $B$12)))))/$D$8"),"#N/A")</f>
        <v>#N/A</v>
      </c>
      <c r="M45" s="303" t="str">
        <f>IFERROR(__xludf.DUMMYFUNCTION("VAR.S(FILTER(INDIRECT(""'"" &amp; $B$16 &amp; ""'!"" &amp; $B45 &amp; "":"" &amp; $B45), INDIRECT(""'"" &amp; $B$16 &amp; ""'!"" &amp; $B$17 &amp; "":"" &amp; $B$17) = M$21, ISNUMBER(SEARCH($B$4, INDIRECT(""'"" &amp; $B$16 &amp; ""'!"" &amp; $B$12 &amp; "":"" &amp; $B$12)))))/$D$9"),"#N/A")</f>
        <v>#N/A</v>
      </c>
      <c r="N45" s="303" t="str">
        <f>IFERROR(__xludf.DUMMYFUNCTION("VAR.S(FILTER(INDIRECT(""'"" &amp; $B$16 &amp; ""'!"" &amp; $B45 &amp; "":"" &amp; $B45), INDIRECT(""'"" &amp; $B$16 &amp; ""'!"" &amp; $B$17 &amp; "":"" &amp; $B$17) = N$21, ISNUMBER(SEARCH($B$4, INDIRECT(""'"" &amp; $B$16 &amp; ""'!"" &amp; $B$12 &amp; "":"" &amp; $B$12)))))/$D$10"),"#N/A")</f>
        <v>#N/A</v>
      </c>
      <c r="O45" s="304" t="str">
        <f>IFERROR(__xludf.DUMMYFUNCTION("AVERAGE(FILTER(INDIRECT(""'"" &amp; $B$16 &amp; ""'!"" &amp; $B45 &amp; "":"" &amp; $B45), INDIRECT(""'"" &amp; $B$16 &amp; ""'!"" &amp; $B$17 &amp; "":"" &amp; $B$17) = J$21, ISNUMBER(SEARCH($B$4, INDIRECT(""'"" &amp; $B$16 &amp; ""'!"" &amp; $B$12 &amp; "":"" &amp; $B$12)))))"),"#N/A")</f>
        <v>#N/A</v>
      </c>
      <c r="P45" s="304" t="str">
        <f>IFERROR(__xludf.DUMMYFUNCTION("AVERAGE(FILTER(INDIRECT(""'"" &amp; $B$16 &amp; ""'!"" &amp; $B45 &amp; "":"" &amp; $B45), INDIRECT(""'"" &amp; $B$16 &amp; ""'!"" &amp; $B$17 &amp; "":"" &amp; $B$17) = K$21, ISNUMBER(SEARCH($B$4, INDIRECT(""'"" &amp; $B$16 &amp; ""'!"" &amp; $B$12 &amp; "":"" &amp; $B$12)))))"),"#N/A")</f>
        <v>#N/A</v>
      </c>
      <c r="Q45" s="304" t="str">
        <f>IFERROR(__xludf.DUMMYFUNCTION("AVERAGE(FILTER(INDIRECT(""'"" &amp; $B$16 &amp; ""'!"" &amp; $B45 &amp; "":"" &amp; $B45), INDIRECT(""'"" &amp; $B$16 &amp; ""'!"" &amp; $B$17 &amp; "":"" &amp; $B$17) = L$21, ISNUMBER(SEARCH($B$4, INDIRECT(""'"" &amp; $B$16 &amp; ""'!"" &amp; $B$12 &amp; "":"" &amp; $B$12)))))"),"#N/A")</f>
        <v>#N/A</v>
      </c>
      <c r="R45" s="304" t="str">
        <f>IFERROR(__xludf.DUMMYFUNCTION("AVERAGE(FILTER(INDIRECT(""'"" &amp; $B$16 &amp; ""'!"" &amp; $B45 &amp; "":"" &amp; $B45), INDIRECT(""'"" &amp; $B$16 &amp; ""'!"" &amp; $B$17 &amp; "":"" &amp; $B$17) = M$21, ISNUMBER(SEARCH($B$4, INDIRECT(""'"" &amp; $B$16 &amp; ""'!"" &amp; $B$12 &amp; "":"" &amp; $B$12)))))"),"#N/A")</f>
        <v>#N/A</v>
      </c>
      <c r="S45" s="304" t="str">
        <f>IFERROR(__xludf.DUMMYFUNCTION("AVERAGE(FILTER(INDIRECT(""'"" &amp; $B$16 &amp; ""'!"" &amp; $B45 &amp; "":"" &amp; $B45), INDIRECT(""'"" &amp; $B$16 &amp; ""'!"" &amp; $B$17 &amp; "":"" &amp; $B$17) = N$21, ISNUMBER(SEARCH($B$4, INDIRECT(""'"" &amp; $B$16 &amp; ""'!"" &amp; $B$12 &amp; "":"" &amp; $B$12)))))"),"#N/A")</f>
        <v>#N/A</v>
      </c>
      <c r="T45" s="305" t="str">
        <f t="shared" si="91"/>
        <v>#N/A</v>
      </c>
      <c r="U45" s="305" t="str">
        <f t="shared" si="92"/>
        <v>#N/A</v>
      </c>
      <c r="V45" s="305" t="str">
        <f t="shared" si="93"/>
        <v>#N/A</v>
      </c>
      <c r="W45" s="305" t="str">
        <f t="shared" si="94"/>
        <v>#N/A</v>
      </c>
      <c r="X45" s="305" t="str">
        <f t="shared" si="95"/>
        <v>#N/A</v>
      </c>
      <c r="Y45" s="305" t="str">
        <f t="shared" si="96"/>
        <v>#N/A</v>
      </c>
      <c r="Z45" s="305" t="str">
        <f t="shared" si="97"/>
        <v>#N/A</v>
      </c>
      <c r="AA45" s="305" t="str">
        <f t="shared" si="98"/>
        <v>#N/A</v>
      </c>
      <c r="AB45" s="305" t="str">
        <f t="shared" si="99"/>
        <v>#N/A</v>
      </c>
      <c r="AC45" s="305" t="str">
        <f t="shared" si="100"/>
        <v>#N/A</v>
      </c>
      <c r="AD45" s="304" t="str">
        <f t="shared" si="101"/>
        <v>#N/A</v>
      </c>
      <c r="AE45" s="304" t="str">
        <f t="shared" si="102"/>
        <v>#N/A</v>
      </c>
      <c r="AF45" s="304" t="str">
        <f t="shared" si="103"/>
        <v>#N/A</v>
      </c>
      <c r="AG45" s="304" t="str">
        <f t="shared" si="104"/>
        <v>#N/A</v>
      </c>
      <c r="AH45" s="304" t="str">
        <f t="shared" si="105"/>
        <v>#N/A</v>
      </c>
      <c r="AI45" s="305" t="str">
        <f t="shared" si="106"/>
        <v>#N/A</v>
      </c>
      <c r="AJ45" s="305" t="str">
        <f t="shared" si="107"/>
        <v>#N/A</v>
      </c>
      <c r="AK45" s="305" t="str">
        <f t="shared" si="108"/>
        <v>#N/A</v>
      </c>
      <c r="AL45" s="306" t="str">
        <f t="shared" si="109"/>
        <v>#N/A</v>
      </c>
      <c r="AM45" s="146" t="str">
        <f t="shared" si="110"/>
        <v>#N/A</v>
      </c>
    </row>
    <row r="46" ht="15.75" customHeight="1">
      <c r="A46" s="141" t="s">
        <v>414</v>
      </c>
      <c r="B46" s="90" t="str">
        <f t="shared" si="88"/>
        <v>$CK</v>
      </c>
      <c r="C46" s="288">
        <v>7.0</v>
      </c>
      <c r="D46" s="301">
        <f t="shared" ref="D46:H46" si="113">COUNTIFS(INDIRECT("'" &amp; $B$16 &amp; "'!" &amp; $B$17 &amp; ":" &amp; $B$17),D$21,INDIRECT("'" &amp; $B$16 &amp; "'!" &amp; $B46 &amp; ":" &amp; $B46),1,INDIRECT("'" &amp; $B$16 &amp; "'!" &amp; $B$12 &amp; ":" &amp; $B$12), "*" &amp; $B$4 &amp; "*")
</f>
        <v>0</v>
      </c>
      <c r="E46" s="301">
        <f t="shared" si="113"/>
        <v>0</v>
      </c>
      <c r="F46" s="301">
        <f t="shared" si="113"/>
        <v>0</v>
      </c>
      <c r="G46" s="301">
        <f t="shared" si="113"/>
        <v>0</v>
      </c>
      <c r="H46" s="301">
        <f t="shared" si="113"/>
        <v>0</v>
      </c>
      <c r="I46" s="301">
        <f t="shared" si="90"/>
        <v>0</v>
      </c>
      <c r="J46" s="302" t="str">
        <f>IFERROR(__xludf.DUMMYFUNCTION("VAR.S(FILTER(INDIRECT(""'"" &amp; $B$16 &amp; ""'!"" &amp; $B46 &amp; "":"" &amp; $B46), INDIRECT(""'"" &amp; $B$16 &amp; ""'!"" &amp; $B$17 &amp; "":"" &amp; $B$17) = J$21, ISNUMBER(SEARCH($B$4, INDIRECT(""'"" &amp; $B$16 &amp; ""'!"" &amp; $B$12 &amp; "":"" &amp; $B$12)))))/$D$6"),"#N/A")</f>
        <v>#N/A</v>
      </c>
      <c r="K46" s="302" t="str">
        <f>IFERROR(__xludf.DUMMYFUNCTION("VAR.S(FILTER(INDIRECT(""'"" &amp; $B$16 &amp; ""'!"" &amp; $B46 &amp; "":"" &amp; $B46), INDIRECT(""'"" &amp; $B$16 &amp; ""'!"" &amp; $B$17 &amp; "":"" &amp; $B$17) = K$21, ISNUMBER(SEARCH($B$4, INDIRECT(""'"" &amp; $B$16 &amp; ""'!"" &amp; $B$12 &amp; "":"" &amp; $B$12)))))/$D$7"),"#N/A")</f>
        <v>#N/A</v>
      </c>
      <c r="L46" s="302" t="str">
        <f>IFERROR(__xludf.DUMMYFUNCTION("VAR.S(FILTER(INDIRECT(""'"" &amp; $B$16 &amp; ""'!"" &amp; $B46 &amp; "":"" &amp; $B46), INDIRECT(""'"" &amp; $B$16 &amp; ""'!"" &amp; $B$17 &amp; "":"" &amp; $B$17) = L$21, ISNUMBER(SEARCH($B$4, INDIRECT(""'"" &amp; $B$16 &amp; ""'!"" &amp; $B$12 &amp; "":"" &amp; $B$12)))))/$D$8"),"#N/A")</f>
        <v>#N/A</v>
      </c>
      <c r="M46" s="303" t="str">
        <f>IFERROR(__xludf.DUMMYFUNCTION("VAR.S(FILTER(INDIRECT(""'"" &amp; $B$16 &amp; ""'!"" &amp; $B46 &amp; "":"" &amp; $B46), INDIRECT(""'"" &amp; $B$16 &amp; ""'!"" &amp; $B$17 &amp; "":"" &amp; $B$17) = M$21, ISNUMBER(SEARCH($B$4, INDIRECT(""'"" &amp; $B$16 &amp; ""'!"" &amp; $B$12 &amp; "":"" &amp; $B$12)))))/$D$9"),"#N/A")</f>
        <v>#N/A</v>
      </c>
      <c r="N46" s="303" t="str">
        <f>IFERROR(__xludf.DUMMYFUNCTION("VAR.S(FILTER(INDIRECT(""'"" &amp; $B$16 &amp; ""'!"" &amp; $B46 &amp; "":"" &amp; $B46), INDIRECT(""'"" &amp; $B$16 &amp; ""'!"" &amp; $B$17 &amp; "":"" &amp; $B$17) = N$21, ISNUMBER(SEARCH($B$4, INDIRECT(""'"" &amp; $B$16 &amp; ""'!"" &amp; $B$12 &amp; "":"" &amp; $B$12)))))/$D$10"),"#N/A")</f>
        <v>#N/A</v>
      </c>
      <c r="O46" s="304" t="str">
        <f>IFERROR(__xludf.DUMMYFUNCTION("AVERAGE(FILTER(INDIRECT(""'"" &amp; $B$16 &amp; ""'!"" &amp; $B46 &amp; "":"" &amp; $B46), INDIRECT(""'"" &amp; $B$16 &amp; ""'!"" &amp; $B$17 &amp; "":"" &amp; $B$17) = J$21, ISNUMBER(SEARCH($B$4, INDIRECT(""'"" &amp; $B$16 &amp; ""'!"" &amp; $B$12 &amp; "":"" &amp; $B$12)))))"),"#N/A")</f>
        <v>#N/A</v>
      </c>
      <c r="P46" s="304" t="str">
        <f>IFERROR(__xludf.DUMMYFUNCTION("AVERAGE(FILTER(INDIRECT(""'"" &amp; $B$16 &amp; ""'!"" &amp; $B46 &amp; "":"" &amp; $B46), INDIRECT(""'"" &amp; $B$16 &amp; ""'!"" &amp; $B$17 &amp; "":"" &amp; $B$17) = K$21, ISNUMBER(SEARCH($B$4, INDIRECT(""'"" &amp; $B$16 &amp; ""'!"" &amp; $B$12 &amp; "":"" &amp; $B$12)))))"),"#N/A")</f>
        <v>#N/A</v>
      </c>
      <c r="Q46" s="304" t="str">
        <f>IFERROR(__xludf.DUMMYFUNCTION("AVERAGE(FILTER(INDIRECT(""'"" &amp; $B$16 &amp; ""'!"" &amp; $B46 &amp; "":"" &amp; $B46), INDIRECT(""'"" &amp; $B$16 &amp; ""'!"" &amp; $B$17 &amp; "":"" &amp; $B$17) = L$21, ISNUMBER(SEARCH($B$4, INDIRECT(""'"" &amp; $B$16 &amp; ""'!"" &amp; $B$12 &amp; "":"" &amp; $B$12)))))"),"#N/A")</f>
        <v>#N/A</v>
      </c>
      <c r="R46" s="304" t="str">
        <f>IFERROR(__xludf.DUMMYFUNCTION("AVERAGE(FILTER(INDIRECT(""'"" &amp; $B$16 &amp; ""'!"" &amp; $B46 &amp; "":"" &amp; $B46), INDIRECT(""'"" &amp; $B$16 &amp; ""'!"" &amp; $B$17 &amp; "":"" &amp; $B$17) = M$21, ISNUMBER(SEARCH($B$4, INDIRECT(""'"" &amp; $B$16 &amp; ""'!"" &amp; $B$12 &amp; "":"" &amp; $B$12)))))"),"#N/A")</f>
        <v>#N/A</v>
      </c>
      <c r="S46" s="304" t="str">
        <f>IFERROR(__xludf.DUMMYFUNCTION("AVERAGE(FILTER(INDIRECT(""'"" &amp; $B$16 &amp; ""'!"" &amp; $B46 &amp; "":"" &amp; $B46), INDIRECT(""'"" &amp; $B$16 &amp; ""'!"" &amp; $B$17 &amp; "":"" &amp; $B$17) = N$21, ISNUMBER(SEARCH($B$4, INDIRECT(""'"" &amp; $B$16 &amp; ""'!"" &amp; $B$12 &amp; "":"" &amp; $B$12)))))"),"#N/A")</f>
        <v>#N/A</v>
      </c>
      <c r="T46" s="305" t="str">
        <f t="shared" si="91"/>
        <v>#N/A</v>
      </c>
      <c r="U46" s="305" t="str">
        <f t="shared" si="92"/>
        <v>#N/A</v>
      </c>
      <c r="V46" s="305" t="str">
        <f t="shared" si="93"/>
        <v>#N/A</v>
      </c>
      <c r="W46" s="305" t="str">
        <f t="shared" si="94"/>
        <v>#N/A</v>
      </c>
      <c r="X46" s="305" t="str">
        <f t="shared" si="95"/>
        <v>#N/A</v>
      </c>
      <c r="Y46" s="305" t="str">
        <f t="shared" si="96"/>
        <v>#N/A</v>
      </c>
      <c r="Z46" s="305" t="str">
        <f t="shared" si="97"/>
        <v>#N/A</v>
      </c>
      <c r="AA46" s="305" t="str">
        <f t="shared" si="98"/>
        <v>#N/A</v>
      </c>
      <c r="AB46" s="305" t="str">
        <f t="shared" si="99"/>
        <v>#N/A</v>
      </c>
      <c r="AC46" s="305" t="str">
        <f t="shared" si="100"/>
        <v>#N/A</v>
      </c>
      <c r="AD46" s="304" t="str">
        <f t="shared" si="101"/>
        <v>#N/A</v>
      </c>
      <c r="AE46" s="304" t="str">
        <f t="shared" si="102"/>
        <v>#N/A</v>
      </c>
      <c r="AF46" s="304" t="str">
        <f t="shared" si="103"/>
        <v>#N/A</v>
      </c>
      <c r="AG46" s="304" t="str">
        <f t="shared" si="104"/>
        <v>#N/A</v>
      </c>
      <c r="AH46" s="304" t="str">
        <f t="shared" si="105"/>
        <v>#N/A</v>
      </c>
      <c r="AI46" s="305" t="str">
        <f t="shared" si="106"/>
        <v>#N/A</v>
      </c>
      <c r="AJ46" s="305" t="str">
        <f t="shared" si="107"/>
        <v>#N/A</v>
      </c>
      <c r="AK46" s="305" t="str">
        <f t="shared" si="108"/>
        <v>#N/A</v>
      </c>
      <c r="AL46" s="306" t="str">
        <f t="shared" si="109"/>
        <v>#N/A</v>
      </c>
      <c r="AM46" s="146" t="str">
        <f t="shared" si="110"/>
        <v>#N/A</v>
      </c>
    </row>
    <row r="47" ht="15.75" customHeight="1">
      <c r="A47" s="141" t="s">
        <v>417</v>
      </c>
      <c r="B47" s="90" t="str">
        <f t="shared" si="88"/>
        <v>$CL</v>
      </c>
      <c r="C47" s="288">
        <v>8.0</v>
      </c>
      <c r="D47" s="301">
        <f t="shared" ref="D47:H47" si="114">COUNTIFS(INDIRECT("'" &amp; $B$16 &amp; "'!" &amp; $B$17 &amp; ":" &amp; $B$17),D$21,INDIRECT("'" &amp; $B$16 &amp; "'!" &amp; $B47 &amp; ":" &amp; $B47),1,INDIRECT("'" &amp; $B$16 &amp; "'!" &amp; $B$12 &amp; ":" &amp; $B$12), "*" &amp; $B$4 &amp; "*")
</f>
        <v>0</v>
      </c>
      <c r="E47" s="301">
        <f t="shared" si="114"/>
        <v>0</v>
      </c>
      <c r="F47" s="301">
        <f t="shared" si="114"/>
        <v>0</v>
      </c>
      <c r="G47" s="301">
        <f t="shared" si="114"/>
        <v>0</v>
      </c>
      <c r="H47" s="301">
        <f t="shared" si="114"/>
        <v>0</v>
      </c>
      <c r="I47" s="301">
        <f t="shared" si="90"/>
        <v>0</v>
      </c>
      <c r="J47" s="302" t="str">
        <f>IFERROR(__xludf.DUMMYFUNCTION("VAR.S(FILTER(INDIRECT(""'"" &amp; $B$16 &amp; ""'!"" &amp; $B47 &amp; "":"" &amp; $B47), INDIRECT(""'"" &amp; $B$16 &amp; ""'!"" &amp; $B$17 &amp; "":"" &amp; $B$17) = J$21, ISNUMBER(SEARCH($B$4, INDIRECT(""'"" &amp; $B$16 &amp; ""'!"" &amp; $B$12 &amp; "":"" &amp; $B$12)))))/$D$6"),"#N/A")</f>
        <v>#N/A</v>
      </c>
      <c r="K47" s="302" t="str">
        <f>IFERROR(__xludf.DUMMYFUNCTION("VAR.S(FILTER(INDIRECT(""'"" &amp; $B$16 &amp; ""'!"" &amp; $B47 &amp; "":"" &amp; $B47), INDIRECT(""'"" &amp; $B$16 &amp; ""'!"" &amp; $B$17 &amp; "":"" &amp; $B$17) = K$21, ISNUMBER(SEARCH($B$4, INDIRECT(""'"" &amp; $B$16 &amp; ""'!"" &amp; $B$12 &amp; "":"" &amp; $B$12)))))/$D$7"),"#N/A")</f>
        <v>#N/A</v>
      </c>
      <c r="L47" s="302" t="str">
        <f>IFERROR(__xludf.DUMMYFUNCTION("VAR.S(FILTER(INDIRECT(""'"" &amp; $B$16 &amp; ""'!"" &amp; $B47 &amp; "":"" &amp; $B47), INDIRECT(""'"" &amp; $B$16 &amp; ""'!"" &amp; $B$17 &amp; "":"" &amp; $B$17) = L$21, ISNUMBER(SEARCH($B$4, INDIRECT(""'"" &amp; $B$16 &amp; ""'!"" &amp; $B$12 &amp; "":"" &amp; $B$12)))))/$D$8"),"#N/A")</f>
        <v>#N/A</v>
      </c>
      <c r="M47" s="303" t="str">
        <f>IFERROR(__xludf.DUMMYFUNCTION("VAR.S(FILTER(INDIRECT(""'"" &amp; $B$16 &amp; ""'!"" &amp; $B47 &amp; "":"" &amp; $B47), INDIRECT(""'"" &amp; $B$16 &amp; ""'!"" &amp; $B$17 &amp; "":"" &amp; $B$17) = M$21, ISNUMBER(SEARCH($B$4, INDIRECT(""'"" &amp; $B$16 &amp; ""'!"" &amp; $B$12 &amp; "":"" &amp; $B$12)))))/$D$9"),"#N/A")</f>
        <v>#N/A</v>
      </c>
      <c r="N47" s="303" t="str">
        <f>IFERROR(__xludf.DUMMYFUNCTION("VAR.S(FILTER(INDIRECT(""'"" &amp; $B$16 &amp; ""'!"" &amp; $B47 &amp; "":"" &amp; $B47), INDIRECT(""'"" &amp; $B$16 &amp; ""'!"" &amp; $B$17 &amp; "":"" &amp; $B$17) = N$21, ISNUMBER(SEARCH($B$4, INDIRECT(""'"" &amp; $B$16 &amp; ""'!"" &amp; $B$12 &amp; "":"" &amp; $B$12)))))/$D$10"),"#N/A")</f>
        <v>#N/A</v>
      </c>
      <c r="O47" s="304" t="str">
        <f>IFERROR(__xludf.DUMMYFUNCTION("AVERAGE(FILTER(INDIRECT(""'"" &amp; $B$16 &amp; ""'!"" &amp; $B47 &amp; "":"" &amp; $B47), INDIRECT(""'"" &amp; $B$16 &amp; ""'!"" &amp; $B$17 &amp; "":"" &amp; $B$17) = J$21, ISNUMBER(SEARCH($B$4, INDIRECT(""'"" &amp; $B$16 &amp; ""'!"" &amp; $B$12 &amp; "":"" &amp; $B$12)))))"),"#N/A")</f>
        <v>#N/A</v>
      </c>
      <c r="P47" s="304" t="str">
        <f>IFERROR(__xludf.DUMMYFUNCTION("AVERAGE(FILTER(INDIRECT(""'"" &amp; $B$16 &amp; ""'!"" &amp; $B47 &amp; "":"" &amp; $B47), INDIRECT(""'"" &amp; $B$16 &amp; ""'!"" &amp; $B$17 &amp; "":"" &amp; $B$17) = K$21, ISNUMBER(SEARCH($B$4, INDIRECT(""'"" &amp; $B$16 &amp; ""'!"" &amp; $B$12 &amp; "":"" &amp; $B$12)))))"),"#N/A")</f>
        <v>#N/A</v>
      </c>
      <c r="Q47" s="304" t="str">
        <f>IFERROR(__xludf.DUMMYFUNCTION("AVERAGE(FILTER(INDIRECT(""'"" &amp; $B$16 &amp; ""'!"" &amp; $B47 &amp; "":"" &amp; $B47), INDIRECT(""'"" &amp; $B$16 &amp; ""'!"" &amp; $B$17 &amp; "":"" &amp; $B$17) = L$21, ISNUMBER(SEARCH($B$4, INDIRECT(""'"" &amp; $B$16 &amp; ""'!"" &amp; $B$12 &amp; "":"" &amp; $B$12)))))"),"#N/A")</f>
        <v>#N/A</v>
      </c>
      <c r="R47" s="304" t="str">
        <f>IFERROR(__xludf.DUMMYFUNCTION("AVERAGE(FILTER(INDIRECT(""'"" &amp; $B$16 &amp; ""'!"" &amp; $B47 &amp; "":"" &amp; $B47), INDIRECT(""'"" &amp; $B$16 &amp; ""'!"" &amp; $B$17 &amp; "":"" &amp; $B$17) = M$21, ISNUMBER(SEARCH($B$4, INDIRECT(""'"" &amp; $B$16 &amp; ""'!"" &amp; $B$12 &amp; "":"" &amp; $B$12)))))"),"#N/A")</f>
        <v>#N/A</v>
      </c>
      <c r="S47" s="304" t="str">
        <f>IFERROR(__xludf.DUMMYFUNCTION("AVERAGE(FILTER(INDIRECT(""'"" &amp; $B$16 &amp; ""'!"" &amp; $B47 &amp; "":"" &amp; $B47), INDIRECT(""'"" &amp; $B$16 &amp; ""'!"" &amp; $B$17 &amp; "":"" &amp; $B$17) = N$21, ISNUMBER(SEARCH($B$4, INDIRECT(""'"" &amp; $B$16 &amp; ""'!"" &amp; $B$12 &amp; "":"" &amp; $B$12)))))"),"#N/A")</f>
        <v>#N/A</v>
      </c>
      <c r="T47" s="305" t="str">
        <f t="shared" si="91"/>
        <v>#N/A</v>
      </c>
      <c r="U47" s="305" t="str">
        <f t="shared" si="92"/>
        <v>#N/A</v>
      </c>
      <c r="V47" s="305" t="str">
        <f t="shared" si="93"/>
        <v>#N/A</v>
      </c>
      <c r="W47" s="305" t="str">
        <f t="shared" si="94"/>
        <v>#N/A</v>
      </c>
      <c r="X47" s="305" t="str">
        <f t="shared" si="95"/>
        <v>#N/A</v>
      </c>
      <c r="Y47" s="305" t="str">
        <f t="shared" si="96"/>
        <v>#N/A</v>
      </c>
      <c r="Z47" s="305" t="str">
        <f t="shared" si="97"/>
        <v>#N/A</v>
      </c>
      <c r="AA47" s="305" t="str">
        <f t="shared" si="98"/>
        <v>#N/A</v>
      </c>
      <c r="AB47" s="305" t="str">
        <f t="shared" si="99"/>
        <v>#N/A</v>
      </c>
      <c r="AC47" s="305" t="str">
        <f t="shared" si="100"/>
        <v>#N/A</v>
      </c>
      <c r="AD47" s="304" t="str">
        <f t="shared" si="101"/>
        <v>#N/A</v>
      </c>
      <c r="AE47" s="304" t="str">
        <f t="shared" si="102"/>
        <v>#N/A</v>
      </c>
      <c r="AF47" s="304" t="str">
        <f t="shared" si="103"/>
        <v>#N/A</v>
      </c>
      <c r="AG47" s="304" t="str">
        <f t="shared" si="104"/>
        <v>#N/A</v>
      </c>
      <c r="AH47" s="304" t="str">
        <f t="shared" si="105"/>
        <v>#N/A</v>
      </c>
      <c r="AI47" s="305" t="str">
        <f t="shared" si="106"/>
        <v>#N/A</v>
      </c>
      <c r="AJ47" s="305" t="str">
        <f t="shared" si="107"/>
        <v>#N/A</v>
      </c>
      <c r="AK47" s="305" t="str">
        <f t="shared" si="108"/>
        <v>#N/A</v>
      </c>
      <c r="AL47" s="306" t="str">
        <f t="shared" si="109"/>
        <v>#N/A</v>
      </c>
      <c r="AM47" s="146" t="str">
        <f t="shared" si="110"/>
        <v>#N/A</v>
      </c>
    </row>
    <row r="48" ht="15.75" customHeight="1">
      <c r="A48" s="141" t="s">
        <v>420</v>
      </c>
      <c r="B48" s="90" t="str">
        <f t="shared" si="88"/>
        <v>$CM</v>
      </c>
      <c r="C48" s="288">
        <v>9.0</v>
      </c>
      <c r="D48" s="301">
        <f t="shared" ref="D48:H48" si="115">COUNTIFS(INDIRECT("'" &amp; $B$16 &amp; "'!" &amp; $B$17 &amp; ":" &amp; $B$17),D$21,INDIRECT("'" &amp; $B$16 &amp; "'!" &amp; $B48 &amp; ":" &amp; $B48),1,INDIRECT("'" &amp; $B$16 &amp; "'!" &amp; $B$12 &amp; ":" &amp; $B$12), "*" &amp; $B$4 &amp; "*")
</f>
        <v>0</v>
      </c>
      <c r="E48" s="301">
        <f t="shared" si="115"/>
        <v>0</v>
      </c>
      <c r="F48" s="301">
        <f t="shared" si="115"/>
        <v>0</v>
      </c>
      <c r="G48" s="301">
        <f t="shared" si="115"/>
        <v>0</v>
      </c>
      <c r="H48" s="301">
        <f t="shared" si="115"/>
        <v>0</v>
      </c>
      <c r="I48" s="301">
        <f t="shared" si="90"/>
        <v>0</v>
      </c>
      <c r="J48" s="302" t="str">
        <f>IFERROR(__xludf.DUMMYFUNCTION("VAR.S(FILTER(INDIRECT(""'"" &amp; $B$16 &amp; ""'!"" &amp; $B48 &amp; "":"" &amp; $B48), INDIRECT(""'"" &amp; $B$16 &amp; ""'!"" &amp; $B$17 &amp; "":"" &amp; $B$17) = J$21, ISNUMBER(SEARCH($B$4, INDIRECT(""'"" &amp; $B$16 &amp; ""'!"" &amp; $B$12 &amp; "":"" &amp; $B$12)))))/$D$6"),"#N/A")</f>
        <v>#N/A</v>
      </c>
      <c r="K48" s="302" t="str">
        <f>IFERROR(__xludf.DUMMYFUNCTION("VAR.S(FILTER(INDIRECT(""'"" &amp; $B$16 &amp; ""'!"" &amp; $B48 &amp; "":"" &amp; $B48), INDIRECT(""'"" &amp; $B$16 &amp; ""'!"" &amp; $B$17 &amp; "":"" &amp; $B$17) = K$21, ISNUMBER(SEARCH($B$4, INDIRECT(""'"" &amp; $B$16 &amp; ""'!"" &amp; $B$12 &amp; "":"" &amp; $B$12)))))/$D$7"),"#N/A")</f>
        <v>#N/A</v>
      </c>
      <c r="L48" s="302" t="str">
        <f>IFERROR(__xludf.DUMMYFUNCTION("VAR.S(FILTER(INDIRECT(""'"" &amp; $B$16 &amp; ""'!"" &amp; $B48 &amp; "":"" &amp; $B48), INDIRECT(""'"" &amp; $B$16 &amp; ""'!"" &amp; $B$17 &amp; "":"" &amp; $B$17) = L$21, ISNUMBER(SEARCH($B$4, INDIRECT(""'"" &amp; $B$16 &amp; ""'!"" &amp; $B$12 &amp; "":"" &amp; $B$12)))))/$D$8"),"#N/A")</f>
        <v>#N/A</v>
      </c>
      <c r="M48" s="303" t="str">
        <f>IFERROR(__xludf.DUMMYFUNCTION("VAR.S(FILTER(INDIRECT(""'"" &amp; $B$16 &amp; ""'!"" &amp; $B48 &amp; "":"" &amp; $B48), INDIRECT(""'"" &amp; $B$16 &amp; ""'!"" &amp; $B$17 &amp; "":"" &amp; $B$17) = M$21, ISNUMBER(SEARCH($B$4, INDIRECT(""'"" &amp; $B$16 &amp; ""'!"" &amp; $B$12 &amp; "":"" &amp; $B$12)))))/$D$9"),"#N/A")</f>
        <v>#N/A</v>
      </c>
      <c r="N48" s="303" t="str">
        <f>IFERROR(__xludf.DUMMYFUNCTION("VAR.S(FILTER(INDIRECT(""'"" &amp; $B$16 &amp; ""'!"" &amp; $B48 &amp; "":"" &amp; $B48), INDIRECT(""'"" &amp; $B$16 &amp; ""'!"" &amp; $B$17 &amp; "":"" &amp; $B$17) = N$21, ISNUMBER(SEARCH($B$4, INDIRECT(""'"" &amp; $B$16 &amp; ""'!"" &amp; $B$12 &amp; "":"" &amp; $B$12)))))/$D$10"),"#N/A")</f>
        <v>#N/A</v>
      </c>
      <c r="O48" s="304" t="str">
        <f>IFERROR(__xludf.DUMMYFUNCTION("AVERAGE(FILTER(INDIRECT(""'"" &amp; $B$16 &amp; ""'!"" &amp; $B48 &amp; "":"" &amp; $B48), INDIRECT(""'"" &amp; $B$16 &amp; ""'!"" &amp; $B$17 &amp; "":"" &amp; $B$17) = J$21, ISNUMBER(SEARCH($B$4, INDIRECT(""'"" &amp; $B$16 &amp; ""'!"" &amp; $B$12 &amp; "":"" &amp; $B$12)))))"),"#N/A")</f>
        <v>#N/A</v>
      </c>
      <c r="P48" s="304" t="str">
        <f>IFERROR(__xludf.DUMMYFUNCTION("AVERAGE(FILTER(INDIRECT(""'"" &amp; $B$16 &amp; ""'!"" &amp; $B48 &amp; "":"" &amp; $B48), INDIRECT(""'"" &amp; $B$16 &amp; ""'!"" &amp; $B$17 &amp; "":"" &amp; $B$17) = K$21, ISNUMBER(SEARCH($B$4, INDIRECT(""'"" &amp; $B$16 &amp; ""'!"" &amp; $B$12 &amp; "":"" &amp; $B$12)))))"),"#N/A")</f>
        <v>#N/A</v>
      </c>
      <c r="Q48" s="304" t="str">
        <f>IFERROR(__xludf.DUMMYFUNCTION("AVERAGE(FILTER(INDIRECT(""'"" &amp; $B$16 &amp; ""'!"" &amp; $B48 &amp; "":"" &amp; $B48), INDIRECT(""'"" &amp; $B$16 &amp; ""'!"" &amp; $B$17 &amp; "":"" &amp; $B$17) = L$21, ISNUMBER(SEARCH($B$4, INDIRECT(""'"" &amp; $B$16 &amp; ""'!"" &amp; $B$12 &amp; "":"" &amp; $B$12)))))"),"#N/A")</f>
        <v>#N/A</v>
      </c>
      <c r="R48" s="304" t="str">
        <f>IFERROR(__xludf.DUMMYFUNCTION("AVERAGE(FILTER(INDIRECT(""'"" &amp; $B$16 &amp; ""'!"" &amp; $B48 &amp; "":"" &amp; $B48), INDIRECT(""'"" &amp; $B$16 &amp; ""'!"" &amp; $B$17 &amp; "":"" &amp; $B$17) = M$21, ISNUMBER(SEARCH($B$4, INDIRECT(""'"" &amp; $B$16 &amp; ""'!"" &amp; $B$12 &amp; "":"" &amp; $B$12)))))"),"#N/A")</f>
        <v>#N/A</v>
      </c>
      <c r="S48" s="304" t="str">
        <f>IFERROR(__xludf.DUMMYFUNCTION("AVERAGE(FILTER(INDIRECT(""'"" &amp; $B$16 &amp; ""'!"" &amp; $B48 &amp; "":"" &amp; $B48), INDIRECT(""'"" &amp; $B$16 &amp; ""'!"" &amp; $B$17 &amp; "":"" &amp; $B$17) = N$21, ISNUMBER(SEARCH($B$4, INDIRECT(""'"" &amp; $B$16 &amp; ""'!"" &amp; $B$12 &amp; "":"" &amp; $B$12)))))"),"#N/A")</f>
        <v>#N/A</v>
      </c>
      <c r="T48" s="305" t="str">
        <f t="shared" si="91"/>
        <v>#N/A</v>
      </c>
      <c r="U48" s="305" t="str">
        <f t="shared" si="92"/>
        <v>#N/A</v>
      </c>
      <c r="V48" s="305" t="str">
        <f t="shared" si="93"/>
        <v>#N/A</v>
      </c>
      <c r="W48" s="305" t="str">
        <f t="shared" si="94"/>
        <v>#N/A</v>
      </c>
      <c r="X48" s="305" t="str">
        <f t="shared" si="95"/>
        <v>#N/A</v>
      </c>
      <c r="Y48" s="305" t="str">
        <f t="shared" si="96"/>
        <v>#N/A</v>
      </c>
      <c r="Z48" s="305" t="str">
        <f t="shared" si="97"/>
        <v>#N/A</v>
      </c>
      <c r="AA48" s="305" t="str">
        <f t="shared" si="98"/>
        <v>#N/A</v>
      </c>
      <c r="AB48" s="305" t="str">
        <f t="shared" si="99"/>
        <v>#N/A</v>
      </c>
      <c r="AC48" s="305" t="str">
        <f t="shared" si="100"/>
        <v>#N/A</v>
      </c>
      <c r="AD48" s="304" t="str">
        <f t="shared" si="101"/>
        <v>#N/A</v>
      </c>
      <c r="AE48" s="304" t="str">
        <f t="shared" si="102"/>
        <v>#N/A</v>
      </c>
      <c r="AF48" s="304" t="str">
        <f t="shared" si="103"/>
        <v>#N/A</v>
      </c>
      <c r="AG48" s="304" t="str">
        <f t="shared" si="104"/>
        <v>#N/A</v>
      </c>
      <c r="AH48" s="304" t="str">
        <f t="shared" si="105"/>
        <v>#N/A</v>
      </c>
      <c r="AI48" s="305" t="str">
        <f t="shared" si="106"/>
        <v>#N/A</v>
      </c>
      <c r="AJ48" s="305" t="str">
        <f t="shared" si="107"/>
        <v>#N/A</v>
      </c>
      <c r="AK48" s="305" t="str">
        <f t="shared" si="108"/>
        <v>#N/A</v>
      </c>
      <c r="AL48" s="306" t="str">
        <f t="shared" si="109"/>
        <v>#N/A</v>
      </c>
      <c r="AM48" s="146" t="str">
        <f t="shared" si="110"/>
        <v>#N/A</v>
      </c>
    </row>
    <row r="49" ht="15.75" customHeight="1">
      <c r="A49" s="141" t="s">
        <v>423</v>
      </c>
      <c r="B49" s="90" t="str">
        <f t="shared" si="88"/>
        <v>$CN</v>
      </c>
      <c r="C49" s="288">
        <v>10.0</v>
      </c>
      <c r="D49" s="301">
        <f t="shared" ref="D49:H49" si="116">COUNTIFS(INDIRECT("'" &amp; $B$16 &amp; "'!" &amp; $B$17 &amp; ":" &amp; $B$17),D$21,INDIRECT("'" &amp; $B$16 &amp; "'!" &amp; $B49 &amp; ":" &amp; $B49),1,INDIRECT("'" &amp; $B$16 &amp; "'!" &amp; $B$12 &amp; ":" &amp; $B$12), "*" &amp; $B$4 &amp; "*")
</f>
        <v>0</v>
      </c>
      <c r="E49" s="301">
        <f t="shared" si="116"/>
        <v>0</v>
      </c>
      <c r="F49" s="301">
        <f t="shared" si="116"/>
        <v>0</v>
      </c>
      <c r="G49" s="301">
        <f t="shared" si="116"/>
        <v>0</v>
      </c>
      <c r="H49" s="301">
        <f t="shared" si="116"/>
        <v>0</v>
      </c>
      <c r="I49" s="301">
        <f t="shared" si="90"/>
        <v>0</v>
      </c>
      <c r="J49" s="302" t="str">
        <f>IFERROR(__xludf.DUMMYFUNCTION("VAR.S(FILTER(INDIRECT(""'"" &amp; $B$16 &amp; ""'!"" &amp; $B49 &amp; "":"" &amp; $B49), INDIRECT(""'"" &amp; $B$16 &amp; ""'!"" &amp; $B$17 &amp; "":"" &amp; $B$17) = J$21, ISNUMBER(SEARCH($B$4, INDIRECT(""'"" &amp; $B$16 &amp; ""'!"" &amp; $B$12 &amp; "":"" &amp; $B$12)))))/$D$6"),"#N/A")</f>
        <v>#N/A</v>
      </c>
      <c r="K49" s="302" t="str">
        <f>IFERROR(__xludf.DUMMYFUNCTION("VAR.S(FILTER(INDIRECT(""'"" &amp; $B$16 &amp; ""'!"" &amp; $B49 &amp; "":"" &amp; $B49), INDIRECT(""'"" &amp; $B$16 &amp; ""'!"" &amp; $B$17 &amp; "":"" &amp; $B$17) = K$21, ISNUMBER(SEARCH($B$4, INDIRECT(""'"" &amp; $B$16 &amp; ""'!"" &amp; $B$12 &amp; "":"" &amp; $B$12)))))/$D$7"),"#N/A")</f>
        <v>#N/A</v>
      </c>
      <c r="L49" s="302" t="str">
        <f>IFERROR(__xludf.DUMMYFUNCTION("VAR.S(FILTER(INDIRECT(""'"" &amp; $B$16 &amp; ""'!"" &amp; $B49 &amp; "":"" &amp; $B49), INDIRECT(""'"" &amp; $B$16 &amp; ""'!"" &amp; $B$17 &amp; "":"" &amp; $B$17) = L$21, ISNUMBER(SEARCH($B$4, INDIRECT(""'"" &amp; $B$16 &amp; ""'!"" &amp; $B$12 &amp; "":"" &amp; $B$12)))))/$D$8"),"#N/A")</f>
        <v>#N/A</v>
      </c>
      <c r="M49" s="303" t="str">
        <f>IFERROR(__xludf.DUMMYFUNCTION("VAR.S(FILTER(INDIRECT(""'"" &amp; $B$16 &amp; ""'!"" &amp; $B49 &amp; "":"" &amp; $B49), INDIRECT(""'"" &amp; $B$16 &amp; ""'!"" &amp; $B$17 &amp; "":"" &amp; $B$17) = M$21, ISNUMBER(SEARCH($B$4, INDIRECT(""'"" &amp; $B$16 &amp; ""'!"" &amp; $B$12 &amp; "":"" &amp; $B$12)))))/$D$9"),"#N/A")</f>
        <v>#N/A</v>
      </c>
      <c r="N49" s="303" t="str">
        <f>IFERROR(__xludf.DUMMYFUNCTION("VAR.S(FILTER(INDIRECT(""'"" &amp; $B$16 &amp; ""'!"" &amp; $B49 &amp; "":"" &amp; $B49), INDIRECT(""'"" &amp; $B$16 &amp; ""'!"" &amp; $B$17 &amp; "":"" &amp; $B$17) = N$21, ISNUMBER(SEARCH($B$4, INDIRECT(""'"" &amp; $B$16 &amp; ""'!"" &amp; $B$12 &amp; "":"" &amp; $B$12)))))/$D$10"),"#N/A")</f>
        <v>#N/A</v>
      </c>
      <c r="O49" s="304" t="str">
        <f>IFERROR(__xludf.DUMMYFUNCTION("AVERAGE(FILTER(INDIRECT(""'"" &amp; $B$16 &amp; ""'!"" &amp; $B49 &amp; "":"" &amp; $B49), INDIRECT(""'"" &amp; $B$16 &amp; ""'!"" &amp; $B$17 &amp; "":"" &amp; $B$17) = J$21, ISNUMBER(SEARCH($B$4, INDIRECT(""'"" &amp; $B$16 &amp; ""'!"" &amp; $B$12 &amp; "":"" &amp; $B$12)))))"),"#N/A")</f>
        <v>#N/A</v>
      </c>
      <c r="P49" s="304" t="str">
        <f>IFERROR(__xludf.DUMMYFUNCTION("AVERAGE(FILTER(INDIRECT(""'"" &amp; $B$16 &amp; ""'!"" &amp; $B49 &amp; "":"" &amp; $B49), INDIRECT(""'"" &amp; $B$16 &amp; ""'!"" &amp; $B$17 &amp; "":"" &amp; $B$17) = K$21, ISNUMBER(SEARCH($B$4, INDIRECT(""'"" &amp; $B$16 &amp; ""'!"" &amp; $B$12 &amp; "":"" &amp; $B$12)))))"),"#N/A")</f>
        <v>#N/A</v>
      </c>
      <c r="Q49" s="304" t="str">
        <f>IFERROR(__xludf.DUMMYFUNCTION("AVERAGE(FILTER(INDIRECT(""'"" &amp; $B$16 &amp; ""'!"" &amp; $B49 &amp; "":"" &amp; $B49), INDIRECT(""'"" &amp; $B$16 &amp; ""'!"" &amp; $B$17 &amp; "":"" &amp; $B$17) = L$21, ISNUMBER(SEARCH($B$4, INDIRECT(""'"" &amp; $B$16 &amp; ""'!"" &amp; $B$12 &amp; "":"" &amp; $B$12)))))"),"#N/A")</f>
        <v>#N/A</v>
      </c>
      <c r="R49" s="304" t="str">
        <f>IFERROR(__xludf.DUMMYFUNCTION("AVERAGE(FILTER(INDIRECT(""'"" &amp; $B$16 &amp; ""'!"" &amp; $B49 &amp; "":"" &amp; $B49), INDIRECT(""'"" &amp; $B$16 &amp; ""'!"" &amp; $B$17 &amp; "":"" &amp; $B$17) = M$21, ISNUMBER(SEARCH($B$4, INDIRECT(""'"" &amp; $B$16 &amp; ""'!"" &amp; $B$12 &amp; "":"" &amp; $B$12)))))"),"#N/A")</f>
        <v>#N/A</v>
      </c>
      <c r="S49" s="304" t="str">
        <f>IFERROR(__xludf.DUMMYFUNCTION("AVERAGE(FILTER(INDIRECT(""'"" &amp; $B$16 &amp; ""'!"" &amp; $B49 &amp; "":"" &amp; $B49), INDIRECT(""'"" &amp; $B$16 &amp; ""'!"" &amp; $B$17 &amp; "":"" &amp; $B$17) = N$21, ISNUMBER(SEARCH($B$4, INDIRECT(""'"" &amp; $B$16 &amp; ""'!"" &amp; $B$12 &amp; "":"" &amp; $B$12)))))"),"#N/A")</f>
        <v>#N/A</v>
      </c>
      <c r="T49" s="305" t="str">
        <f t="shared" si="91"/>
        <v>#N/A</v>
      </c>
      <c r="U49" s="305" t="str">
        <f t="shared" si="92"/>
        <v>#N/A</v>
      </c>
      <c r="V49" s="305" t="str">
        <f t="shared" si="93"/>
        <v>#N/A</v>
      </c>
      <c r="W49" s="305" t="str">
        <f t="shared" si="94"/>
        <v>#N/A</v>
      </c>
      <c r="X49" s="305" t="str">
        <f t="shared" si="95"/>
        <v>#N/A</v>
      </c>
      <c r="Y49" s="305" t="str">
        <f t="shared" si="96"/>
        <v>#N/A</v>
      </c>
      <c r="Z49" s="305" t="str">
        <f t="shared" si="97"/>
        <v>#N/A</v>
      </c>
      <c r="AA49" s="305" t="str">
        <f t="shared" si="98"/>
        <v>#N/A</v>
      </c>
      <c r="AB49" s="305" t="str">
        <f t="shared" si="99"/>
        <v>#N/A</v>
      </c>
      <c r="AC49" s="305" t="str">
        <f t="shared" si="100"/>
        <v>#N/A</v>
      </c>
      <c r="AD49" s="304" t="str">
        <f t="shared" si="101"/>
        <v>#N/A</v>
      </c>
      <c r="AE49" s="304" t="str">
        <f t="shared" si="102"/>
        <v>#N/A</v>
      </c>
      <c r="AF49" s="304" t="str">
        <f t="shared" si="103"/>
        <v>#N/A</v>
      </c>
      <c r="AG49" s="304" t="str">
        <f t="shared" si="104"/>
        <v>#N/A</v>
      </c>
      <c r="AH49" s="304" t="str">
        <f t="shared" si="105"/>
        <v>#N/A</v>
      </c>
      <c r="AI49" s="305" t="str">
        <f t="shared" si="106"/>
        <v>#N/A</v>
      </c>
      <c r="AJ49" s="305" t="str">
        <f t="shared" si="107"/>
        <v>#N/A</v>
      </c>
      <c r="AK49" s="305" t="str">
        <f t="shared" si="108"/>
        <v>#N/A</v>
      </c>
      <c r="AL49" s="306" t="str">
        <f t="shared" si="109"/>
        <v>#N/A</v>
      </c>
      <c r="AM49" s="146" t="str">
        <f t="shared" si="110"/>
        <v>#N/A</v>
      </c>
    </row>
    <row r="50" ht="15.75" customHeight="1">
      <c r="A50" s="141" t="s">
        <v>426</v>
      </c>
      <c r="B50" s="90" t="str">
        <f t="shared" si="88"/>
        <v>$CO</v>
      </c>
      <c r="C50" s="288">
        <v>11.0</v>
      </c>
      <c r="D50" s="301">
        <f t="shared" ref="D50:H50" si="117">COUNTIFS(INDIRECT("'" &amp; $B$16 &amp; "'!" &amp; $B$17 &amp; ":" &amp; $B$17),D$21,INDIRECT("'" &amp; $B$16 &amp; "'!" &amp; $B50 &amp; ":" &amp; $B50),1,INDIRECT("'" &amp; $B$16 &amp; "'!" &amp; $B$12 &amp; ":" &amp; $B$12), "*" &amp; $B$4 &amp; "*")
</f>
        <v>0</v>
      </c>
      <c r="E50" s="301">
        <f t="shared" si="117"/>
        <v>0</v>
      </c>
      <c r="F50" s="301">
        <f t="shared" si="117"/>
        <v>0</v>
      </c>
      <c r="G50" s="301">
        <f t="shared" si="117"/>
        <v>0</v>
      </c>
      <c r="H50" s="301">
        <f t="shared" si="117"/>
        <v>0</v>
      </c>
      <c r="I50" s="301">
        <f t="shared" si="90"/>
        <v>0</v>
      </c>
      <c r="J50" s="302" t="str">
        <f>IFERROR(__xludf.DUMMYFUNCTION("VAR.S(FILTER(INDIRECT(""'"" &amp; $B$16 &amp; ""'!"" &amp; $B50 &amp; "":"" &amp; $B50), INDIRECT(""'"" &amp; $B$16 &amp; ""'!"" &amp; $B$17 &amp; "":"" &amp; $B$17) = J$21, ISNUMBER(SEARCH($B$4, INDIRECT(""'"" &amp; $B$16 &amp; ""'!"" &amp; $B$12 &amp; "":"" &amp; $B$12)))))/$D$6"),"#N/A")</f>
        <v>#N/A</v>
      </c>
      <c r="K50" s="302" t="str">
        <f>IFERROR(__xludf.DUMMYFUNCTION("VAR.S(FILTER(INDIRECT(""'"" &amp; $B$16 &amp; ""'!"" &amp; $B50 &amp; "":"" &amp; $B50), INDIRECT(""'"" &amp; $B$16 &amp; ""'!"" &amp; $B$17 &amp; "":"" &amp; $B$17) = K$21, ISNUMBER(SEARCH($B$4, INDIRECT(""'"" &amp; $B$16 &amp; ""'!"" &amp; $B$12 &amp; "":"" &amp; $B$12)))))/$D$7"),"#N/A")</f>
        <v>#N/A</v>
      </c>
      <c r="L50" s="302" t="str">
        <f>IFERROR(__xludf.DUMMYFUNCTION("VAR.S(FILTER(INDIRECT(""'"" &amp; $B$16 &amp; ""'!"" &amp; $B50 &amp; "":"" &amp; $B50), INDIRECT(""'"" &amp; $B$16 &amp; ""'!"" &amp; $B$17 &amp; "":"" &amp; $B$17) = L$21, ISNUMBER(SEARCH($B$4, INDIRECT(""'"" &amp; $B$16 &amp; ""'!"" &amp; $B$12 &amp; "":"" &amp; $B$12)))))/$D$8"),"#N/A")</f>
        <v>#N/A</v>
      </c>
      <c r="M50" s="303" t="str">
        <f>IFERROR(__xludf.DUMMYFUNCTION("VAR.S(FILTER(INDIRECT(""'"" &amp; $B$16 &amp; ""'!"" &amp; $B50 &amp; "":"" &amp; $B50), INDIRECT(""'"" &amp; $B$16 &amp; ""'!"" &amp; $B$17 &amp; "":"" &amp; $B$17) = M$21, ISNUMBER(SEARCH($B$4, INDIRECT(""'"" &amp; $B$16 &amp; ""'!"" &amp; $B$12 &amp; "":"" &amp; $B$12)))))/$D$9"),"#N/A")</f>
        <v>#N/A</v>
      </c>
      <c r="N50" s="303" t="str">
        <f>IFERROR(__xludf.DUMMYFUNCTION("VAR.S(FILTER(INDIRECT(""'"" &amp; $B$16 &amp; ""'!"" &amp; $B50 &amp; "":"" &amp; $B50), INDIRECT(""'"" &amp; $B$16 &amp; ""'!"" &amp; $B$17 &amp; "":"" &amp; $B$17) = N$21, ISNUMBER(SEARCH($B$4, INDIRECT(""'"" &amp; $B$16 &amp; ""'!"" &amp; $B$12 &amp; "":"" &amp; $B$12)))))/$D$10"),"#N/A")</f>
        <v>#N/A</v>
      </c>
      <c r="O50" s="304" t="str">
        <f>IFERROR(__xludf.DUMMYFUNCTION("AVERAGE(FILTER(INDIRECT(""'"" &amp; $B$16 &amp; ""'!"" &amp; $B50 &amp; "":"" &amp; $B50), INDIRECT(""'"" &amp; $B$16 &amp; ""'!"" &amp; $B$17 &amp; "":"" &amp; $B$17) = J$21, ISNUMBER(SEARCH($B$4, INDIRECT(""'"" &amp; $B$16 &amp; ""'!"" &amp; $B$12 &amp; "":"" &amp; $B$12)))))"),"#N/A")</f>
        <v>#N/A</v>
      </c>
      <c r="P50" s="304" t="str">
        <f>IFERROR(__xludf.DUMMYFUNCTION("AVERAGE(FILTER(INDIRECT(""'"" &amp; $B$16 &amp; ""'!"" &amp; $B50 &amp; "":"" &amp; $B50), INDIRECT(""'"" &amp; $B$16 &amp; ""'!"" &amp; $B$17 &amp; "":"" &amp; $B$17) = K$21, ISNUMBER(SEARCH($B$4, INDIRECT(""'"" &amp; $B$16 &amp; ""'!"" &amp; $B$12 &amp; "":"" &amp; $B$12)))))"),"#N/A")</f>
        <v>#N/A</v>
      </c>
      <c r="Q50" s="304" t="str">
        <f>IFERROR(__xludf.DUMMYFUNCTION("AVERAGE(FILTER(INDIRECT(""'"" &amp; $B$16 &amp; ""'!"" &amp; $B50 &amp; "":"" &amp; $B50), INDIRECT(""'"" &amp; $B$16 &amp; ""'!"" &amp; $B$17 &amp; "":"" &amp; $B$17) = L$21, ISNUMBER(SEARCH($B$4, INDIRECT(""'"" &amp; $B$16 &amp; ""'!"" &amp; $B$12 &amp; "":"" &amp; $B$12)))))"),"#N/A")</f>
        <v>#N/A</v>
      </c>
      <c r="R50" s="304" t="str">
        <f>IFERROR(__xludf.DUMMYFUNCTION("AVERAGE(FILTER(INDIRECT(""'"" &amp; $B$16 &amp; ""'!"" &amp; $B50 &amp; "":"" &amp; $B50), INDIRECT(""'"" &amp; $B$16 &amp; ""'!"" &amp; $B$17 &amp; "":"" &amp; $B$17) = M$21, ISNUMBER(SEARCH($B$4, INDIRECT(""'"" &amp; $B$16 &amp; ""'!"" &amp; $B$12 &amp; "":"" &amp; $B$12)))))"),"#N/A")</f>
        <v>#N/A</v>
      </c>
      <c r="S50" s="304" t="str">
        <f>IFERROR(__xludf.DUMMYFUNCTION("AVERAGE(FILTER(INDIRECT(""'"" &amp; $B$16 &amp; ""'!"" &amp; $B50 &amp; "":"" &amp; $B50), INDIRECT(""'"" &amp; $B$16 &amp; ""'!"" &amp; $B$17 &amp; "":"" &amp; $B$17) = N$21, ISNUMBER(SEARCH($B$4, INDIRECT(""'"" &amp; $B$16 &amp; ""'!"" &amp; $B$12 &amp; "":"" &amp; $B$12)))))"),"#N/A")</f>
        <v>#N/A</v>
      </c>
      <c r="T50" s="305" t="str">
        <f t="shared" si="91"/>
        <v>#N/A</v>
      </c>
      <c r="U50" s="305" t="str">
        <f t="shared" si="92"/>
        <v>#N/A</v>
      </c>
      <c r="V50" s="305" t="str">
        <f t="shared" si="93"/>
        <v>#N/A</v>
      </c>
      <c r="W50" s="305" t="str">
        <f t="shared" si="94"/>
        <v>#N/A</v>
      </c>
      <c r="X50" s="305" t="str">
        <f t="shared" si="95"/>
        <v>#N/A</v>
      </c>
      <c r="Y50" s="305" t="str">
        <f t="shared" si="96"/>
        <v>#N/A</v>
      </c>
      <c r="Z50" s="305" t="str">
        <f t="shared" si="97"/>
        <v>#N/A</v>
      </c>
      <c r="AA50" s="305" t="str">
        <f t="shared" si="98"/>
        <v>#N/A</v>
      </c>
      <c r="AB50" s="305" t="str">
        <f t="shared" si="99"/>
        <v>#N/A</v>
      </c>
      <c r="AC50" s="305" t="str">
        <f t="shared" si="100"/>
        <v>#N/A</v>
      </c>
      <c r="AD50" s="304" t="str">
        <f t="shared" si="101"/>
        <v>#N/A</v>
      </c>
      <c r="AE50" s="304" t="str">
        <f t="shared" si="102"/>
        <v>#N/A</v>
      </c>
      <c r="AF50" s="304" t="str">
        <f t="shared" si="103"/>
        <v>#N/A</v>
      </c>
      <c r="AG50" s="304" t="str">
        <f t="shared" si="104"/>
        <v>#N/A</v>
      </c>
      <c r="AH50" s="304" t="str">
        <f t="shared" si="105"/>
        <v>#N/A</v>
      </c>
      <c r="AI50" s="305" t="str">
        <f t="shared" si="106"/>
        <v>#N/A</v>
      </c>
      <c r="AJ50" s="305" t="str">
        <f t="shared" si="107"/>
        <v>#N/A</v>
      </c>
      <c r="AK50" s="305" t="str">
        <f t="shared" si="108"/>
        <v>#N/A</v>
      </c>
      <c r="AL50" s="306" t="str">
        <f t="shared" si="109"/>
        <v>#N/A</v>
      </c>
      <c r="AM50" s="146" t="str">
        <f t="shared" si="110"/>
        <v>#N/A</v>
      </c>
    </row>
    <row r="51" ht="15.75" customHeight="1">
      <c r="A51" s="89" t="s">
        <v>299</v>
      </c>
      <c r="B51" s="230" t="s">
        <v>299</v>
      </c>
      <c r="C51" s="85"/>
      <c r="D51" s="112"/>
      <c r="E51" s="112"/>
      <c r="F51" s="112"/>
      <c r="G51" s="112"/>
      <c r="H51" s="112"/>
      <c r="I51" s="293"/>
      <c r="J51" s="308"/>
      <c r="K51" s="308"/>
      <c r="L51" s="308"/>
      <c r="M51" s="112"/>
      <c r="N51" s="112"/>
      <c r="O51" s="292"/>
      <c r="P51" s="292"/>
      <c r="Q51" s="292"/>
      <c r="R51" s="292"/>
      <c r="S51" s="29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292"/>
      <c r="AE51" s="292"/>
      <c r="AF51" s="292"/>
      <c r="AG51" s="292"/>
      <c r="AH51" s="292"/>
      <c r="AI51" s="112"/>
      <c r="AJ51" s="112"/>
      <c r="AK51" s="112"/>
      <c r="AL51" s="112"/>
      <c r="AM51" s="293" t="str">
        <f>SUM(AM42:AM50)</f>
        <v>#N/A</v>
      </c>
    </row>
    <row r="52" ht="15.75" customHeight="1">
      <c r="A52" s="309" t="s">
        <v>328</v>
      </c>
      <c r="B52" s="90" t="str">
        <f t="shared" ref="B52:B58" si="119">IFERROR("$" &amp; SUBSTITUTE(ADDRESS(1, MATCH(A52, INDIRECT("'" &amp; $B$16 &amp; "'!1:1"), 0), 4), "1", ""), "Not Found")
</f>
        <v>$BH</v>
      </c>
      <c r="C52" s="309">
        <v>12.0</v>
      </c>
      <c r="D52" s="310">
        <f t="shared" ref="D52:H52" si="118">COUNTIFS(INDIRECT("'" &amp; $B$16 &amp; "'!" &amp; $B$17 &amp; ":" &amp; $B$17),D$21,INDIRECT("'" &amp; $B$16 &amp; "'!" &amp; $B52 &amp; ":" &amp; $B52),1,INDIRECT("'" &amp; $B$16 &amp; "'!" &amp; $B$12 &amp; ":" &amp; $B$12), "*" &amp; $B$4 &amp; "*")
</f>
        <v>0</v>
      </c>
      <c r="E52" s="310">
        <f t="shared" si="118"/>
        <v>0</v>
      </c>
      <c r="F52" s="310">
        <f t="shared" si="118"/>
        <v>0</v>
      </c>
      <c r="G52" s="310">
        <f t="shared" si="118"/>
        <v>0</v>
      </c>
      <c r="H52" s="310">
        <f t="shared" si="118"/>
        <v>0</v>
      </c>
      <c r="I52" s="310">
        <f t="shared" ref="I52:I58" si="121">SUM(D52:H52)</f>
        <v>0</v>
      </c>
      <c r="J52" s="311" t="str">
        <f>IFERROR(__xludf.DUMMYFUNCTION("VAR.S(FILTER(INDIRECT(""'"" &amp; $B$16 &amp; ""'!"" &amp; $B52 &amp; "":"" &amp; $B52), INDIRECT(""'"" &amp; $B$16 &amp; ""'!"" &amp; $B$17 &amp; "":"" &amp; $B$17) = J$21, ISNUMBER(SEARCH($B$4, INDIRECT(""'"" &amp; $B$16 &amp; ""'!"" &amp; $B$12 &amp; "":"" &amp; $B$12)))))/$D$6"),"#N/A")</f>
        <v>#N/A</v>
      </c>
      <c r="K52" s="311" t="str">
        <f>IFERROR(__xludf.DUMMYFUNCTION("VAR.S(FILTER(INDIRECT(""'"" &amp; $B$16 &amp; ""'!"" &amp; $B52 &amp; "":"" &amp; $B52), INDIRECT(""'"" &amp; $B$16 &amp; ""'!"" &amp; $B$17 &amp; "":"" &amp; $B$17) = K$21, ISNUMBER(SEARCH($B$4, INDIRECT(""'"" &amp; $B$16 &amp; ""'!"" &amp; $B$12 &amp; "":"" &amp; $B$12)))))/$D$7"),"#N/A")</f>
        <v>#N/A</v>
      </c>
      <c r="L52" s="311" t="str">
        <f>IFERROR(__xludf.DUMMYFUNCTION("VAR.S(FILTER(INDIRECT(""'"" &amp; $B$16 &amp; ""'!"" &amp; $B52 &amp; "":"" &amp; $B52), INDIRECT(""'"" &amp; $B$16 &amp; ""'!"" &amp; $B$17 &amp; "":"" &amp; $B$17) = L$21, ISNUMBER(SEARCH($B$4, INDIRECT(""'"" &amp; $B$16 &amp; ""'!"" &amp; $B$12 &amp; "":"" &amp; $B$12)))))/$D$8"),"#N/A")</f>
        <v>#N/A</v>
      </c>
      <c r="M52" s="311" t="str">
        <f>IFERROR(__xludf.DUMMYFUNCTION("VAR.S(FILTER(INDIRECT(""'"" &amp; $B$16 &amp; ""'!"" &amp; $B52 &amp; "":"" &amp; $B52), INDIRECT(""'"" &amp; $B$16 &amp; ""'!"" &amp; $B$17 &amp; "":"" &amp; $B$17) = M$21, ISNUMBER(SEARCH($B$4, INDIRECT(""'"" &amp; $B$16 &amp; ""'!"" &amp; $B$12 &amp; "":"" &amp; $B$12)))))/$D$9"),"#N/A")</f>
        <v>#N/A</v>
      </c>
      <c r="N52" s="311" t="str">
        <f>IFERROR(__xludf.DUMMYFUNCTION("VAR.S(FILTER(INDIRECT(""'"" &amp; $B$16 &amp; ""'!"" &amp; $B52 &amp; "":"" &amp; $B52), INDIRECT(""'"" &amp; $B$16 &amp; ""'!"" &amp; $B$17 &amp; "":"" &amp; $B$17) = N$21, ISNUMBER(SEARCH($B$4, INDIRECT(""'"" &amp; $B$16 &amp; ""'!"" &amp; $B$12 &amp; "":"" &amp; $B$12)))))/$D$10"),"#N/A")</f>
        <v>#N/A</v>
      </c>
      <c r="O52" s="312" t="str">
        <f>IFERROR(__xludf.DUMMYFUNCTION("AVERAGE(FILTER(INDIRECT(""'"" &amp; $B$16 &amp; ""'!"" &amp; $B52 &amp; "":"" &amp; $B52), INDIRECT(""'"" &amp; $B$16 &amp; ""'!"" &amp; $B$17 &amp; "":"" &amp; $B$17) = J$21, ISNUMBER(SEARCH($B$4, INDIRECT(""'"" &amp; $B$16 &amp; ""'!"" &amp; $B$12 &amp; "":"" &amp; $B$12)))))"),"#N/A")</f>
        <v>#N/A</v>
      </c>
      <c r="P52" s="312" t="str">
        <f>IFERROR(__xludf.DUMMYFUNCTION("AVERAGE(FILTER(INDIRECT(""'"" &amp; $B$16 &amp; ""'!"" &amp; $B52 &amp; "":"" &amp; $B52), INDIRECT(""'"" &amp; $B$16 &amp; ""'!"" &amp; $B$17 &amp; "":"" &amp; $B$17) = K$21, ISNUMBER(SEARCH($B$4, INDIRECT(""'"" &amp; $B$16 &amp; ""'!"" &amp; $B$12 &amp; "":"" &amp; $B$12)))))"),"#N/A")</f>
        <v>#N/A</v>
      </c>
      <c r="Q52" s="312" t="str">
        <f>IFERROR(__xludf.DUMMYFUNCTION("AVERAGE(FILTER(INDIRECT(""'"" &amp; $B$16 &amp; ""'!"" &amp; $B52 &amp; "":"" &amp; $B52), INDIRECT(""'"" &amp; $B$16 &amp; ""'!"" &amp; $B$17 &amp; "":"" &amp; $B$17) = L$21, ISNUMBER(SEARCH($B$4, INDIRECT(""'"" &amp; $B$16 &amp; ""'!"" &amp; $B$12 &amp; "":"" &amp; $B$12)))))"),"#N/A")</f>
        <v>#N/A</v>
      </c>
      <c r="R52" s="312" t="str">
        <f>IFERROR(__xludf.DUMMYFUNCTION("AVERAGE(FILTER(INDIRECT(""'"" &amp; $B$16 &amp; ""'!"" &amp; $B52 &amp; "":"" &amp; $B52), INDIRECT(""'"" &amp; $B$16 &amp; ""'!"" &amp; $B$17 &amp; "":"" &amp; $B$17) = M$21, ISNUMBER(SEARCH($B$4, INDIRECT(""'"" &amp; $B$16 &amp; ""'!"" &amp; $B$12 &amp; "":"" &amp; $B$12)))))"),"#N/A")</f>
        <v>#N/A</v>
      </c>
      <c r="S52" s="312" t="str">
        <f>IFERROR(__xludf.DUMMYFUNCTION("AVERAGE(FILTER(INDIRECT(""'"" &amp; $B$16 &amp; ""'!"" &amp; $B52 &amp; "":"" &amp; $B52), INDIRECT(""'"" &amp; $B$16 &amp; ""'!"" &amp; $B$17 &amp; "":"" &amp; $B$17) = N$21, ISNUMBER(SEARCH($B$4, INDIRECT(""'"" &amp; $B$16 &amp; ""'!"" &amp; $B$12 &amp; "":"" &amp; $B$12)))))"),"#N/A")</f>
        <v>#N/A</v>
      </c>
      <c r="T52" s="310" t="str">
        <f t="shared" ref="T52:T58" si="122">($B$6^2*J52)^0.5</f>
        <v>#N/A</v>
      </c>
      <c r="U52" s="310" t="str">
        <f t="shared" ref="U52:U58" si="123">($B$7^2*K52)^0.5</f>
        <v>#N/A</v>
      </c>
      <c r="V52" s="310" t="str">
        <f t="shared" ref="V52:V58" si="124">($B$8^2*L52)^0.5</f>
        <v>#N/A</v>
      </c>
      <c r="W52" s="310" t="str">
        <f t="shared" ref="W52:W58" si="125">($B$9^2*M52)^0.5</f>
        <v>#N/A</v>
      </c>
      <c r="X52" s="310" t="str">
        <f t="shared" ref="X52:X58" si="126">($B$10^2*N52)^0.5</f>
        <v>#N/A</v>
      </c>
      <c r="Y52" s="310" t="str">
        <f t="shared" ref="Y52:Y58" si="127">O52*$B$6</f>
        <v>#N/A</v>
      </c>
      <c r="Z52" s="310" t="str">
        <f t="shared" ref="Z52:Z58" si="128">P52*$B$7</f>
        <v>#N/A</v>
      </c>
      <c r="AA52" s="310" t="str">
        <f t="shared" ref="AA52:AA58" si="129">Q52*$B$8</f>
        <v>#N/A</v>
      </c>
      <c r="AB52" s="310" t="str">
        <f t="shared" ref="AB52:AB58" si="130">R52*$B$9</f>
        <v>#N/A</v>
      </c>
      <c r="AC52" s="310" t="str">
        <f t="shared" ref="AC52:AC58" si="131">S52*$B$10</f>
        <v>#N/A</v>
      </c>
      <c r="AD52" s="312" t="str">
        <f t="shared" ref="AD52:AD58" si="132">O52*$C$6</f>
        <v>#N/A</v>
      </c>
      <c r="AE52" s="312" t="str">
        <f t="shared" ref="AE52:AE58" si="133">P52*$C$7</f>
        <v>#N/A</v>
      </c>
      <c r="AF52" s="312" t="str">
        <f t="shared" ref="AF52:AF58" si="134">Q52*$C$8</f>
        <v>#N/A</v>
      </c>
      <c r="AG52" s="312" t="str">
        <f t="shared" ref="AG52:AG58" si="135">R52*$C$9</f>
        <v>#N/A</v>
      </c>
      <c r="AH52" s="312" t="str">
        <f t="shared" ref="AH52:AH58" si="136">S52*$C$10</f>
        <v>#N/A</v>
      </c>
      <c r="AI52" s="310" t="str">
        <f t="shared" ref="AI52:AI58" si="137">(T52*T52+U52*U52+V52*V52+W52*W52+X52*X52)^0.5</f>
        <v>#N/A</v>
      </c>
      <c r="AJ52" s="310" t="str">
        <f t="shared" ref="AJ52:AJ58" si="138">AI52*$B$14</f>
        <v>#N/A</v>
      </c>
      <c r="AK52" s="310" t="str">
        <f t="shared" ref="AK52:AK58" si="139">SUM(Y52:AC52)</f>
        <v>#N/A</v>
      </c>
      <c r="AL52" s="313" t="str">
        <f t="shared" ref="AL52:AL58" si="140">IF(AJ52=0,0,AJ52/AK52)</f>
        <v>#N/A</v>
      </c>
      <c r="AM52" s="153" t="str">
        <f t="shared" ref="AM52:AM58" si="141">AK52/$B$2</f>
        <v>#N/A</v>
      </c>
    </row>
    <row r="53" ht="15.75" customHeight="1">
      <c r="A53" s="309" t="s">
        <v>331</v>
      </c>
      <c r="B53" s="90" t="str">
        <f t="shared" si="119"/>
        <v>$BI</v>
      </c>
      <c r="C53" s="309">
        <v>13.0</v>
      </c>
      <c r="D53" s="310">
        <f t="shared" ref="D53:H53" si="120">COUNTIFS(INDIRECT("'" &amp; $B$16 &amp; "'!" &amp; $B$17 &amp; ":" &amp; $B$17),D$21,INDIRECT("'" &amp; $B$16 &amp; "'!" &amp; $B53 &amp; ":" &amp; $B53),1,INDIRECT("'" &amp; $B$16 &amp; "'!" &amp; $B$12 &amp; ":" &amp; $B$12), "*" &amp; $B$4 &amp; "*")
</f>
        <v>0</v>
      </c>
      <c r="E53" s="310">
        <f t="shared" si="120"/>
        <v>0</v>
      </c>
      <c r="F53" s="310">
        <f t="shared" si="120"/>
        <v>0</v>
      </c>
      <c r="G53" s="310">
        <f t="shared" si="120"/>
        <v>0</v>
      </c>
      <c r="H53" s="310">
        <f t="shared" si="120"/>
        <v>0</v>
      </c>
      <c r="I53" s="310">
        <f t="shared" si="121"/>
        <v>0</v>
      </c>
      <c r="J53" s="311" t="str">
        <f>IFERROR(__xludf.DUMMYFUNCTION("VAR.S(FILTER(INDIRECT(""'"" &amp; $B$16 &amp; ""'!"" &amp; $B53 &amp; "":"" &amp; $B53), INDIRECT(""'"" &amp; $B$16 &amp; ""'!"" &amp; $B$17 &amp; "":"" &amp; $B$17) = J$21, ISNUMBER(SEARCH($B$4, INDIRECT(""'"" &amp; $B$16 &amp; ""'!"" &amp; $B$12 &amp; "":"" &amp; $B$12)))))/$D$6"),"#N/A")</f>
        <v>#N/A</v>
      </c>
      <c r="K53" s="311" t="str">
        <f>IFERROR(__xludf.DUMMYFUNCTION("VAR.S(FILTER(INDIRECT(""'"" &amp; $B$16 &amp; ""'!"" &amp; $B53 &amp; "":"" &amp; $B53), INDIRECT(""'"" &amp; $B$16 &amp; ""'!"" &amp; $B$17 &amp; "":"" &amp; $B$17) = K$21, ISNUMBER(SEARCH($B$4, INDIRECT(""'"" &amp; $B$16 &amp; ""'!"" &amp; $B$12 &amp; "":"" &amp; $B$12)))))/$D$7"),"#N/A")</f>
        <v>#N/A</v>
      </c>
      <c r="L53" s="311" t="str">
        <f>IFERROR(__xludf.DUMMYFUNCTION("VAR.S(FILTER(INDIRECT(""'"" &amp; $B$16 &amp; ""'!"" &amp; $B53 &amp; "":"" &amp; $B53), INDIRECT(""'"" &amp; $B$16 &amp; ""'!"" &amp; $B$17 &amp; "":"" &amp; $B$17) = L$21, ISNUMBER(SEARCH($B$4, INDIRECT(""'"" &amp; $B$16 &amp; ""'!"" &amp; $B$12 &amp; "":"" &amp; $B$12)))))/$D$8"),"#N/A")</f>
        <v>#N/A</v>
      </c>
      <c r="M53" s="311" t="str">
        <f>IFERROR(__xludf.DUMMYFUNCTION("VAR.S(FILTER(INDIRECT(""'"" &amp; $B$16 &amp; ""'!"" &amp; $B53 &amp; "":"" &amp; $B53), INDIRECT(""'"" &amp; $B$16 &amp; ""'!"" &amp; $B$17 &amp; "":"" &amp; $B$17) = M$21, ISNUMBER(SEARCH($B$4, INDIRECT(""'"" &amp; $B$16 &amp; ""'!"" &amp; $B$12 &amp; "":"" &amp; $B$12)))))/$D$9"),"#N/A")</f>
        <v>#N/A</v>
      </c>
      <c r="N53" s="311" t="str">
        <f>IFERROR(__xludf.DUMMYFUNCTION("VAR.S(FILTER(INDIRECT(""'"" &amp; $B$16 &amp; ""'!"" &amp; $B53 &amp; "":"" &amp; $B53), INDIRECT(""'"" &amp; $B$16 &amp; ""'!"" &amp; $B$17 &amp; "":"" &amp; $B$17) = N$21, ISNUMBER(SEARCH($B$4, INDIRECT(""'"" &amp; $B$16 &amp; ""'!"" &amp; $B$12 &amp; "":"" &amp; $B$12)))))/$D$10"),"#N/A")</f>
        <v>#N/A</v>
      </c>
      <c r="O53" s="312" t="str">
        <f>IFERROR(__xludf.DUMMYFUNCTION("AVERAGE(FILTER(INDIRECT(""'"" &amp; $B$16 &amp; ""'!"" &amp; $B53 &amp; "":"" &amp; $B53), INDIRECT(""'"" &amp; $B$16 &amp; ""'!"" &amp; $B$17 &amp; "":"" &amp; $B$17) = J$21, ISNUMBER(SEARCH($B$4, INDIRECT(""'"" &amp; $B$16 &amp; ""'!"" &amp; $B$12 &amp; "":"" &amp; $B$12)))))"),"#N/A")</f>
        <v>#N/A</v>
      </c>
      <c r="P53" s="312" t="str">
        <f>IFERROR(__xludf.DUMMYFUNCTION("AVERAGE(FILTER(INDIRECT(""'"" &amp; $B$16 &amp; ""'!"" &amp; $B53 &amp; "":"" &amp; $B53), INDIRECT(""'"" &amp; $B$16 &amp; ""'!"" &amp; $B$17 &amp; "":"" &amp; $B$17) = K$21, ISNUMBER(SEARCH($B$4, INDIRECT(""'"" &amp; $B$16 &amp; ""'!"" &amp; $B$12 &amp; "":"" &amp; $B$12)))))"),"#N/A")</f>
        <v>#N/A</v>
      </c>
      <c r="Q53" s="312" t="str">
        <f>IFERROR(__xludf.DUMMYFUNCTION("AVERAGE(FILTER(INDIRECT(""'"" &amp; $B$16 &amp; ""'!"" &amp; $B53 &amp; "":"" &amp; $B53), INDIRECT(""'"" &amp; $B$16 &amp; ""'!"" &amp; $B$17 &amp; "":"" &amp; $B$17) = L$21, ISNUMBER(SEARCH($B$4, INDIRECT(""'"" &amp; $B$16 &amp; ""'!"" &amp; $B$12 &amp; "":"" &amp; $B$12)))))"),"#N/A")</f>
        <v>#N/A</v>
      </c>
      <c r="R53" s="312" t="str">
        <f>IFERROR(__xludf.DUMMYFUNCTION("AVERAGE(FILTER(INDIRECT(""'"" &amp; $B$16 &amp; ""'!"" &amp; $B53 &amp; "":"" &amp; $B53), INDIRECT(""'"" &amp; $B$16 &amp; ""'!"" &amp; $B$17 &amp; "":"" &amp; $B$17) = M$21, ISNUMBER(SEARCH($B$4, INDIRECT(""'"" &amp; $B$16 &amp; ""'!"" &amp; $B$12 &amp; "":"" &amp; $B$12)))))"),"#N/A")</f>
        <v>#N/A</v>
      </c>
      <c r="S53" s="312" t="str">
        <f>IFERROR(__xludf.DUMMYFUNCTION("AVERAGE(FILTER(INDIRECT(""'"" &amp; $B$16 &amp; ""'!"" &amp; $B53 &amp; "":"" &amp; $B53), INDIRECT(""'"" &amp; $B$16 &amp; ""'!"" &amp; $B$17 &amp; "":"" &amp; $B$17) = N$21, ISNUMBER(SEARCH($B$4, INDIRECT(""'"" &amp; $B$16 &amp; ""'!"" &amp; $B$12 &amp; "":"" &amp; $B$12)))))"),"#N/A")</f>
        <v>#N/A</v>
      </c>
      <c r="T53" s="310" t="str">
        <f t="shared" si="122"/>
        <v>#N/A</v>
      </c>
      <c r="U53" s="310" t="str">
        <f t="shared" si="123"/>
        <v>#N/A</v>
      </c>
      <c r="V53" s="310" t="str">
        <f t="shared" si="124"/>
        <v>#N/A</v>
      </c>
      <c r="W53" s="310" t="str">
        <f t="shared" si="125"/>
        <v>#N/A</v>
      </c>
      <c r="X53" s="310" t="str">
        <f t="shared" si="126"/>
        <v>#N/A</v>
      </c>
      <c r="Y53" s="310" t="str">
        <f t="shared" si="127"/>
        <v>#N/A</v>
      </c>
      <c r="Z53" s="310" t="str">
        <f t="shared" si="128"/>
        <v>#N/A</v>
      </c>
      <c r="AA53" s="310" t="str">
        <f t="shared" si="129"/>
        <v>#N/A</v>
      </c>
      <c r="AB53" s="310" t="str">
        <f t="shared" si="130"/>
        <v>#N/A</v>
      </c>
      <c r="AC53" s="310" t="str">
        <f t="shared" si="131"/>
        <v>#N/A</v>
      </c>
      <c r="AD53" s="312" t="str">
        <f t="shared" si="132"/>
        <v>#N/A</v>
      </c>
      <c r="AE53" s="312" t="str">
        <f t="shared" si="133"/>
        <v>#N/A</v>
      </c>
      <c r="AF53" s="312" t="str">
        <f t="shared" si="134"/>
        <v>#N/A</v>
      </c>
      <c r="AG53" s="312" t="str">
        <f t="shared" si="135"/>
        <v>#N/A</v>
      </c>
      <c r="AH53" s="312" t="str">
        <f t="shared" si="136"/>
        <v>#N/A</v>
      </c>
      <c r="AI53" s="310" t="str">
        <f t="shared" si="137"/>
        <v>#N/A</v>
      </c>
      <c r="AJ53" s="310" t="str">
        <f t="shared" si="138"/>
        <v>#N/A</v>
      </c>
      <c r="AK53" s="310" t="str">
        <f t="shared" si="139"/>
        <v>#N/A</v>
      </c>
      <c r="AL53" s="313" t="str">
        <f t="shared" si="140"/>
        <v>#N/A</v>
      </c>
      <c r="AM53" s="153" t="str">
        <f t="shared" si="141"/>
        <v>#N/A</v>
      </c>
    </row>
    <row r="54" ht="15.75" customHeight="1">
      <c r="A54" s="309" t="s">
        <v>334</v>
      </c>
      <c r="B54" s="90" t="str">
        <f t="shared" si="119"/>
        <v>$BJ</v>
      </c>
      <c r="C54" s="309">
        <v>14.0</v>
      </c>
      <c r="D54" s="310">
        <f t="shared" ref="D54:H54" si="142">COUNTIFS(INDIRECT("'" &amp; $B$16 &amp; "'!" &amp; $B$17 &amp; ":" &amp; $B$17),D$21,INDIRECT("'" &amp; $B$16 &amp; "'!" &amp; $B54 &amp; ":" &amp; $B54),1,INDIRECT("'" &amp; $B$16 &amp; "'!" &amp; $B$12 &amp; ":" &amp; $B$12), "*" &amp; $B$4 &amp; "*")
</f>
        <v>0</v>
      </c>
      <c r="E54" s="310">
        <f t="shared" si="142"/>
        <v>0</v>
      </c>
      <c r="F54" s="310">
        <f t="shared" si="142"/>
        <v>0</v>
      </c>
      <c r="G54" s="310">
        <f t="shared" si="142"/>
        <v>0</v>
      </c>
      <c r="H54" s="310">
        <f t="shared" si="142"/>
        <v>0</v>
      </c>
      <c r="I54" s="310">
        <f t="shared" si="121"/>
        <v>0</v>
      </c>
      <c r="J54" s="311" t="str">
        <f>IFERROR(__xludf.DUMMYFUNCTION("VAR.S(FILTER(INDIRECT(""'"" &amp; $B$16 &amp; ""'!"" &amp; $B54 &amp; "":"" &amp; $B54), INDIRECT(""'"" &amp; $B$16 &amp; ""'!"" &amp; $B$17 &amp; "":"" &amp; $B$17) = J$21, ISNUMBER(SEARCH($B$4, INDIRECT(""'"" &amp; $B$16 &amp; ""'!"" &amp; $B$12 &amp; "":"" &amp; $B$12)))))/$D$6"),"#N/A")</f>
        <v>#N/A</v>
      </c>
      <c r="K54" s="311" t="str">
        <f>IFERROR(__xludf.DUMMYFUNCTION("VAR.S(FILTER(INDIRECT(""'"" &amp; $B$16 &amp; ""'!"" &amp; $B54 &amp; "":"" &amp; $B54), INDIRECT(""'"" &amp; $B$16 &amp; ""'!"" &amp; $B$17 &amp; "":"" &amp; $B$17) = K$21, ISNUMBER(SEARCH($B$4, INDIRECT(""'"" &amp; $B$16 &amp; ""'!"" &amp; $B$12 &amp; "":"" &amp; $B$12)))))/$D$7"),"#N/A")</f>
        <v>#N/A</v>
      </c>
      <c r="L54" s="311" t="str">
        <f>IFERROR(__xludf.DUMMYFUNCTION("VAR.S(FILTER(INDIRECT(""'"" &amp; $B$16 &amp; ""'!"" &amp; $B54 &amp; "":"" &amp; $B54), INDIRECT(""'"" &amp; $B$16 &amp; ""'!"" &amp; $B$17 &amp; "":"" &amp; $B$17) = L$21, ISNUMBER(SEARCH($B$4, INDIRECT(""'"" &amp; $B$16 &amp; ""'!"" &amp; $B$12 &amp; "":"" &amp; $B$12)))))/$D$8"),"#N/A")</f>
        <v>#N/A</v>
      </c>
      <c r="M54" s="311" t="str">
        <f>IFERROR(__xludf.DUMMYFUNCTION("VAR.S(FILTER(INDIRECT(""'"" &amp; $B$16 &amp; ""'!"" &amp; $B54 &amp; "":"" &amp; $B54), INDIRECT(""'"" &amp; $B$16 &amp; ""'!"" &amp; $B$17 &amp; "":"" &amp; $B$17) = M$21, ISNUMBER(SEARCH($B$4, INDIRECT(""'"" &amp; $B$16 &amp; ""'!"" &amp; $B$12 &amp; "":"" &amp; $B$12)))))/$D$9"),"#N/A")</f>
        <v>#N/A</v>
      </c>
      <c r="N54" s="311" t="str">
        <f>IFERROR(__xludf.DUMMYFUNCTION("VAR.S(FILTER(INDIRECT(""'"" &amp; $B$16 &amp; ""'!"" &amp; $B54 &amp; "":"" &amp; $B54), INDIRECT(""'"" &amp; $B$16 &amp; ""'!"" &amp; $B$17 &amp; "":"" &amp; $B$17) = N$21, ISNUMBER(SEARCH($B$4, INDIRECT(""'"" &amp; $B$16 &amp; ""'!"" &amp; $B$12 &amp; "":"" &amp; $B$12)))))/$D$10"),"#N/A")</f>
        <v>#N/A</v>
      </c>
      <c r="O54" s="312" t="str">
        <f>IFERROR(__xludf.DUMMYFUNCTION("AVERAGE(FILTER(INDIRECT(""'"" &amp; $B$16 &amp; ""'!"" &amp; $B54 &amp; "":"" &amp; $B54), INDIRECT(""'"" &amp; $B$16 &amp; ""'!"" &amp; $B$17 &amp; "":"" &amp; $B$17) = J$21, ISNUMBER(SEARCH($B$4, INDIRECT(""'"" &amp; $B$16 &amp; ""'!"" &amp; $B$12 &amp; "":"" &amp; $B$12)))))"),"#N/A")</f>
        <v>#N/A</v>
      </c>
      <c r="P54" s="312" t="str">
        <f>IFERROR(__xludf.DUMMYFUNCTION("AVERAGE(FILTER(INDIRECT(""'"" &amp; $B$16 &amp; ""'!"" &amp; $B54 &amp; "":"" &amp; $B54), INDIRECT(""'"" &amp; $B$16 &amp; ""'!"" &amp; $B$17 &amp; "":"" &amp; $B$17) = K$21, ISNUMBER(SEARCH($B$4, INDIRECT(""'"" &amp; $B$16 &amp; ""'!"" &amp; $B$12 &amp; "":"" &amp; $B$12)))))"),"#N/A")</f>
        <v>#N/A</v>
      </c>
      <c r="Q54" s="312" t="str">
        <f>IFERROR(__xludf.DUMMYFUNCTION("AVERAGE(FILTER(INDIRECT(""'"" &amp; $B$16 &amp; ""'!"" &amp; $B54 &amp; "":"" &amp; $B54), INDIRECT(""'"" &amp; $B$16 &amp; ""'!"" &amp; $B$17 &amp; "":"" &amp; $B$17) = L$21, ISNUMBER(SEARCH($B$4, INDIRECT(""'"" &amp; $B$16 &amp; ""'!"" &amp; $B$12 &amp; "":"" &amp; $B$12)))))"),"#N/A")</f>
        <v>#N/A</v>
      </c>
      <c r="R54" s="312" t="str">
        <f>IFERROR(__xludf.DUMMYFUNCTION("AVERAGE(FILTER(INDIRECT(""'"" &amp; $B$16 &amp; ""'!"" &amp; $B54 &amp; "":"" &amp; $B54), INDIRECT(""'"" &amp; $B$16 &amp; ""'!"" &amp; $B$17 &amp; "":"" &amp; $B$17) = M$21, ISNUMBER(SEARCH($B$4, INDIRECT(""'"" &amp; $B$16 &amp; ""'!"" &amp; $B$12 &amp; "":"" &amp; $B$12)))))"),"#N/A")</f>
        <v>#N/A</v>
      </c>
      <c r="S54" s="312" t="str">
        <f>IFERROR(__xludf.DUMMYFUNCTION("AVERAGE(FILTER(INDIRECT(""'"" &amp; $B$16 &amp; ""'!"" &amp; $B54 &amp; "":"" &amp; $B54), INDIRECT(""'"" &amp; $B$16 &amp; ""'!"" &amp; $B$17 &amp; "":"" &amp; $B$17) = N$21, ISNUMBER(SEARCH($B$4, INDIRECT(""'"" &amp; $B$16 &amp; ""'!"" &amp; $B$12 &amp; "":"" &amp; $B$12)))))"),"#N/A")</f>
        <v>#N/A</v>
      </c>
      <c r="T54" s="310" t="str">
        <f t="shared" si="122"/>
        <v>#N/A</v>
      </c>
      <c r="U54" s="310" t="str">
        <f t="shared" si="123"/>
        <v>#N/A</v>
      </c>
      <c r="V54" s="310" t="str">
        <f t="shared" si="124"/>
        <v>#N/A</v>
      </c>
      <c r="W54" s="310" t="str">
        <f t="shared" si="125"/>
        <v>#N/A</v>
      </c>
      <c r="X54" s="310" t="str">
        <f t="shared" si="126"/>
        <v>#N/A</v>
      </c>
      <c r="Y54" s="310" t="str">
        <f t="shared" si="127"/>
        <v>#N/A</v>
      </c>
      <c r="Z54" s="310" t="str">
        <f t="shared" si="128"/>
        <v>#N/A</v>
      </c>
      <c r="AA54" s="310" t="str">
        <f t="shared" si="129"/>
        <v>#N/A</v>
      </c>
      <c r="AB54" s="310" t="str">
        <f t="shared" si="130"/>
        <v>#N/A</v>
      </c>
      <c r="AC54" s="310" t="str">
        <f t="shared" si="131"/>
        <v>#N/A</v>
      </c>
      <c r="AD54" s="312" t="str">
        <f t="shared" si="132"/>
        <v>#N/A</v>
      </c>
      <c r="AE54" s="312" t="str">
        <f t="shared" si="133"/>
        <v>#N/A</v>
      </c>
      <c r="AF54" s="312" t="str">
        <f t="shared" si="134"/>
        <v>#N/A</v>
      </c>
      <c r="AG54" s="312" t="str">
        <f t="shared" si="135"/>
        <v>#N/A</v>
      </c>
      <c r="AH54" s="312" t="str">
        <f t="shared" si="136"/>
        <v>#N/A</v>
      </c>
      <c r="AI54" s="310" t="str">
        <f t="shared" si="137"/>
        <v>#N/A</v>
      </c>
      <c r="AJ54" s="310" t="str">
        <f t="shared" si="138"/>
        <v>#N/A</v>
      </c>
      <c r="AK54" s="310" t="str">
        <f t="shared" si="139"/>
        <v>#N/A</v>
      </c>
      <c r="AL54" s="313" t="str">
        <f t="shared" si="140"/>
        <v>#N/A</v>
      </c>
      <c r="AM54" s="153" t="str">
        <f t="shared" si="141"/>
        <v>#N/A</v>
      </c>
    </row>
    <row r="55" ht="15.75" customHeight="1">
      <c r="A55" s="309" t="s">
        <v>337</v>
      </c>
      <c r="B55" s="90" t="str">
        <f t="shared" si="119"/>
        <v>$BK</v>
      </c>
      <c r="C55" s="309">
        <v>15.0</v>
      </c>
      <c r="D55" s="310">
        <f t="shared" ref="D55:H55" si="143">COUNTIFS(INDIRECT("'" &amp; $B$16 &amp; "'!" &amp; $B$17 &amp; ":" &amp; $B$17),D$21,INDIRECT("'" &amp; $B$16 &amp; "'!" &amp; $B55 &amp; ":" &amp; $B55),1,INDIRECT("'" &amp; $B$16 &amp; "'!" &amp; $B$12 &amp; ":" &amp; $B$12), "*" &amp; $B$4 &amp; "*")
</f>
        <v>0</v>
      </c>
      <c r="E55" s="310">
        <f t="shared" si="143"/>
        <v>0</v>
      </c>
      <c r="F55" s="310">
        <f t="shared" si="143"/>
        <v>0</v>
      </c>
      <c r="G55" s="310">
        <f t="shared" si="143"/>
        <v>0</v>
      </c>
      <c r="H55" s="310">
        <f t="shared" si="143"/>
        <v>0</v>
      </c>
      <c r="I55" s="310">
        <f t="shared" si="121"/>
        <v>0</v>
      </c>
      <c r="J55" s="311" t="str">
        <f>IFERROR(__xludf.DUMMYFUNCTION("VAR.S(FILTER(INDIRECT(""'"" &amp; $B$16 &amp; ""'!"" &amp; $B55 &amp; "":"" &amp; $B55), INDIRECT(""'"" &amp; $B$16 &amp; ""'!"" &amp; $B$17 &amp; "":"" &amp; $B$17) = J$21, ISNUMBER(SEARCH($B$4, INDIRECT(""'"" &amp; $B$16 &amp; ""'!"" &amp; $B$12 &amp; "":"" &amp; $B$12)))))/$D$6"),"#N/A")</f>
        <v>#N/A</v>
      </c>
      <c r="K55" s="311" t="str">
        <f>IFERROR(__xludf.DUMMYFUNCTION("VAR.S(FILTER(INDIRECT(""'"" &amp; $B$16 &amp; ""'!"" &amp; $B55 &amp; "":"" &amp; $B55), INDIRECT(""'"" &amp; $B$16 &amp; ""'!"" &amp; $B$17 &amp; "":"" &amp; $B$17) = K$21, ISNUMBER(SEARCH($B$4, INDIRECT(""'"" &amp; $B$16 &amp; ""'!"" &amp; $B$12 &amp; "":"" &amp; $B$12)))))/$D$7"),"#N/A")</f>
        <v>#N/A</v>
      </c>
      <c r="L55" s="311" t="str">
        <f>IFERROR(__xludf.DUMMYFUNCTION("VAR.S(FILTER(INDIRECT(""'"" &amp; $B$16 &amp; ""'!"" &amp; $B55 &amp; "":"" &amp; $B55), INDIRECT(""'"" &amp; $B$16 &amp; ""'!"" &amp; $B$17 &amp; "":"" &amp; $B$17) = L$21, ISNUMBER(SEARCH($B$4, INDIRECT(""'"" &amp; $B$16 &amp; ""'!"" &amp; $B$12 &amp; "":"" &amp; $B$12)))))/$D$8"),"#N/A")</f>
        <v>#N/A</v>
      </c>
      <c r="M55" s="311" t="str">
        <f>IFERROR(__xludf.DUMMYFUNCTION("VAR.S(FILTER(INDIRECT(""'"" &amp; $B$16 &amp; ""'!"" &amp; $B55 &amp; "":"" &amp; $B55), INDIRECT(""'"" &amp; $B$16 &amp; ""'!"" &amp; $B$17 &amp; "":"" &amp; $B$17) = M$21, ISNUMBER(SEARCH($B$4, INDIRECT(""'"" &amp; $B$16 &amp; ""'!"" &amp; $B$12 &amp; "":"" &amp; $B$12)))))/$D$9"),"#N/A")</f>
        <v>#N/A</v>
      </c>
      <c r="N55" s="311" t="str">
        <f>IFERROR(__xludf.DUMMYFUNCTION("VAR.S(FILTER(INDIRECT(""'"" &amp; $B$16 &amp; ""'!"" &amp; $B55 &amp; "":"" &amp; $B55), INDIRECT(""'"" &amp; $B$16 &amp; ""'!"" &amp; $B$17 &amp; "":"" &amp; $B$17) = N$21, ISNUMBER(SEARCH($B$4, INDIRECT(""'"" &amp; $B$16 &amp; ""'!"" &amp; $B$12 &amp; "":"" &amp; $B$12)))))/$D$10"),"#N/A")</f>
        <v>#N/A</v>
      </c>
      <c r="O55" s="312" t="str">
        <f>IFERROR(__xludf.DUMMYFUNCTION("AVERAGE(FILTER(INDIRECT(""'"" &amp; $B$16 &amp; ""'!"" &amp; $B55 &amp; "":"" &amp; $B55), INDIRECT(""'"" &amp; $B$16 &amp; ""'!"" &amp; $B$17 &amp; "":"" &amp; $B$17) = J$21, ISNUMBER(SEARCH($B$4, INDIRECT(""'"" &amp; $B$16 &amp; ""'!"" &amp; $B$12 &amp; "":"" &amp; $B$12)))))"),"#N/A")</f>
        <v>#N/A</v>
      </c>
      <c r="P55" s="312" t="str">
        <f>IFERROR(__xludf.DUMMYFUNCTION("AVERAGE(FILTER(INDIRECT(""'"" &amp; $B$16 &amp; ""'!"" &amp; $B55 &amp; "":"" &amp; $B55), INDIRECT(""'"" &amp; $B$16 &amp; ""'!"" &amp; $B$17 &amp; "":"" &amp; $B$17) = K$21, ISNUMBER(SEARCH($B$4, INDIRECT(""'"" &amp; $B$16 &amp; ""'!"" &amp; $B$12 &amp; "":"" &amp; $B$12)))))"),"#N/A")</f>
        <v>#N/A</v>
      </c>
      <c r="Q55" s="312" t="str">
        <f>IFERROR(__xludf.DUMMYFUNCTION("AVERAGE(FILTER(INDIRECT(""'"" &amp; $B$16 &amp; ""'!"" &amp; $B55 &amp; "":"" &amp; $B55), INDIRECT(""'"" &amp; $B$16 &amp; ""'!"" &amp; $B$17 &amp; "":"" &amp; $B$17) = L$21, ISNUMBER(SEARCH($B$4, INDIRECT(""'"" &amp; $B$16 &amp; ""'!"" &amp; $B$12 &amp; "":"" &amp; $B$12)))))"),"#N/A")</f>
        <v>#N/A</v>
      </c>
      <c r="R55" s="312" t="str">
        <f>IFERROR(__xludf.DUMMYFUNCTION("AVERAGE(FILTER(INDIRECT(""'"" &amp; $B$16 &amp; ""'!"" &amp; $B55 &amp; "":"" &amp; $B55), INDIRECT(""'"" &amp; $B$16 &amp; ""'!"" &amp; $B$17 &amp; "":"" &amp; $B$17) = M$21, ISNUMBER(SEARCH($B$4, INDIRECT(""'"" &amp; $B$16 &amp; ""'!"" &amp; $B$12 &amp; "":"" &amp; $B$12)))))"),"#N/A")</f>
        <v>#N/A</v>
      </c>
      <c r="S55" s="312" t="str">
        <f>IFERROR(__xludf.DUMMYFUNCTION("AVERAGE(FILTER(INDIRECT(""'"" &amp; $B$16 &amp; ""'!"" &amp; $B55 &amp; "":"" &amp; $B55), INDIRECT(""'"" &amp; $B$16 &amp; ""'!"" &amp; $B$17 &amp; "":"" &amp; $B$17) = N$21, ISNUMBER(SEARCH($B$4, INDIRECT(""'"" &amp; $B$16 &amp; ""'!"" &amp; $B$12 &amp; "":"" &amp; $B$12)))))"),"#N/A")</f>
        <v>#N/A</v>
      </c>
      <c r="T55" s="310" t="str">
        <f t="shared" si="122"/>
        <v>#N/A</v>
      </c>
      <c r="U55" s="310" t="str">
        <f t="shared" si="123"/>
        <v>#N/A</v>
      </c>
      <c r="V55" s="310" t="str">
        <f t="shared" si="124"/>
        <v>#N/A</v>
      </c>
      <c r="W55" s="310" t="str">
        <f t="shared" si="125"/>
        <v>#N/A</v>
      </c>
      <c r="X55" s="310" t="str">
        <f t="shared" si="126"/>
        <v>#N/A</v>
      </c>
      <c r="Y55" s="310" t="str">
        <f t="shared" si="127"/>
        <v>#N/A</v>
      </c>
      <c r="Z55" s="310" t="str">
        <f t="shared" si="128"/>
        <v>#N/A</v>
      </c>
      <c r="AA55" s="310" t="str">
        <f t="shared" si="129"/>
        <v>#N/A</v>
      </c>
      <c r="AB55" s="310" t="str">
        <f t="shared" si="130"/>
        <v>#N/A</v>
      </c>
      <c r="AC55" s="310" t="str">
        <f t="shared" si="131"/>
        <v>#N/A</v>
      </c>
      <c r="AD55" s="312" t="str">
        <f t="shared" si="132"/>
        <v>#N/A</v>
      </c>
      <c r="AE55" s="312" t="str">
        <f t="shared" si="133"/>
        <v>#N/A</v>
      </c>
      <c r="AF55" s="312" t="str">
        <f t="shared" si="134"/>
        <v>#N/A</v>
      </c>
      <c r="AG55" s="312" t="str">
        <f t="shared" si="135"/>
        <v>#N/A</v>
      </c>
      <c r="AH55" s="312" t="str">
        <f t="shared" si="136"/>
        <v>#N/A</v>
      </c>
      <c r="AI55" s="310" t="str">
        <f t="shared" si="137"/>
        <v>#N/A</v>
      </c>
      <c r="AJ55" s="310" t="str">
        <f t="shared" si="138"/>
        <v>#N/A</v>
      </c>
      <c r="AK55" s="310" t="str">
        <f t="shared" si="139"/>
        <v>#N/A</v>
      </c>
      <c r="AL55" s="313" t="str">
        <f t="shared" si="140"/>
        <v>#N/A</v>
      </c>
      <c r="AM55" s="153" t="str">
        <f t="shared" si="141"/>
        <v>#N/A</v>
      </c>
    </row>
    <row r="56" ht="15.75" customHeight="1">
      <c r="A56" s="309" t="s">
        <v>340</v>
      </c>
      <c r="B56" s="90" t="str">
        <f t="shared" si="119"/>
        <v>$BL</v>
      </c>
      <c r="C56" s="309">
        <v>16.0</v>
      </c>
      <c r="D56" s="310">
        <f t="shared" ref="D56:H56" si="144">COUNTIFS(INDIRECT("'" &amp; $B$16 &amp; "'!" &amp; $B$17 &amp; ":" &amp; $B$17),D$21,INDIRECT("'" &amp; $B$16 &amp; "'!" &amp; $B56 &amp; ":" &amp; $B56),1,INDIRECT("'" &amp; $B$16 &amp; "'!" &amp; $B$12 &amp; ":" &amp; $B$12), "*" &amp; $B$4 &amp; "*")
</f>
        <v>0</v>
      </c>
      <c r="E56" s="310">
        <f t="shared" si="144"/>
        <v>0</v>
      </c>
      <c r="F56" s="310">
        <f t="shared" si="144"/>
        <v>0</v>
      </c>
      <c r="G56" s="310">
        <f t="shared" si="144"/>
        <v>0</v>
      </c>
      <c r="H56" s="310">
        <f t="shared" si="144"/>
        <v>0</v>
      </c>
      <c r="I56" s="310">
        <f t="shared" si="121"/>
        <v>0</v>
      </c>
      <c r="J56" s="311" t="str">
        <f>IFERROR(__xludf.DUMMYFUNCTION("VAR.S(FILTER(INDIRECT(""'"" &amp; $B$16 &amp; ""'!"" &amp; $B56 &amp; "":"" &amp; $B56), INDIRECT(""'"" &amp; $B$16 &amp; ""'!"" &amp; $B$17 &amp; "":"" &amp; $B$17) = J$21, ISNUMBER(SEARCH($B$4, INDIRECT(""'"" &amp; $B$16 &amp; ""'!"" &amp; $B$12 &amp; "":"" &amp; $B$12)))))/$D$6"),"#N/A")</f>
        <v>#N/A</v>
      </c>
      <c r="K56" s="311" t="str">
        <f>IFERROR(__xludf.DUMMYFUNCTION("VAR.S(FILTER(INDIRECT(""'"" &amp; $B$16 &amp; ""'!"" &amp; $B56 &amp; "":"" &amp; $B56), INDIRECT(""'"" &amp; $B$16 &amp; ""'!"" &amp; $B$17 &amp; "":"" &amp; $B$17) = K$21, ISNUMBER(SEARCH($B$4, INDIRECT(""'"" &amp; $B$16 &amp; ""'!"" &amp; $B$12 &amp; "":"" &amp; $B$12)))))/$D$7"),"#N/A")</f>
        <v>#N/A</v>
      </c>
      <c r="L56" s="311" t="str">
        <f>IFERROR(__xludf.DUMMYFUNCTION("VAR.S(FILTER(INDIRECT(""'"" &amp; $B$16 &amp; ""'!"" &amp; $B56 &amp; "":"" &amp; $B56), INDIRECT(""'"" &amp; $B$16 &amp; ""'!"" &amp; $B$17 &amp; "":"" &amp; $B$17) = L$21, ISNUMBER(SEARCH($B$4, INDIRECT(""'"" &amp; $B$16 &amp; ""'!"" &amp; $B$12 &amp; "":"" &amp; $B$12)))))/$D$8"),"#N/A")</f>
        <v>#N/A</v>
      </c>
      <c r="M56" s="311" t="str">
        <f>IFERROR(__xludf.DUMMYFUNCTION("VAR.S(FILTER(INDIRECT(""'"" &amp; $B$16 &amp; ""'!"" &amp; $B56 &amp; "":"" &amp; $B56), INDIRECT(""'"" &amp; $B$16 &amp; ""'!"" &amp; $B$17 &amp; "":"" &amp; $B$17) = M$21, ISNUMBER(SEARCH($B$4, INDIRECT(""'"" &amp; $B$16 &amp; ""'!"" &amp; $B$12 &amp; "":"" &amp; $B$12)))))/$D$9"),"#N/A")</f>
        <v>#N/A</v>
      </c>
      <c r="N56" s="311" t="str">
        <f>IFERROR(__xludf.DUMMYFUNCTION("VAR.S(FILTER(INDIRECT(""'"" &amp; $B$16 &amp; ""'!"" &amp; $B56 &amp; "":"" &amp; $B56), INDIRECT(""'"" &amp; $B$16 &amp; ""'!"" &amp; $B$17 &amp; "":"" &amp; $B$17) = N$21, ISNUMBER(SEARCH($B$4, INDIRECT(""'"" &amp; $B$16 &amp; ""'!"" &amp; $B$12 &amp; "":"" &amp; $B$12)))))/$D$10"),"#N/A")</f>
        <v>#N/A</v>
      </c>
      <c r="O56" s="312" t="str">
        <f>IFERROR(__xludf.DUMMYFUNCTION("AVERAGE(FILTER(INDIRECT(""'"" &amp; $B$16 &amp; ""'!"" &amp; $B56 &amp; "":"" &amp; $B56), INDIRECT(""'"" &amp; $B$16 &amp; ""'!"" &amp; $B$17 &amp; "":"" &amp; $B$17) = J$21, ISNUMBER(SEARCH($B$4, INDIRECT(""'"" &amp; $B$16 &amp; ""'!"" &amp; $B$12 &amp; "":"" &amp; $B$12)))))"),"#N/A")</f>
        <v>#N/A</v>
      </c>
      <c r="P56" s="312" t="str">
        <f>IFERROR(__xludf.DUMMYFUNCTION("AVERAGE(FILTER(INDIRECT(""'"" &amp; $B$16 &amp; ""'!"" &amp; $B56 &amp; "":"" &amp; $B56), INDIRECT(""'"" &amp; $B$16 &amp; ""'!"" &amp; $B$17 &amp; "":"" &amp; $B$17) = K$21, ISNUMBER(SEARCH($B$4, INDIRECT(""'"" &amp; $B$16 &amp; ""'!"" &amp; $B$12 &amp; "":"" &amp; $B$12)))))"),"#N/A")</f>
        <v>#N/A</v>
      </c>
      <c r="Q56" s="312" t="str">
        <f>IFERROR(__xludf.DUMMYFUNCTION("AVERAGE(FILTER(INDIRECT(""'"" &amp; $B$16 &amp; ""'!"" &amp; $B56 &amp; "":"" &amp; $B56), INDIRECT(""'"" &amp; $B$16 &amp; ""'!"" &amp; $B$17 &amp; "":"" &amp; $B$17) = L$21, ISNUMBER(SEARCH($B$4, INDIRECT(""'"" &amp; $B$16 &amp; ""'!"" &amp; $B$12 &amp; "":"" &amp; $B$12)))))"),"#N/A")</f>
        <v>#N/A</v>
      </c>
      <c r="R56" s="312" t="str">
        <f>IFERROR(__xludf.DUMMYFUNCTION("AVERAGE(FILTER(INDIRECT(""'"" &amp; $B$16 &amp; ""'!"" &amp; $B56 &amp; "":"" &amp; $B56), INDIRECT(""'"" &amp; $B$16 &amp; ""'!"" &amp; $B$17 &amp; "":"" &amp; $B$17) = M$21, ISNUMBER(SEARCH($B$4, INDIRECT(""'"" &amp; $B$16 &amp; ""'!"" &amp; $B$12 &amp; "":"" &amp; $B$12)))))"),"#N/A")</f>
        <v>#N/A</v>
      </c>
      <c r="S56" s="312" t="str">
        <f>IFERROR(__xludf.DUMMYFUNCTION("AVERAGE(FILTER(INDIRECT(""'"" &amp; $B$16 &amp; ""'!"" &amp; $B56 &amp; "":"" &amp; $B56), INDIRECT(""'"" &amp; $B$16 &amp; ""'!"" &amp; $B$17 &amp; "":"" &amp; $B$17) = N$21, ISNUMBER(SEARCH($B$4, INDIRECT(""'"" &amp; $B$16 &amp; ""'!"" &amp; $B$12 &amp; "":"" &amp; $B$12)))))"),"#N/A")</f>
        <v>#N/A</v>
      </c>
      <c r="T56" s="310" t="str">
        <f t="shared" si="122"/>
        <v>#N/A</v>
      </c>
      <c r="U56" s="310" t="str">
        <f t="shared" si="123"/>
        <v>#N/A</v>
      </c>
      <c r="V56" s="310" t="str">
        <f t="shared" si="124"/>
        <v>#N/A</v>
      </c>
      <c r="W56" s="310" t="str">
        <f t="shared" si="125"/>
        <v>#N/A</v>
      </c>
      <c r="X56" s="310" t="str">
        <f t="shared" si="126"/>
        <v>#N/A</v>
      </c>
      <c r="Y56" s="310" t="str">
        <f t="shared" si="127"/>
        <v>#N/A</v>
      </c>
      <c r="Z56" s="310" t="str">
        <f t="shared" si="128"/>
        <v>#N/A</v>
      </c>
      <c r="AA56" s="310" t="str">
        <f t="shared" si="129"/>
        <v>#N/A</v>
      </c>
      <c r="AB56" s="310" t="str">
        <f t="shared" si="130"/>
        <v>#N/A</v>
      </c>
      <c r="AC56" s="310" t="str">
        <f t="shared" si="131"/>
        <v>#N/A</v>
      </c>
      <c r="AD56" s="312" t="str">
        <f t="shared" si="132"/>
        <v>#N/A</v>
      </c>
      <c r="AE56" s="312" t="str">
        <f t="shared" si="133"/>
        <v>#N/A</v>
      </c>
      <c r="AF56" s="312" t="str">
        <f t="shared" si="134"/>
        <v>#N/A</v>
      </c>
      <c r="AG56" s="312" t="str">
        <f t="shared" si="135"/>
        <v>#N/A</v>
      </c>
      <c r="AH56" s="312" t="str">
        <f t="shared" si="136"/>
        <v>#N/A</v>
      </c>
      <c r="AI56" s="310" t="str">
        <f t="shared" si="137"/>
        <v>#N/A</v>
      </c>
      <c r="AJ56" s="310" t="str">
        <f t="shared" si="138"/>
        <v>#N/A</v>
      </c>
      <c r="AK56" s="310" t="str">
        <f t="shared" si="139"/>
        <v>#N/A</v>
      </c>
      <c r="AL56" s="313" t="str">
        <f t="shared" si="140"/>
        <v>#N/A</v>
      </c>
      <c r="AM56" s="153" t="str">
        <f t="shared" si="141"/>
        <v>#N/A</v>
      </c>
    </row>
    <row r="57" ht="15.75" customHeight="1">
      <c r="A57" s="309" t="s">
        <v>343</v>
      </c>
      <c r="B57" s="90" t="str">
        <f t="shared" si="119"/>
        <v>$BM</v>
      </c>
      <c r="C57" s="309">
        <v>17.0</v>
      </c>
      <c r="D57" s="310">
        <f t="shared" ref="D57:H57" si="145">COUNTIFS(INDIRECT("'" &amp; $B$16 &amp; "'!" &amp; $B$17 &amp; ":" &amp; $B$17),D$21,INDIRECT("'" &amp; $B$16 &amp; "'!" &amp; $B57 &amp; ":" &amp; $B57),1,INDIRECT("'" &amp; $B$16 &amp; "'!" &amp; $B$12 &amp; ":" &amp; $B$12), "*" &amp; $B$4 &amp; "*")
</f>
        <v>0</v>
      </c>
      <c r="E57" s="310">
        <f t="shared" si="145"/>
        <v>0</v>
      </c>
      <c r="F57" s="310">
        <f t="shared" si="145"/>
        <v>0</v>
      </c>
      <c r="G57" s="310">
        <f t="shared" si="145"/>
        <v>0</v>
      </c>
      <c r="H57" s="310">
        <f t="shared" si="145"/>
        <v>0</v>
      </c>
      <c r="I57" s="310">
        <f t="shared" si="121"/>
        <v>0</v>
      </c>
      <c r="J57" s="311" t="str">
        <f>IFERROR(__xludf.DUMMYFUNCTION("VAR.S(FILTER(INDIRECT(""'"" &amp; $B$16 &amp; ""'!"" &amp; $B57 &amp; "":"" &amp; $B57), INDIRECT(""'"" &amp; $B$16 &amp; ""'!"" &amp; $B$17 &amp; "":"" &amp; $B$17) = J$21, ISNUMBER(SEARCH($B$4, INDIRECT(""'"" &amp; $B$16 &amp; ""'!"" &amp; $B$12 &amp; "":"" &amp; $B$12)))))/$D$6"),"#N/A")</f>
        <v>#N/A</v>
      </c>
      <c r="K57" s="311" t="str">
        <f>IFERROR(__xludf.DUMMYFUNCTION("VAR.S(FILTER(INDIRECT(""'"" &amp; $B$16 &amp; ""'!"" &amp; $B57 &amp; "":"" &amp; $B57), INDIRECT(""'"" &amp; $B$16 &amp; ""'!"" &amp; $B$17 &amp; "":"" &amp; $B$17) = K$21, ISNUMBER(SEARCH($B$4, INDIRECT(""'"" &amp; $B$16 &amp; ""'!"" &amp; $B$12 &amp; "":"" &amp; $B$12)))))/$D$7"),"#N/A")</f>
        <v>#N/A</v>
      </c>
      <c r="L57" s="311" t="str">
        <f>IFERROR(__xludf.DUMMYFUNCTION("VAR.S(FILTER(INDIRECT(""'"" &amp; $B$16 &amp; ""'!"" &amp; $B57 &amp; "":"" &amp; $B57), INDIRECT(""'"" &amp; $B$16 &amp; ""'!"" &amp; $B$17 &amp; "":"" &amp; $B$17) = L$21, ISNUMBER(SEARCH($B$4, INDIRECT(""'"" &amp; $B$16 &amp; ""'!"" &amp; $B$12 &amp; "":"" &amp; $B$12)))))/$D$8"),"#N/A")</f>
        <v>#N/A</v>
      </c>
      <c r="M57" s="311" t="str">
        <f>IFERROR(__xludf.DUMMYFUNCTION("VAR.S(FILTER(INDIRECT(""'"" &amp; $B$16 &amp; ""'!"" &amp; $B57 &amp; "":"" &amp; $B57), INDIRECT(""'"" &amp; $B$16 &amp; ""'!"" &amp; $B$17 &amp; "":"" &amp; $B$17) = M$21, ISNUMBER(SEARCH($B$4, INDIRECT(""'"" &amp; $B$16 &amp; ""'!"" &amp; $B$12 &amp; "":"" &amp; $B$12)))))/$D$9"),"#N/A")</f>
        <v>#N/A</v>
      </c>
      <c r="N57" s="311" t="str">
        <f>IFERROR(__xludf.DUMMYFUNCTION("VAR.S(FILTER(INDIRECT(""'"" &amp; $B$16 &amp; ""'!"" &amp; $B57 &amp; "":"" &amp; $B57), INDIRECT(""'"" &amp; $B$16 &amp; ""'!"" &amp; $B$17 &amp; "":"" &amp; $B$17) = N$21, ISNUMBER(SEARCH($B$4, INDIRECT(""'"" &amp; $B$16 &amp; ""'!"" &amp; $B$12 &amp; "":"" &amp; $B$12)))))/$D$10"),"#N/A")</f>
        <v>#N/A</v>
      </c>
      <c r="O57" s="312" t="str">
        <f>IFERROR(__xludf.DUMMYFUNCTION("AVERAGE(FILTER(INDIRECT(""'"" &amp; $B$16 &amp; ""'!"" &amp; $B57 &amp; "":"" &amp; $B57), INDIRECT(""'"" &amp; $B$16 &amp; ""'!"" &amp; $B$17 &amp; "":"" &amp; $B$17) = J$21, ISNUMBER(SEARCH($B$4, INDIRECT(""'"" &amp; $B$16 &amp; ""'!"" &amp; $B$12 &amp; "":"" &amp; $B$12)))))"),"#N/A")</f>
        <v>#N/A</v>
      </c>
      <c r="P57" s="312" t="str">
        <f>IFERROR(__xludf.DUMMYFUNCTION("AVERAGE(FILTER(INDIRECT(""'"" &amp; $B$16 &amp; ""'!"" &amp; $B57 &amp; "":"" &amp; $B57), INDIRECT(""'"" &amp; $B$16 &amp; ""'!"" &amp; $B$17 &amp; "":"" &amp; $B$17) = K$21, ISNUMBER(SEARCH($B$4, INDIRECT(""'"" &amp; $B$16 &amp; ""'!"" &amp; $B$12 &amp; "":"" &amp; $B$12)))))"),"#N/A")</f>
        <v>#N/A</v>
      </c>
      <c r="Q57" s="312" t="str">
        <f>IFERROR(__xludf.DUMMYFUNCTION("AVERAGE(FILTER(INDIRECT(""'"" &amp; $B$16 &amp; ""'!"" &amp; $B57 &amp; "":"" &amp; $B57), INDIRECT(""'"" &amp; $B$16 &amp; ""'!"" &amp; $B$17 &amp; "":"" &amp; $B$17) = L$21, ISNUMBER(SEARCH($B$4, INDIRECT(""'"" &amp; $B$16 &amp; ""'!"" &amp; $B$12 &amp; "":"" &amp; $B$12)))))"),"#N/A")</f>
        <v>#N/A</v>
      </c>
      <c r="R57" s="312" t="str">
        <f>IFERROR(__xludf.DUMMYFUNCTION("AVERAGE(FILTER(INDIRECT(""'"" &amp; $B$16 &amp; ""'!"" &amp; $B57 &amp; "":"" &amp; $B57), INDIRECT(""'"" &amp; $B$16 &amp; ""'!"" &amp; $B$17 &amp; "":"" &amp; $B$17) = M$21, ISNUMBER(SEARCH($B$4, INDIRECT(""'"" &amp; $B$16 &amp; ""'!"" &amp; $B$12 &amp; "":"" &amp; $B$12)))))"),"#N/A")</f>
        <v>#N/A</v>
      </c>
      <c r="S57" s="312" t="str">
        <f>IFERROR(__xludf.DUMMYFUNCTION("AVERAGE(FILTER(INDIRECT(""'"" &amp; $B$16 &amp; ""'!"" &amp; $B57 &amp; "":"" &amp; $B57), INDIRECT(""'"" &amp; $B$16 &amp; ""'!"" &amp; $B$17 &amp; "":"" &amp; $B$17) = N$21, ISNUMBER(SEARCH($B$4, INDIRECT(""'"" &amp; $B$16 &amp; ""'!"" &amp; $B$12 &amp; "":"" &amp; $B$12)))))"),"#N/A")</f>
        <v>#N/A</v>
      </c>
      <c r="T57" s="310" t="str">
        <f t="shared" si="122"/>
        <v>#N/A</v>
      </c>
      <c r="U57" s="310" t="str">
        <f t="shared" si="123"/>
        <v>#N/A</v>
      </c>
      <c r="V57" s="310" t="str">
        <f t="shared" si="124"/>
        <v>#N/A</v>
      </c>
      <c r="W57" s="310" t="str">
        <f t="shared" si="125"/>
        <v>#N/A</v>
      </c>
      <c r="X57" s="310" t="str">
        <f t="shared" si="126"/>
        <v>#N/A</v>
      </c>
      <c r="Y57" s="310" t="str">
        <f t="shared" si="127"/>
        <v>#N/A</v>
      </c>
      <c r="Z57" s="310" t="str">
        <f t="shared" si="128"/>
        <v>#N/A</v>
      </c>
      <c r="AA57" s="310" t="str">
        <f t="shared" si="129"/>
        <v>#N/A</v>
      </c>
      <c r="AB57" s="310" t="str">
        <f t="shared" si="130"/>
        <v>#N/A</v>
      </c>
      <c r="AC57" s="310" t="str">
        <f t="shared" si="131"/>
        <v>#N/A</v>
      </c>
      <c r="AD57" s="312" t="str">
        <f t="shared" si="132"/>
        <v>#N/A</v>
      </c>
      <c r="AE57" s="312" t="str">
        <f t="shared" si="133"/>
        <v>#N/A</v>
      </c>
      <c r="AF57" s="312" t="str">
        <f t="shared" si="134"/>
        <v>#N/A</v>
      </c>
      <c r="AG57" s="312" t="str">
        <f t="shared" si="135"/>
        <v>#N/A</v>
      </c>
      <c r="AH57" s="312" t="str">
        <f t="shared" si="136"/>
        <v>#N/A</v>
      </c>
      <c r="AI57" s="310" t="str">
        <f t="shared" si="137"/>
        <v>#N/A</v>
      </c>
      <c r="AJ57" s="310" t="str">
        <f t="shared" si="138"/>
        <v>#N/A</v>
      </c>
      <c r="AK57" s="310" t="str">
        <f t="shared" si="139"/>
        <v>#N/A</v>
      </c>
      <c r="AL57" s="313" t="str">
        <f t="shared" si="140"/>
        <v>#N/A</v>
      </c>
      <c r="AM57" s="153" t="str">
        <f t="shared" si="141"/>
        <v>#N/A</v>
      </c>
    </row>
    <row r="58" ht="15.75" customHeight="1">
      <c r="A58" s="309" t="s">
        <v>186</v>
      </c>
      <c r="B58" s="90" t="str">
        <f t="shared" si="119"/>
        <v>$BN</v>
      </c>
      <c r="C58" s="309">
        <v>18.0</v>
      </c>
      <c r="D58" s="310">
        <f t="shared" ref="D58:H58" si="146">COUNTIFS(INDIRECT("'" &amp; $B$16 &amp; "'!" &amp; $B$17 &amp; ":" &amp; $B$17),D$21,INDIRECT("'" &amp; $B$16 &amp; "'!" &amp; $B58 &amp; ":" &amp; $B58),1,INDIRECT("'" &amp; $B$16 &amp; "'!" &amp; $B$12 &amp; ":" &amp; $B$12), "*" &amp; $B$4 &amp; "*")
</f>
        <v>0</v>
      </c>
      <c r="E58" s="310">
        <f t="shared" si="146"/>
        <v>0</v>
      </c>
      <c r="F58" s="310">
        <f t="shared" si="146"/>
        <v>0</v>
      </c>
      <c r="G58" s="310">
        <f t="shared" si="146"/>
        <v>0</v>
      </c>
      <c r="H58" s="310">
        <f t="shared" si="146"/>
        <v>0</v>
      </c>
      <c r="I58" s="310">
        <f t="shared" si="121"/>
        <v>0</v>
      </c>
      <c r="J58" s="311" t="str">
        <f>IFERROR(__xludf.DUMMYFUNCTION("VAR.S(FILTER(INDIRECT(""'"" &amp; $B$16 &amp; ""'!"" &amp; $B58 &amp; "":"" &amp; $B58), INDIRECT(""'"" &amp; $B$16 &amp; ""'!"" &amp; $B$17 &amp; "":"" &amp; $B$17) = J$21, ISNUMBER(SEARCH($B$4, INDIRECT(""'"" &amp; $B$16 &amp; ""'!"" &amp; $B$12 &amp; "":"" &amp; $B$12)))))/$D$6"),"#N/A")</f>
        <v>#N/A</v>
      </c>
      <c r="K58" s="311" t="str">
        <f>IFERROR(__xludf.DUMMYFUNCTION("VAR.S(FILTER(INDIRECT(""'"" &amp; $B$16 &amp; ""'!"" &amp; $B58 &amp; "":"" &amp; $B58), INDIRECT(""'"" &amp; $B$16 &amp; ""'!"" &amp; $B$17 &amp; "":"" &amp; $B$17) = K$21, ISNUMBER(SEARCH($B$4, INDIRECT(""'"" &amp; $B$16 &amp; ""'!"" &amp; $B$12 &amp; "":"" &amp; $B$12)))))/$D$7"),"#N/A")</f>
        <v>#N/A</v>
      </c>
      <c r="L58" s="311" t="str">
        <f>IFERROR(__xludf.DUMMYFUNCTION("VAR.S(FILTER(INDIRECT(""'"" &amp; $B$16 &amp; ""'!"" &amp; $B58 &amp; "":"" &amp; $B58), INDIRECT(""'"" &amp; $B$16 &amp; ""'!"" &amp; $B$17 &amp; "":"" &amp; $B$17) = L$21, ISNUMBER(SEARCH($B$4, INDIRECT(""'"" &amp; $B$16 &amp; ""'!"" &amp; $B$12 &amp; "":"" &amp; $B$12)))))/$D$8"),"#N/A")</f>
        <v>#N/A</v>
      </c>
      <c r="M58" s="311" t="str">
        <f>IFERROR(__xludf.DUMMYFUNCTION("VAR.S(FILTER(INDIRECT(""'"" &amp; $B$16 &amp; ""'!"" &amp; $B58 &amp; "":"" &amp; $B58), INDIRECT(""'"" &amp; $B$16 &amp; ""'!"" &amp; $B$17 &amp; "":"" &amp; $B$17) = M$21, ISNUMBER(SEARCH($B$4, INDIRECT(""'"" &amp; $B$16 &amp; ""'!"" &amp; $B$12 &amp; "":"" &amp; $B$12)))))/$D$9"),"#N/A")</f>
        <v>#N/A</v>
      </c>
      <c r="N58" s="311" t="str">
        <f>IFERROR(__xludf.DUMMYFUNCTION("VAR.S(FILTER(INDIRECT(""'"" &amp; $B$16 &amp; ""'!"" &amp; $B58 &amp; "":"" &amp; $B58), INDIRECT(""'"" &amp; $B$16 &amp; ""'!"" &amp; $B$17 &amp; "":"" &amp; $B$17) = N$21, ISNUMBER(SEARCH($B$4, INDIRECT(""'"" &amp; $B$16 &amp; ""'!"" &amp; $B$12 &amp; "":"" &amp; $B$12)))))/$D$10"),"#N/A")</f>
        <v>#N/A</v>
      </c>
      <c r="O58" s="312" t="str">
        <f>IFERROR(__xludf.DUMMYFUNCTION("AVERAGE(FILTER(INDIRECT(""'"" &amp; $B$16 &amp; ""'!"" &amp; $B58 &amp; "":"" &amp; $B58), INDIRECT(""'"" &amp; $B$16 &amp; ""'!"" &amp; $B$17 &amp; "":"" &amp; $B$17) = J$21, ISNUMBER(SEARCH($B$4, INDIRECT(""'"" &amp; $B$16 &amp; ""'!"" &amp; $B$12 &amp; "":"" &amp; $B$12)))))"),"#N/A")</f>
        <v>#N/A</v>
      </c>
      <c r="P58" s="312" t="str">
        <f>IFERROR(__xludf.DUMMYFUNCTION("AVERAGE(FILTER(INDIRECT(""'"" &amp; $B$16 &amp; ""'!"" &amp; $B58 &amp; "":"" &amp; $B58), INDIRECT(""'"" &amp; $B$16 &amp; ""'!"" &amp; $B$17 &amp; "":"" &amp; $B$17) = K$21, ISNUMBER(SEARCH($B$4, INDIRECT(""'"" &amp; $B$16 &amp; ""'!"" &amp; $B$12 &amp; "":"" &amp; $B$12)))))"),"#N/A")</f>
        <v>#N/A</v>
      </c>
      <c r="Q58" s="312" t="str">
        <f>IFERROR(__xludf.DUMMYFUNCTION("AVERAGE(FILTER(INDIRECT(""'"" &amp; $B$16 &amp; ""'!"" &amp; $B58 &amp; "":"" &amp; $B58), INDIRECT(""'"" &amp; $B$16 &amp; ""'!"" &amp; $B$17 &amp; "":"" &amp; $B$17) = L$21, ISNUMBER(SEARCH($B$4, INDIRECT(""'"" &amp; $B$16 &amp; ""'!"" &amp; $B$12 &amp; "":"" &amp; $B$12)))))"),"#N/A")</f>
        <v>#N/A</v>
      </c>
      <c r="R58" s="312" t="str">
        <f>IFERROR(__xludf.DUMMYFUNCTION("AVERAGE(FILTER(INDIRECT(""'"" &amp; $B$16 &amp; ""'!"" &amp; $B58 &amp; "":"" &amp; $B58), INDIRECT(""'"" &amp; $B$16 &amp; ""'!"" &amp; $B$17 &amp; "":"" &amp; $B$17) = M$21, ISNUMBER(SEARCH($B$4, INDIRECT(""'"" &amp; $B$16 &amp; ""'!"" &amp; $B$12 &amp; "":"" &amp; $B$12)))))"),"#N/A")</f>
        <v>#N/A</v>
      </c>
      <c r="S58" s="312" t="str">
        <f>IFERROR(__xludf.DUMMYFUNCTION("AVERAGE(FILTER(INDIRECT(""'"" &amp; $B$16 &amp; ""'!"" &amp; $B58 &amp; "":"" &amp; $B58), INDIRECT(""'"" &amp; $B$16 &amp; ""'!"" &amp; $B$17 &amp; "":"" &amp; $B$17) = N$21, ISNUMBER(SEARCH($B$4, INDIRECT(""'"" &amp; $B$16 &amp; ""'!"" &amp; $B$12 &amp; "":"" &amp; $B$12)))))"),"#N/A")</f>
        <v>#N/A</v>
      </c>
      <c r="T58" s="310" t="str">
        <f t="shared" si="122"/>
        <v>#N/A</v>
      </c>
      <c r="U58" s="310" t="str">
        <f t="shared" si="123"/>
        <v>#N/A</v>
      </c>
      <c r="V58" s="310" t="str">
        <f t="shared" si="124"/>
        <v>#N/A</v>
      </c>
      <c r="W58" s="310" t="str">
        <f t="shared" si="125"/>
        <v>#N/A</v>
      </c>
      <c r="X58" s="310" t="str">
        <f t="shared" si="126"/>
        <v>#N/A</v>
      </c>
      <c r="Y58" s="310" t="str">
        <f t="shared" si="127"/>
        <v>#N/A</v>
      </c>
      <c r="Z58" s="310" t="str">
        <f t="shared" si="128"/>
        <v>#N/A</v>
      </c>
      <c r="AA58" s="310" t="str">
        <f t="shared" si="129"/>
        <v>#N/A</v>
      </c>
      <c r="AB58" s="310" t="str">
        <f t="shared" si="130"/>
        <v>#N/A</v>
      </c>
      <c r="AC58" s="310" t="str">
        <f t="shared" si="131"/>
        <v>#N/A</v>
      </c>
      <c r="AD58" s="312" t="str">
        <f t="shared" si="132"/>
        <v>#N/A</v>
      </c>
      <c r="AE58" s="312" t="str">
        <f t="shared" si="133"/>
        <v>#N/A</v>
      </c>
      <c r="AF58" s="312" t="str">
        <f t="shared" si="134"/>
        <v>#N/A</v>
      </c>
      <c r="AG58" s="312" t="str">
        <f t="shared" si="135"/>
        <v>#N/A</v>
      </c>
      <c r="AH58" s="312" t="str">
        <f t="shared" si="136"/>
        <v>#N/A</v>
      </c>
      <c r="AI58" s="310" t="str">
        <f t="shared" si="137"/>
        <v>#N/A</v>
      </c>
      <c r="AJ58" s="310" t="str">
        <f t="shared" si="138"/>
        <v>#N/A</v>
      </c>
      <c r="AK58" s="310" t="str">
        <f t="shared" si="139"/>
        <v>#N/A</v>
      </c>
      <c r="AL58" s="313" t="str">
        <f t="shared" si="140"/>
        <v>#N/A</v>
      </c>
      <c r="AM58" s="153" t="str">
        <f t="shared" si="141"/>
        <v>#N/A</v>
      </c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113">
        <f>SUM(I22:I58)</f>
        <v>0</v>
      </c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2" t="str">
        <f>SUM(AK22:AK58)</f>
        <v>#N/A</v>
      </c>
      <c r="AL59" s="85"/>
      <c r="AM59" s="85"/>
    </row>
    <row r="60" ht="15.75" customHeight="1">
      <c r="A60" s="85"/>
      <c r="B60" s="85" t="str">
        <f>'Forest Types TNT 2015-2022'!B60</f>
        <v/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D4"/>
    <mergeCell ref="D20:I20"/>
    <mergeCell ref="J20:N20"/>
    <mergeCell ref="O20:S20"/>
    <mergeCell ref="T20:X20"/>
    <mergeCell ref="Y20:AC20"/>
    <mergeCell ref="AD20:AH20"/>
  </mergeCells>
  <conditionalFormatting sqref="I59">
    <cfRule type="expression" dxfId="0" priority="1">
      <formula>I59=D11</formula>
    </cfRule>
  </conditionalFormatting>
  <conditionalFormatting sqref="I59">
    <cfRule type="expression" dxfId="2" priority="2">
      <formula>I59&lt;&gt;D11</formula>
    </cfRule>
  </conditionalFormatting>
  <conditionalFormatting sqref="AK59">
    <cfRule type="expression" dxfId="0" priority="3">
      <formula>AK59=B2</formula>
    </cfRule>
  </conditionalFormatting>
  <conditionalFormatting sqref="AK59">
    <cfRule type="expression" dxfId="2" priority="4">
      <formula>AK59&lt;&gt;B2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6" width="12.63"/>
  </cols>
  <sheetData>
    <row r="1" ht="15.75" customHeight="1">
      <c r="A1" s="317" t="s">
        <v>564</v>
      </c>
      <c r="B1" s="317" t="s">
        <v>503</v>
      </c>
      <c r="C1" s="317" t="s">
        <v>510</v>
      </c>
      <c r="D1" s="317" t="s">
        <v>513</v>
      </c>
      <c r="E1" s="317" t="s">
        <v>576</v>
      </c>
      <c r="F1" s="317" t="s">
        <v>513</v>
      </c>
      <c r="G1" s="317" t="s">
        <v>510</v>
      </c>
      <c r="H1" s="317" t="s">
        <v>577</v>
      </c>
      <c r="I1" s="317" t="s">
        <v>510</v>
      </c>
      <c r="J1" s="317" t="s">
        <v>513</v>
      </c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</row>
    <row r="2" ht="15.75" customHeight="1">
      <c r="A2" s="247" t="s">
        <v>32</v>
      </c>
      <c r="B2" s="236" t="str">
        <f>'Forest Types TNT 2015-2022'!AK42+E2+H2</f>
        <v>#N/A</v>
      </c>
      <c r="C2" s="68" t="str">
        <f>'Forest Types TNT 2015-2022'!AJ42</f>
        <v>#N/A</v>
      </c>
      <c r="D2" s="318" t="str">
        <f>IF(B2 = 0, 0,'Forest Types TNT 2015-2022'!AL42)</f>
        <v>#N/A</v>
      </c>
      <c r="E2" s="68" t="str">
        <f>'Forest Types TNT 2015-2022'!AK22+'Forest Types TNT 2023'!AK22</f>
        <v>#N/A</v>
      </c>
      <c r="F2" s="318" t="str">
        <f>IF(E2 = 0, 0, 
    IF('Forest Types TNT 2023'!AK22 = 0, 
        SQRT((('Forest Types TNT 2015-2022'!AK22 * 'Forest Types TNT 2015-2022'!AL22)^2)) / E2, 
        SQRT((('Forest Types TNT 2015-2022'!AK22 * 'Forest Types TNT 2015-2022'!AL22)^2) + (('Forest Types TNT 2023'!AK22 * 'Forest Types TNT 2023'!AL22)^2)) / E2
    )
)</f>
        <v>#N/A</v>
      </c>
      <c r="G2" s="68" t="str">
        <f t="shared" ref="G2:G10" si="1">F2/100*E2</f>
        <v>#N/A</v>
      </c>
      <c r="H2" s="68" t="str">
        <f>'Forest Types TNT 2015-2022'!AK32+'Forest Types TNT 2023'!AK32</f>
        <v>#N/A</v>
      </c>
      <c r="I2" s="68" t="str">
        <f t="shared" ref="I2:I10" si="2">J2/100*H2</f>
        <v>#N/A</v>
      </c>
      <c r="J2" s="318" t="str">
        <f>IF(H2 = 0, 0, 
    IF('Forest Types TNT 2023'!AK22 = 0, 
        SQRT((('Forest Types TNT 2015-2022'!AK32 * 'Forest Types TNT 2015-2022'!AL32)^2)) / H2, 
        SQRT((('Forest Types TNT 2015-2022'!AK32 * 'Forest Types TNT 2015-2022'!AL32)^2) + (('Forest Types TNT 2023'!AK32 * 'Forest Types TNT 2023'!AL32)^2)) / H2
    )
)</f>
        <v>#N/A</v>
      </c>
    </row>
    <row r="3" ht="15.75" customHeight="1">
      <c r="A3" s="247" t="s">
        <v>42</v>
      </c>
      <c r="B3" s="236" t="str">
        <f>'Forest Types TNT 2015-2022'!AK43+E3+H3</f>
        <v>#N/A</v>
      </c>
      <c r="C3" s="68" t="str">
        <f>'Forest Types TNT 2015-2022'!AJ43</f>
        <v>#N/A</v>
      </c>
      <c r="D3" s="318" t="str">
        <f>IF(B3 = 0, 0,'Forest Types TNT 2015-2022'!AL43)</f>
        <v>#N/A</v>
      </c>
      <c r="E3" s="68" t="str">
        <f>'Forest Types TNT 2015-2022'!AK23+'Forest Types TNT 2023'!AK23</f>
        <v>#N/A</v>
      </c>
      <c r="F3" s="318" t="str">
        <f>IF(E3 = 0, 0, 
    IF('Forest Types TNT 2023'!AK23 = 0, 
        SQRT((('Forest Types TNT 2015-2022'!AK23 * 'Forest Types TNT 2015-2022'!AL23)^2)) / E3, 
        SQRT((('Forest Types TNT 2015-2022'!AK23 * 'Forest Types TNT 2015-2022'!AL23)^2) + (('Forest Types TNT 2023'!AK23 * 'Forest Types TNT 2023'!AL23)^2)) / E3
    )
)</f>
        <v>#N/A</v>
      </c>
      <c r="G3" s="68" t="str">
        <f t="shared" si="1"/>
        <v>#N/A</v>
      </c>
      <c r="H3" s="68" t="str">
        <f>'Forest Types TNT 2015-2022'!AK33+'Forest Types TNT 2023'!AK33</f>
        <v>#N/A</v>
      </c>
      <c r="I3" s="68" t="str">
        <f t="shared" si="2"/>
        <v>#N/A</v>
      </c>
      <c r="J3" s="318" t="str">
        <f>IF(H3 = 0, 0, 
    IF('Forest Types TNT 2023'!AK23 = 0, 
        SQRT((('Forest Types TNT 2015-2022'!AK33 * 'Forest Types TNT 2015-2022'!AL33)^2)) / H3, 
        SQRT((('Forest Types TNT 2015-2022'!AK33 * 'Forest Types TNT 2015-2022'!AL33)^2) + (('Forest Types TNT 2023'!AK33 * 'Forest Types TNT 2023'!AL33)^2)) / H3
    )
)</f>
        <v>#N/A</v>
      </c>
    </row>
    <row r="4" ht="15.75" customHeight="1">
      <c r="A4" s="247" t="s">
        <v>51</v>
      </c>
      <c r="B4" s="236" t="str">
        <f>'Forest Types TNT 2015-2022'!AK44+E4+H4</f>
        <v>#N/A</v>
      </c>
      <c r="C4" s="68" t="str">
        <f>'Forest Types TNT 2015-2022'!AJ44</f>
        <v>#N/A</v>
      </c>
      <c r="D4" s="318" t="str">
        <f>IF(B4 = 0, 0,'Forest Types TNT 2015-2022'!AL44)</f>
        <v>#N/A</v>
      </c>
      <c r="E4" s="68" t="str">
        <f>'Forest Types TNT 2015-2022'!AK24+'Forest Types TNT 2023'!AK24</f>
        <v>#N/A</v>
      </c>
      <c r="F4" s="318" t="str">
        <f>IF(E4 = 0, 0, 
    IF('Forest Types TNT 2023'!AK24 = 0, 
        SQRT((('Forest Types TNT 2015-2022'!AK24 * 'Forest Types TNT 2015-2022'!AL24)^2)) / E4, 
        SQRT((('Forest Types TNT 2015-2022'!AK24 * 'Forest Types TNT 2015-2022'!AL24)^2) + (('Forest Types TNT 2023'!AK24 * 'Forest Types TNT 2023'!AL24)^2)) / E4
    )
)</f>
        <v>#N/A</v>
      </c>
      <c r="G4" s="68" t="str">
        <f t="shared" si="1"/>
        <v>#N/A</v>
      </c>
      <c r="H4" s="68" t="str">
        <f>'Forest Types TNT 2015-2022'!AK34+'Forest Types TNT 2023'!AK34</f>
        <v>#N/A</v>
      </c>
      <c r="I4" s="68" t="str">
        <f t="shared" si="2"/>
        <v>#N/A</v>
      </c>
      <c r="J4" s="318" t="str">
        <f>IF(H4 = 0, 0, 
    IF('Forest Types TNT 2023'!AK24 = 0, 
        SQRT((('Forest Types TNT 2015-2022'!AK34 * 'Forest Types TNT 2015-2022'!AL34)^2)) / H4, 
        SQRT((('Forest Types TNT 2015-2022'!AK34 * 'Forest Types TNT 2015-2022'!AL34)^2) + (('Forest Types TNT 2023'!AK34 * 'Forest Types TNT 2023'!AL34)^2)) / H4
    )
)</f>
        <v>#N/A</v>
      </c>
    </row>
    <row r="5" ht="15.75" customHeight="1">
      <c r="A5" s="247" t="s">
        <v>60</v>
      </c>
      <c r="B5" s="236" t="str">
        <f>'Forest Types TNT 2015-2022'!AK45+E5+H5</f>
        <v>#N/A</v>
      </c>
      <c r="C5" s="68" t="str">
        <f>'Forest Types TNT 2015-2022'!AJ45</f>
        <v>#N/A</v>
      </c>
      <c r="D5" s="318" t="str">
        <f>IF(B5 = 0, 0,'Forest Types TNT 2015-2022'!AL45)</f>
        <v>#N/A</v>
      </c>
      <c r="E5" s="68" t="str">
        <f>'Forest Types TNT 2015-2022'!AK25+'Forest Types TNT 2023'!AK25</f>
        <v>#N/A</v>
      </c>
      <c r="F5" s="318" t="str">
        <f>IF(E5 = 0, 0, 
    IF('Forest Types TNT 2023'!AK25 = 0, 
        SQRT((('Forest Types TNT 2015-2022'!AK25 * 'Forest Types TNT 2015-2022'!AL25)^2)) / E5, 
        SQRT((('Forest Types TNT 2015-2022'!AK25 * 'Forest Types TNT 2015-2022'!AL25)^2) + (('Forest Types TNT 2023'!AK25 * 'Forest Types TNT 2023'!AL25)^2)) / E5
    )
)</f>
        <v>#N/A</v>
      </c>
      <c r="G5" s="68" t="str">
        <f t="shared" si="1"/>
        <v>#N/A</v>
      </c>
      <c r="H5" s="68" t="str">
        <f>'Forest Types TNT 2015-2022'!AK35+'Forest Types TNT 2023'!AK35</f>
        <v>#N/A</v>
      </c>
      <c r="I5" s="68" t="str">
        <f t="shared" si="2"/>
        <v>#N/A</v>
      </c>
      <c r="J5" s="318" t="str">
        <f>IF(H5 = 0, 0, 
    IF('Forest Types TNT 2023'!AK25 = 0, 
        SQRT((('Forest Types TNT 2015-2022'!AK35 * 'Forest Types TNT 2015-2022'!AL35)^2)) / H5, 
        SQRT((('Forest Types TNT 2015-2022'!AK35 * 'Forest Types TNT 2015-2022'!AL35)^2) + (('Forest Types TNT 2023'!AK35 * 'Forest Types TNT 2023'!AL35)^2)) / H5
    )
)</f>
        <v>#N/A</v>
      </c>
    </row>
    <row r="6" ht="15.75" customHeight="1">
      <c r="A6" s="247" t="s">
        <v>85</v>
      </c>
      <c r="B6" s="236" t="str">
        <f>'Forest Types TNT 2015-2022'!AK46+E6+H6</f>
        <v>#N/A</v>
      </c>
      <c r="C6" s="68" t="str">
        <f>'Forest Types TNT 2015-2022'!AJ46</f>
        <v>#N/A</v>
      </c>
      <c r="D6" s="81" t="str">
        <f>IF(B6 = 0, 0,'Forest Types TNT 2015-2022'!AL46)</f>
        <v>#N/A</v>
      </c>
      <c r="E6" s="68" t="str">
        <f>'Forest Types TNT 2015-2022'!AK26+'Forest Types TNT 2023'!AK26</f>
        <v>#N/A</v>
      </c>
      <c r="F6" s="318" t="str">
        <f>IF(E6 = 0, 0, 
    IF('Forest Types TNT 2023'!AK26 = 0, 
        SQRT((('Forest Types TNT 2015-2022'!AK26 * 'Forest Types TNT 2015-2022'!AL26)^2)) / E6, 
        SQRT((('Forest Types TNT 2015-2022'!AK26 * 'Forest Types TNT 2015-2022'!AL26)^2) + (('Forest Types TNT 2023'!AK26 * 'Forest Types TNT 2023'!AL26)^2)) / E6
    )
)</f>
        <v>#N/A</v>
      </c>
      <c r="G6" s="68" t="str">
        <f t="shared" si="1"/>
        <v>#N/A</v>
      </c>
      <c r="H6" s="68" t="str">
        <f>'Forest Types TNT 2015-2022'!AK36+'Forest Types TNT 2023'!AK36</f>
        <v>#N/A</v>
      </c>
      <c r="I6" s="68" t="str">
        <f t="shared" si="2"/>
        <v>#N/A</v>
      </c>
      <c r="J6" s="318" t="str">
        <f>IF(H6 = 0, 0, 
    IF('Forest Types TNT 2023'!AK26 = 0, 
        SQRT((('Forest Types TNT 2015-2022'!AK36 * 'Forest Types TNT 2015-2022'!AL36)^2)) / H6, 
        SQRT((('Forest Types TNT 2015-2022'!AK36 * 'Forest Types TNT 2015-2022'!AL36)^2) + (('Forest Types TNT 2023'!AK36 * 'Forest Types TNT 2023'!AL36)^2)) / H6
    )
)</f>
        <v>#N/A</v>
      </c>
    </row>
    <row r="7" ht="15.75" customHeight="1">
      <c r="A7" s="247" t="s">
        <v>316</v>
      </c>
      <c r="B7" s="236" t="str">
        <f>'Forest Types TNT 2015-2022'!AK47+E7+H7</f>
        <v>#N/A</v>
      </c>
      <c r="C7" s="68" t="str">
        <f>'Forest Types TNT 2015-2022'!AJ47</f>
        <v>#N/A</v>
      </c>
      <c r="D7" s="318" t="str">
        <f>IF(B7 = 0, 0,'Forest Types TNT 2015-2022'!AL47)</f>
        <v>#N/A</v>
      </c>
      <c r="E7" s="68" t="str">
        <f>'Forest Types TNT 2015-2022'!AK27+'Forest Types TNT 2023'!AK27</f>
        <v>#N/A</v>
      </c>
      <c r="F7" s="318" t="str">
        <f>IF(E7 = 0, 0, 
    IF('Forest Types TNT 2023'!AK27 = 0, 
        SQRT((('Forest Types TNT 2015-2022'!AK27 * 'Forest Types TNT 2015-2022'!AL27)^2)) / E7, 
        SQRT((('Forest Types TNT 2015-2022'!AK27 * 'Forest Types TNT 2015-2022'!AL27)^2) + (('Forest Types TNT 2023'!AK27 * 'Forest Types TNT 2023'!AL27)^2)) / E7
    )
)</f>
        <v>#N/A</v>
      </c>
      <c r="G7" s="68" t="str">
        <f t="shared" si="1"/>
        <v>#N/A</v>
      </c>
      <c r="H7" s="68" t="str">
        <f>'Forest Types TNT 2015-2022'!AK37+'Forest Types TNT 2023'!AK37</f>
        <v>#N/A</v>
      </c>
      <c r="I7" s="68" t="str">
        <f t="shared" si="2"/>
        <v>#N/A</v>
      </c>
      <c r="J7" s="318" t="str">
        <f>IF(H7 = 0, 0, 
    IF('Forest Types TNT 2023'!AK27 = 0, 
        SQRT((('Forest Types TNT 2015-2022'!AK37 * 'Forest Types TNT 2015-2022'!AL37)^2)) / H7, 
        SQRT((('Forest Types TNT 2015-2022'!AK37 * 'Forest Types TNT 2015-2022'!AL37)^2) + (('Forest Types TNT 2023'!AK37 * 'Forest Types TNT 2023'!AL37)^2)) / H7
    )
)</f>
        <v>#N/A</v>
      </c>
    </row>
    <row r="8" ht="15.75" customHeight="1">
      <c r="A8" s="247" t="s">
        <v>319</v>
      </c>
      <c r="B8" s="236" t="str">
        <f>'Forest Types TNT 2015-2022'!AK48+E8+H8</f>
        <v>#N/A</v>
      </c>
      <c r="C8" s="68" t="str">
        <f>'Forest Types TNT 2015-2022'!AJ48</f>
        <v>#N/A</v>
      </c>
      <c r="D8" s="318" t="str">
        <f>IF(B8 = 0, 0,'Forest Types TNT 2015-2022'!AL48)</f>
        <v>#N/A</v>
      </c>
      <c r="E8" s="68" t="str">
        <f>'Forest Types TNT 2015-2022'!AK28+'Forest Types TNT 2023'!AK28</f>
        <v>#N/A</v>
      </c>
      <c r="F8" s="318" t="str">
        <f>IF(E8 = 0, 0, 
    IF('Forest Types TNT 2023'!AK28 = 0, 
        SQRT((('Forest Types TNT 2015-2022'!AK28 * 'Forest Types TNT 2015-2022'!AL28)^2)) / E8, 
        SQRT((('Forest Types TNT 2015-2022'!AK28 * 'Forest Types TNT 2015-2022'!AL28)^2) + (('Forest Types TNT 2023'!AK28 * 'Forest Types TNT 2023'!AL28)^2)) / E8
    )
)</f>
        <v>#N/A</v>
      </c>
      <c r="G8" s="68" t="str">
        <f t="shared" si="1"/>
        <v>#N/A</v>
      </c>
      <c r="H8" s="68" t="str">
        <f>'Forest Types TNT 2015-2022'!AK38+'Forest Types TNT 2023'!AK38</f>
        <v>#N/A</v>
      </c>
      <c r="I8" s="68" t="str">
        <f t="shared" si="2"/>
        <v>#N/A</v>
      </c>
      <c r="J8" s="318" t="str">
        <f>IF(H8 = 0, 0, 
    IF('Forest Types TNT 2023'!AK28 = 0, 
        SQRT((('Forest Types TNT 2015-2022'!AK38 * 'Forest Types TNT 2015-2022'!AL38)^2)) / H8, 
        SQRT((('Forest Types TNT 2015-2022'!AK38 * 'Forest Types TNT 2015-2022'!AL38)^2) + (('Forest Types TNT 2023'!AK38 * 'Forest Types TNT 2023'!AL38)^2)) / H8
    )
)</f>
        <v>#N/A</v>
      </c>
    </row>
    <row r="9" ht="15.75" customHeight="1">
      <c r="A9" s="247" t="s">
        <v>322</v>
      </c>
      <c r="B9" s="236" t="str">
        <f>'Forest Types TNT 2015-2022'!AK49+E9+H9</f>
        <v>#N/A</v>
      </c>
      <c r="C9" s="68" t="str">
        <f>'Forest Types TNT 2015-2022'!AJ49</f>
        <v>#N/A</v>
      </c>
      <c r="D9" s="81" t="str">
        <f>IF(B9 = 0, 0,'Forest Types TNT 2015-2022'!AL49)</f>
        <v>#N/A</v>
      </c>
      <c r="E9" s="68" t="str">
        <f>'Forest Types TNT 2015-2022'!AK29+'Forest Types TNT 2023'!AK29</f>
        <v>#N/A</v>
      </c>
      <c r="F9" s="318" t="str">
        <f>IF(E9 = 0, 0, 
    IF('Forest Types TNT 2023'!AK29 = 0, 
        SQRT((('Forest Types TNT 2015-2022'!AK29 * 'Forest Types TNT 2015-2022'!AL29)^2)) / E9, 
        SQRT((('Forest Types TNT 2015-2022'!AK29 * 'Forest Types TNT 2015-2022'!AL29)^2) + (('Forest Types TNT 2023'!AK29 * 'Forest Types TNT 2023'!AL29)^2)) / E9
    )
)</f>
        <v>#N/A</v>
      </c>
      <c r="G9" s="68" t="str">
        <f t="shared" si="1"/>
        <v>#N/A</v>
      </c>
      <c r="H9" s="68" t="str">
        <f>'Forest Types TNT 2015-2022'!AK39+'Forest Types TNT 2023'!AK39</f>
        <v>#N/A</v>
      </c>
      <c r="I9" s="68" t="str">
        <f t="shared" si="2"/>
        <v>#N/A</v>
      </c>
      <c r="J9" s="318" t="str">
        <f>IF(H9 = 0, 0, 
    IF('Forest Types TNT 2023'!AK29 = 0, 
        SQRT((('Forest Types TNT 2015-2022'!AK39 * 'Forest Types TNT 2015-2022'!AL39)^2)) / H9, 
        SQRT((('Forest Types TNT 2015-2022'!AK39 * 'Forest Types TNT 2015-2022'!AL39)^2) + (('Forest Types TNT 2023'!AK39 * 'Forest Types TNT 2023'!AL39)^2)) / H9
    )
)</f>
        <v>#N/A</v>
      </c>
    </row>
    <row r="10" ht="15.75" customHeight="1">
      <c r="A10" s="247" t="s">
        <v>325</v>
      </c>
      <c r="B10" s="236" t="str">
        <f>'Forest Types TNT 2015-2022'!AK50+E10+H10</f>
        <v>#N/A</v>
      </c>
      <c r="C10" s="68" t="str">
        <f>'Forest Types TNT 2015-2022'!AJ50</f>
        <v>#N/A</v>
      </c>
      <c r="D10" s="318" t="str">
        <f>IF(B10 = 0, 0,'Forest Types TNT 2015-2022'!AL50)</f>
        <v>#N/A</v>
      </c>
      <c r="E10" s="68" t="str">
        <f>'Forest Types TNT 2015-2022'!AK30+'Forest Types TNT 2023'!AK30</f>
        <v>#N/A</v>
      </c>
      <c r="F10" s="318" t="str">
        <f>IF(E10 = 0, 0, 
    IF('Forest Types TNT 2023'!AK30 = 0, 
        SQRT((('Forest Types TNT 2015-2022'!AK30 * 'Forest Types TNT 2015-2022'!AL30)^2)) / E10, 
        SQRT((('Forest Types TNT 2015-2022'!AK30 * 'Forest Types TNT 2015-2022'!AL30)^2) + (('Forest Types TNT 2023'!AK30 * 'Forest Types TNT 2023'!AL30)^2)) / E10
    )
)</f>
        <v>#N/A</v>
      </c>
      <c r="G10" s="68" t="str">
        <f t="shared" si="1"/>
        <v>#N/A</v>
      </c>
      <c r="H10" s="68" t="str">
        <f>'Forest Types TNT 2015-2022'!AK40+'Forest Types TNT 2023'!AK40</f>
        <v>#N/A</v>
      </c>
      <c r="I10" s="68" t="str">
        <f t="shared" si="2"/>
        <v>#N/A</v>
      </c>
      <c r="J10" s="318" t="str">
        <f>IF(H10 = 0, 0, 
    IF('Forest Types TNT 2023'!AK30 = 0, 
        SQRT((('Forest Types TNT 2015-2022'!AK40 * 'Forest Types TNT 2015-2022'!AL40)^2)) / H10, 
        SQRT((('Forest Types TNT 2015-2022'!AK40 * 'Forest Types TNT 2015-2022'!AL40)^2) + (('Forest Types TNT 2023'!AK40 * 'Forest Types TNT 2023'!AL40)^2)) / H10
    )
)</f>
        <v>#N/A</v>
      </c>
    </row>
    <row r="11" ht="15.75" customHeight="1">
      <c r="A11" s="247" t="str">
        <f>'Forest Types TNT 2015-2022'!A52</f>
        <v>Shrubland</v>
      </c>
      <c r="B11" s="99" t="str">
        <f>'Forest Types TNT 2015-2022'!AK52</f>
        <v>#N/A</v>
      </c>
      <c r="C11" s="68" t="str">
        <f>'Forest Types TNT 2015-2022'!AJ52</f>
        <v>#N/A</v>
      </c>
      <c r="D11" s="68" t="str">
        <f>IF(B11 = 0, 0,'Forest Types TNT 2015-2022'!AL51)</f>
        <v>#N/A</v>
      </c>
    </row>
    <row r="12" ht="15.75" customHeight="1">
      <c r="A12" s="247" t="str">
        <f>'Forest Types TNT 2015-2022'!A53</f>
        <v>Grassland</v>
      </c>
      <c r="B12" s="99" t="str">
        <f>'Forest Types TNT 2015-2022'!AK53</f>
        <v>#N/A</v>
      </c>
      <c r="C12" s="68" t="str">
        <f>'Forest Types TNT 2015-2022'!AJ53</f>
        <v>#N/A</v>
      </c>
      <c r="D12" s="319" t="str">
        <f>IF(B12 = 0, 0,'Forest Types TNT 2015-2022'!AL52)</f>
        <v>#N/A</v>
      </c>
    </row>
    <row r="13" ht="15.75" customHeight="1">
      <c r="A13" s="247" t="str">
        <f>'Forest Types TNT 2015-2022'!A54</f>
        <v>Aquatic</v>
      </c>
      <c r="B13" s="99" t="str">
        <f>'Forest Types TNT 2015-2022'!AK54</f>
        <v>#N/A</v>
      </c>
      <c r="C13" s="68" t="str">
        <f>'Forest Types TNT 2015-2022'!AJ54</f>
        <v>#N/A</v>
      </c>
      <c r="D13" s="319" t="str">
        <f>IF(B13 = 0, 0,'Forest Types TNT 2015-2022'!AL53)</f>
        <v>#N/A</v>
      </c>
    </row>
    <row r="14" ht="15.75" customHeight="1">
      <c r="A14" s="247" t="str">
        <f>'Forest Types TNT 2015-2022'!A55</f>
        <v>Bare</v>
      </c>
      <c r="B14" s="99" t="str">
        <f>'Forest Types TNT 2015-2022'!AK55</f>
        <v>#N/A</v>
      </c>
      <c r="C14" s="68" t="str">
        <f>'Forest Types TNT 2015-2022'!AJ55</f>
        <v>#N/A</v>
      </c>
      <c r="D14" s="319" t="str">
        <f>IF(B14 = 0, 0,'Forest Types TNT 2015-2022'!AL54)</f>
        <v>#N/A</v>
      </c>
      <c r="F14" s="198"/>
    </row>
    <row r="15" ht="15.75" customHeight="1">
      <c r="A15" s="247" t="str">
        <f>'Forest Types TNT 2015-2022'!A56</f>
        <v>Cultivated</v>
      </c>
      <c r="B15" s="99" t="str">
        <f>'Forest Types TNT 2015-2022'!AK56</f>
        <v>#N/A</v>
      </c>
      <c r="C15" s="68" t="str">
        <f>'Forest Types TNT 2015-2022'!AJ56</f>
        <v>#N/A</v>
      </c>
      <c r="D15" s="319" t="str">
        <f>IF(B15 = 0, 0,'Forest Types TNT 2015-2022'!AL55)</f>
        <v>#N/A</v>
      </c>
    </row>
    <row r="16" ht="15.75" customHeight="1">
      <c r="A16" s="247" t="str">
        <f>'Forest Types TNT 2015-2022'!A57</f>
        <v>Builtup</v>
      </c>
      <c r="B16" s="99" t="str">
        <f>'Forest Types TNT 2015-2022'!AK57</f>
        <v>#N/A</v>
      </c>
      <c r="C16" s="68" t="str">
        <f>'Forest Types TNT 2015-2022'!AJ57</f>
        <v>#N/A</v>
      </c>
      <c r="D16" s="319" t="str">
        <f>IF(B16 = 0, 0,'Forest Types TNT 2015-2022'!AL56)</f>
        <v>#N/A</v>
      </c>
    </row>
    <row r="17" ht="15.75" customHeight="1">
      <c r="A17" s="247" t="str">
        <f>'Forest Types TNT 2015-2022'!A58</f>
        <v>Water</v>
      </c>
      <c r="B17" s="99" t="str">
        <f>'Forest Types TNT 2015-2022'!AK58</f>
        <v>#N/A</v>
      </c>
      <c r="C17" s="68" t="str">
        <f>'Forest Types TNT 2015-2022'!AJ58</f>
        <v>#N/A</v>
      </c>
      <c r="D17" s="81" t="str">
        <f>IF(B17 = 0, 0,'Forest Types TNT 2015-2022'!AL57)</f>
        <v>#N/A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207" t="s">
        <v>523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1840155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09">
        <f>VLOOKUP($A$1,'Prefecture Summary 2015-2023'!$A$1:$G$18,(A6+2),FALSE)</f>
        <v>1469598</v>
      </c>
      <c r="C6" s="73">
        <f t="shared" ref="C6:C10" si="3">B6/$B$11</f>
        <v>0.7986272895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09">
        <f>VLOOKUP($A$1,'Prefecture Summary 2015-2023'!$A$1:$G$18,(A7+2),FALSE)</f>
        <v>141197</v>
      </c>
      <c r="C7" s="73">
        <f t="shared" si="3"/>
        <v>0.07673103624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09">
        <f>VLOOKUP($A$1,'Prefecture Summary 2015-2023'!$A$1:$G$18,(A8+2),FALSE)</f>
        <v>128451</v>
      </c>
      <c r="C8" s="73">
        <f t="shared" si="3"/>
        <v>0.06980444582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09">
        <f>VLOOKUP($A$1,'Prefecture Summary 2015-2023'!$A$1:$G$18,(A9+2),FALSE)</f>
        <v>76129</v>
      </c>
      <c r="C9" s="73">
        <f t="shared" si="3"/>
        <v>0.04137097147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09">
        <f>VLOOKUP($A$1,'Prefecture Summary 2015-2023'!$A$1:$G$18,(A10+2),FALSE)</f>
        <v>24780</v>
      </c>
      <c r="C10" s="73">
        <f t="shared" si="3"/>
        <v>0.01346625692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210">
        <f t="shared" ref="B11:D11" si="5">SUM(B6:B10)</f>
        <v>1840155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211" t="s">
        <v>525</v>
      </c>
      <c r="B12" s="164" t="str">
        <f t="shared" ref="B12:B13" si="6">IFERROR("$" &amp; SUBSTITUTE(ADDRESS(1, MATCH(A12, INDIRECT("'" &amp; $B$17 &amp; "'!1:1"), 0), 4), "1", ""), "Not Found")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211" t="s">
        <v>469</v>
      </c>
      <c r="B13" s="83" t="str">
        <f t="shared" si="6"/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7"/>
        <v>0</v>
      </c>
      <c r="E20" s="103">
        <f t="shared" si="7"/>
        <v>0</v>
      </c>
      <c r="F20" s="103">
        <f t="shared" si="7"/>
        <v>0</v>
      </c>
      <c r="G20" s="103">
        <f t="shared" si="7"/>
        <v>0</v>
      </c>
      <c r="H20" s="103">
        <f t="shared" ref="H20:H26" si="9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10">($B$6^2*I20)^0.5</f>
        <v>0</v>
      </c>
      <c r="T20" s="106">
        <f t="shared" ref="T20:T26" si="11">($B$7^2*J20)^0.5</f>
        <v>0</v>
      </c>
      <c r="U20" s="106">
        <f t="shared" ref="U20:U26" si="12">($B$8^2*K20)^0.5</f>
        <v>0</v>
      </c>
      <c r="V20" s="106">
        <f t="shared" ref="V20:V26" si="13">($B$9^2*L20)^0.5</f>
        <v>0</v>
      </c>
      <c r="W20" s="106">
        <f t="shared" ref="W20:W26" si="14">($B$10^2*M20)^0.5</f>
        <v>0</v>
      </c>
      <c r="X20" s="106">
        <f t="shared" ref="X20:X26" si="15">N20*$B$6</f>
        <v>0</v>
      </c>
      <c r="Y20" s="106">
        <f t="shared" ref="Y20:Y26" si="16">O20*$B$7</f>
        <v>0</v>
      </c>
      <c r="Z20" s="106">
        <f t="shared" ref="Z20:Z26" si="17">P20*$B$8</f>
        <v>0</v>
      </c>
      <c r="AA20" s="106">
        <f t="shared" ref="AA20:AA26" si="18">Q20*$B$9</f>
        <v>0</v>
      </c>
      <c r="AB20" s="106">
        <f t="shared" ref="AB20:AB26" si="19">R20*$B$10</f>
        <v>0</v>
      </c>
      <c r="AC20" s="107">
        <f t="shared" ref="AC20:AC26" si="20">N20*$C$6</f>
        <v>0</v>
      </c>
      <c r="AD20" s="107">
        <f t="shared" ref="AD20:AD26" si="21">O20*$C$7</f>
        <v>0</v>
      </c>
      <c r="AE20" s="107">
        <f t="shared" ref="AE20:AE26" si="22">P20*$C$8</f>
        <v>0</v>
      </c>
      <c r="AF20" s="107">
        <f t="shared" ref="AF20:AF26" si="23">Q20*$C$9</f>
        <v>0</v>
      </c>
      <c r="AG20" s="107">
        <f t="shared" ref="AG20:AG26" si="24">R20*$C$10</f>
        <v>0</v>
      </c>
      <c r="AH20" s="106">
        <f t="shared" ref="AH20:AH26" si="25">(S20*S20+T20*T20+U20*U20+V20*V20+W20*W20)^0.5</f>
        <v>0</v>
      </c>
      <c r="AI20" s="106">
        <f t="shared" ref="AI20:AI26" si="26">AH20*$B$15</f>
        <v>0</v>
      </c>
      <c r="AJ20" s="108">
        <f t="shared" ref="AJ20:AJ26" si="27">SUM(X20:AB20)</f>
        <v>0</v>
      </c>
      <c r="AK20" s="109">
        <f t="shared" ref="AK20:AK26" si="28">IF(AI20=0,0,AI20/AJ20)</f>
        <v>0</v>
      </c>
      <c r="AL20" s="110">
        <f t="shared" ref="AL20:AL26" si="29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10"/>
        <v>0</v>
      </c>
      <c r="T21" s="106">
        <f t="shared" si="11"/>
        <v>0</v>
      </c>
      <c r="U21" s="106">
        <f t="shared" si="12"/>
        <v>0</v>
      </c>
      <c r="V21" s="106">
        <f t="shared" si="13"/>
        <v>0</v>
      </c>
      <c r="W21" s="106">
        <f t="shared" si="14"/>
        <v>0</v>
      </c>
      <c r="X21" s="106">
        <f t="shared" si="15"/>
        <v>0</v>
      </c>
      <c r="Y21" s="106">
        <f t="shared" si="16"/>
        <v>0</v>
      </c>
      <c r="Z21" s="106">
        <f t="shared" si="17"/>
        <v>0</v>
      </c>
      <c r="AA21" s="106">
        <f t="shared" si="18"/>
        <v>0</v>
      </c>
      <c r="AB21" s="106">
        <f t="shared" si="19"/>
        <v>0</v>
      </c>
      <c r="AC21" s="107">
        <f t="shared" si="20"/>
        <v>0</v>
      </c>
      <c r="AD21" s="107">
        <f t="shared" si="21"/>
        <v>0</v>
      </c>
      <c r="AE21" s="107">
        <f t="shared" si="22"/>
        <v>0</v>
      </c>
      <c r="AF21" s="107">
        <f t="shared" si="23"/>
        <v>0</v>
      </c>
      <c r="AG21" s="107">
        <f t="shared" si="24"/>
        <v>0</v>
      </c>
      <c r="AH21" s="106">
        <f t="shared" si="25"/>
        <v>0</v>
      </c>
      <c r="AI21" s="106">
        <f t="shared" si="26"/>
        <v>0</v>
      </c>
      <c r="AJ21" s="108">
        <f t="shared" si="27"/>
        <v>0</v>
      </c>
      <c r="AK21" s="109">
        <f t="shared" si="28"/>
        <v>0</v>
      </c>
      <c r="AL21" s="110">
        <f t="shared" si="29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0"/>
        <v>0</v>
      </c>
      <c r="E22" s="103">
        <f t="shared" si="30"/>
        <v>0</v>
      </c>
      <c r="F22" s="103">
        <f t="shared" si="30"/>
        <v>0</v>
      </c>
      <c r="G22" s="103">
        <f t="shared" si="30"/>
        <v>0</v>
      </c>
      <c r="H22" s="103">
        <f t="shared" si="9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10"/>
        <v>0</v>
      </c>
      <c r="T22" s="106">
        <f t="shared" si="11"/>
        <v>0</v>
      </c>
      <c r="U22" s="106">
        <f t="shared" si="12"/>
        <v>0</v>
      </c>
      <c r="V22" s="106">
        <f t="shared" si="13"/>
        <v>0</v>
      </c>
      <c r="W22" s="106">
        <f t="shared" si="14"/>
        <v>0</v>
      </c>
      <c r="X22" s="106">
        <f t="shared" si="15"/>
        <v>0</v>
      </c>
      <c r="Y22" s="106">
        <f t="shared" si="16"/>
        <v>0</v>
      </c>
      <c r="Z22" s="106">
        <f t="shared" si="17"/>
        <v>0</v>
      </c>
      <c r="AA22" s="106">
        <f t="shared" si="18"/>
        <v>0</v>
      </c>
      <c r="AB22" s="106">
        <f t="shared" si="19"/>
        <v>0</v>
      </c>
      <c r="AC22" s="107">
        <f t="shared" si="20"/>
        <v>0</v>
      </c>
      <c r="AD22" s="107">
        <f t="shared" si="21"/>
        <v>0</v>
      </c>
      <c r="AE22" s="107">
        <f t="shared" si="22"/>
        <v>0</v>
      </c>
      <c r="AF22" s="107">
        <f t="shared" si="23"/>
        <v>0</v>
      </c>
      <c r="AG22" s="107">
        <f t="shared" si="24"/>
        <v>0</v>
      </c>
      <c r="AH22" s="106">
        <f t="shared" si="25"/>
        <v>0</v>
      </c>
      <c r="AI22" s="106">
        <f t="shared" si="26"/>
        <v>0</v>
      </c>
      <c r="AJ22" s="108">
        <f t="shared" si="27"/>
        <v>0</v>
      </c>
      <c r="AK22" s="109">
        <f t="shared" si="28"/>
        <v>0</v>
      </c>
      <c r="AL22" s="110">
        <f t="shared" si="29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1"/>
        <v>0</v>
      </c>
      <c r="E23" s="103">
        <f t="shared" si="31"/>
        <v>0</v>
      </c>
      <c r="F23" s="103">
        <f t="shared" si="31"/>
        <v>0</v>
      </c>
      <c r="G23" s="103">
        <f t="shared" si="31"/>
        <v>0</v>
      </c>
      <c r="H23" s="103">
        <f t="shared" si="9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10"/>
        <v>0</v>
      </c>
      <c r="T23" s="106">
        <f t="shared" si="11"/>
        <v>0</v>
      </c>
      <c r="U23" s="106">
        <f t="shared" si="12"/>
        <v>0</v>
      </c>
      <c r="V23" s="106">
        <f t="shared" si="13"/>
        <v>0</v>
      </c>
      <c r="W23" s="106">
        <f t="shared" si="14"/>
        <v>0</v>
      </c>
      <c r="X23" s="106">
        <f t="shared" si="15"/>
        <v>0</v>
      </c>
      <c r="Y23" s="106">
        <f t="shared" si="16"/>
        <v>0</v>
      </c>
      <c r="Z23" s="106">
        <f t="shared" si="17"/>
        <v>0</v>
      </c>
      <c r="AA23" s="106">
        <f t="shared" si="18"/>
        <v>0</v>
      </c>
      <c r="AB23" s="106">
        <f t="shared" si="19"/>
        <v>0</v>
      </c>
      <c r="AC23" s="107">
        <f t="shared" si="20"/>
        <v>0</v>
      </c>
      <c r="AD23" s="107">
        <f t="shared" si="21"/>
        <v>0</v>
      </c>
      <c r="AE23" s="107">
        <f t="shared" si="22"/>
        <v>0</v>
      </c>
      <c r="AF23" s="107">
        <f t="shared" si="23"/>
        <v>0</v>
      </c>
      <c r="AG23" s="107">
        <f t="shared" si="24"/>
        <v>0</v>
      </c>
      <c r="AH23" s="106">
        <f t="shared" si="25"/>
        <v>0</v>
      </c>
      <c r="AI23" s="106">
        <f t="shared" si="26"/>
        <v>0</v>
      </c>
      <c r="AJ23" s="108">
        <f t="shared" si="27"/>
        <v>0</v>
      </c>
      <c r="AK23" s="109">
        <f t="shared" si="28"/>
        <v>0</v>
      </c>
      <c r="AL23" s="110">
        <f t="shared" si="29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2"/>
        <v>0</v>
      </c>
      <c r="E24" s="103">
        <f t="shared" si="32"/>
        <v>0</v>
      </c>
      <c r="F24" s="103">
        <f t="shared" si="32"/>
        <v>0</v>
      </c>
      <c r="G24" s="103">
        <f t="shared" si="32"/>
        <v>0</v>
      </c>
      <c r="H24" s="103">
        <f t="shared" si="9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10"/>
        <v>0</v>
      </c>
      <c r="T24" s="106">
        <f t="shared" si="11"/>
        <v>0</v>
      </c>
      <c r="U24" s="106">
        <f t="shared" si="12"/>
        <v>0</v>
      </c>
      <c r="V24" s="106">
        <f t="shared" si="13"/>
        <v>0</v>
      </c>
      <c r="W24" s="106">
        <f t="shared" si="14"/>
        <v>0</v>
      </c>
      <c r="X24" s="106">
        <f t="shared" si="15"/>
        <v>0</v>
      </c>
      <c r="Y24" s="106">
        <f t="shared" si="16"/>
        <v>0</v>
      </c>
      <c r="Z24" s="106">
        <f t="shared" si="17"/>
        <v>0</v>
      </c>
      <c r="AA24" s="106">
        <f t="shared" si="18"/>
        <v>0</v>
      </c>
      <c r="AB24" s="106">
        <f t="shared" si="19"/>
        <v>0</v>
      </c>
      <c r="AC24" s="107">
        <f t="shared" si="20"/>
        <v>0</v>
      </c>
      <c r="AD24" s="107">
        <f t="shared" si="21"/>
        <v>0</v>
      </c>
      <c r="AE24" s="107">
        <f t="shared" si="22"/>
        <v>0</v>
      </c>
      <c r="AF24" s="107">
        <f t="shared" si="23"/>
        <v>0</v>
      </c>
      <c r="AG24" s="107">
        <f t="shared" si="24"/>
        <v>0</v>
      </c>
      <c r="AH24" s="106">
        <f t="shared" si="25"/>
        <v>0</v>
      </c>
      <c r="AI24" s="106">
        <f t="shared" si="26"/>
        <v>0</v>
      </c>
      <c r="AJ24" s="108">
        <f t="shared" si="27"/>
        <v>0</v>
      </c>
      <c r="AK24" s="109">
        <f t="shared" si="28"/>
        <v>0</v>
      </c>
      <c r="AL24" s="110">
        <f t="shared" si="29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3"/>
        <v>0</v>
      </c>
      <c r="E25" s="103">
        <f t="shared" si="33"/>
        <v>0</v>
      </c>
      <c r="F25" s="103">
        <f t="shared" si="33"/>
        <v>0</v>
      </c>
      <c r="G25" s="103">
        <f t="shared" si="33"/>
        <v>0</v>
      </c>
      <c r="H25" s="103">
        <f t="shared" si="9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10"/>
        <v>0</v>
      </c>
      <c r="T25" s="106">
        <f t="shared" si="11"/>
        <v>0</v>
      </c>
      <c r="U25" s="106">
        <f t="shared" si="12"/>
        <v>0</v>
      </c>
      <c r="V25" s="106">
        <f t="shared" si="13"/>
        <v>0</v>
      </c>
      <c r="W25" s="106">
        <f t="shared" si="14"/>
        <v>0</v>
      </c>
      <c r="X25" s="106">
        <f t="shared" si="15"/>
        <v>0</v>
      </c>
      <c r="Y25" s="106">
        <f t="shared" si="16"/>
        <v>0</v>
      </c>
      <c r="Z25" s="106">
        <f t="shared" si="17"/>
        <v>0</v>
      </c>
      <c r="AA25" s="106">
        <f t="shared" si="18"/>
        <v>0</v>
      </c>
      <c r="AB25" s="106">
        <f t="shared" si="19"/>
        <v>0</v>
      </c>
      <c r="AC25" s="107">
        <f t="shared" si="20"/>
        <v>0</v>
      </c>
      <c r="AD25" s="107">
        <f t="shared" si="21"/>
        <v>0</v>
      </c>
      <c r="AE25" s="107">
        <f t="shared" si="22"/>
        <v>0</v>
      </c>
      <c r="AF25" s="107">
        <f t="shared" si="23"/>
        <v>0</v>
      </c>
      <c r="AG25" s="107">
        <f t="shared" si="24"/>
        <v>0</v>
      </c>
      <c r="AH25" s="106">
        <f t="shared" si="25"/>
        <v>0</v>
      </c>
      <c r="AI25" s="106">
        <f t="shared" si="26"/>
        <v>0</v>
      </c>
      <c r="AJ25" s="108">
        <f t="shared" si="27"/>
        <v>0</v>
      </c>
      <c r="AK25" s="109">
        <f t="shared" si="28"/>
        <v>0</v>
      </c>
      <c r="AL25" s="110">
        <f t="shared" si="29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4"/>
        <v>0</v>
      </c>
      <c r="E26" s="103">
        <f t="shared" si="34"/>
        <v>0</v>
      </c>
      <c r="F26" s="103">
        <f t="shared" si="34"/>
        <v>0</v>
      </c>
      <c r="G26" s="103">
        <f t="shared" si="34"/>
        <v>0</v>
      </c>
      <c r="H26" s="103">
        <f t="shared" si="9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10"/>
        <v>0</v>
      </c>
      <c r="T26" s="106">
        <f t="shared" si="11"/>
        <v>0</v>
      </c>
      <c r="U26" s="106">
        <f t="shared" si="12"/>
        <v>0</v>
      </c>
      <c r="V26" s="106">
        <f t="shared" si="13"/>
        <v>0</v>
      </c>
      <c r="W26" s="106">
        <f t="shared" si="14"/>
        <v>0</v>
      </c>
      <c r="X26" s="106">
        <f t="shared" si="15"/>
        <v>0</v>
      </c>
      <c r="Y26" s="106">
        <f t="shared" si="16"/>
        <v>0</v>
      </c>
      <c r="Z26" s="106">
        <f t="shared" si="17"/>
        <v>0</v>
      </c>
      <c r="AA26" s="106">
        <f t="shared" si="18"/>
        <v>0</v>
      </c>
      <c r="AB26" s="106">
        <f t="shared" si="19"/>
        <v>0</v>
      </c>
      <c r="AC26" s="107">
        <f t="shared" si="20"/>
        <v>0</v>
      </c>
      <c r="AD26" s="107">
        <f t="shared" si="21"/>
        <v>0</v>
      </c>
      <c r="AE26" s="107">
        <f t="shared" si="22"/>
        <v>0</v>
      </c>
      <c r="AF26" s="107">
        <f t="shared" si="23"/>
        <v>0</v>
      </c>
      <c r="AG26" s="107">
        <f t="shared" si="24"/>
        <v>0</v>
      </c>
      <c r="AH26" s="106">
        <f t="shared" si="25"/>
        <v>0</v>
      </c>
      <c r="AI26" s="106">
        <f t="shared" si="26"/>
        <v>0</v>
      </c>
      <c r="AJ26" s="108">
        <f t="shared" si="27"/>
        <v>0</v>
      </c>
      <c r="AK26" s="109">
        <f t="shared" si="28"/>
        <v>0</v>
      </c>
      <c r="AL26" s="110">
        <f t="shared" si="29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5"/>
        <v>0</v>
      </c>
      <c r="E28" s="116">
        <f t="shared" si="35"/>
        <v>0</v>
      </c>
      <c r="F28" s="116">
        <f t="shared" si="35"/>
        <v>0</v>
      </c>
      <c r="G28" s="116">
        <f t="shared" si="35"/>
        <v>0</v>
      </c>
      <c r="H28" s="116">
        <f t="shared" ref="H28:H34" si="37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8">($B$6^2*I28)^0.5</f>
        <v>0</v>
      </c>
      <c r="T28" s="119">
        <f t="shared" ref="T28:T34" si="39">($B$7^2*J28)^0.5</f>
        <v>0</v>
      </c>
      <c r="U28" s="119">
        <f t="shared" ref="U28:U34" si="40">($B$8^2*K28)^0.5</f>
        <v>0</v>
      </c>
      <c r="V28" s="119">
        <f t="shared" ref="V28:V34" si="41">($B$9^2*L28)^0.5</f>
        <v>0</v>
      </c>
      <c r="W28" s="119">
        <f t="shared" ref="W28:W34" si="42">($B$10^2*M28)^0.5</f>
        <v>0</v>
      </c>
      <c r="X28" s="119">
        <f t="shared" ref="X28:X34" si="43">N28*$B$6</f>
        <v>0</v>
      </c>
      <c r="Y28" s="119">
        <f t="shared" ref="Y28:Y34" si="44">O28*$B$7</f>
        <v>0</v>
      </c>
      <c r="Z28" s="119">
        <f t="shared" ref="Z28:Z34" si="45">P28*$B$8</f>
        <v>0</v>
      </c>
      <c r="AA28" s="119">
        <f t="shared" ref="AA28:AA34" si="46">Q28*$B$9</f>
        <v>0</v>
      </c>
      <c r="AB28" s="119">
        <f t="shared" ref="AB28:AB34" si="47">R28*$B$10</f>
        <v>0</v>
      </c>
      <c r="AC28" s="117">
        <f t="shared" ref="AC28:AC34" si="48">N28*$C$6</f>
        <v>0</v>
      </c>
      <c r="AD28" s="117">
        <f t="shared" ref="AD28:AD34" si="49">O28*$C$7</f>
        <v>0</v>
      </c>
      <c r="AE28" s="117">
        <f t="shared" ref="AE28:AE34" si="50">P28*$C$8</f>
        <v>0</v>
      </c>
      <c r="AF28" s="117">
        <f t="shared" ref="AF28:AF34" si="51">Q28*$C$9</f>
        <v>0</v>
      </c>
      <c r="AG28" s="117">
        <f t="shared" ref="AG28:AG34" si="52">R28*$C$10</f>
        <v>0</v>
      </c>
      <c r="AH28" s="119">
        <f t="shared" ref="AH28:AH34" si="53">(S28*S28+T28*T28+U28*U28+V28*V28+W28*W28)^0.5</f>
        <v>0</v>
      </c>
      <c r="AI28" s="119">
        <f t="shared" ref="AI28:AI34" si="54">AH28*$B$15</f>
        <v>0</v>
      </c>
      <c r="AJ28" s="120">
        <f t="shared" ref="AJ28:AJ34" si="55">SUM(X28:AB28)</f>
        <v>0</v>
      </c>
      <c r="AK28" s="121">
        <f t="shared" ref="AK28:AK34" si="56">IF(AI28=0,0,AI28/AJ28)</f>
        <v>0</v>
      </c>
      <c r="AL28" s="122">
        <f t="shared" ref="AL28:AL34" si="57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6"/>
        <v>0</v>
      </c>
      <c r="E29" s="116">
        <f t="shared" si="36"/>
        <v>0</v>
      </c>
      <c r="F29" s="116">
        <f t="shared" si="36"/>
        <v>0</v>
      </c>
      <c r="G29" s="116">
        <f t="shared" si="36"/>
        <v>0</v>
      </c>
      <c r="H29" s="116">
        <f t="shared" si="37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8"/>
        <v>0</v>
      </c>
      <c r="T29" s="119">
        <f t="shared" si="39"/>
        <v>0</v>
      </c>
      <c r="U29" s="119">
        <f t="shared" si="40"/>
        <v>0</v>
      </c>
      <c r="V29" s="119">
        <f t="shared" si="41"/>
        <v>0</v>
      </c>
      <c r="W29" s="119">
        <f t="shared" si="42"/>
        <v>0</v>
      </c>
      <c r="X29" s="119">
        <f t="shared" si="43"/>
        <v>0</v>
      </c>
      <c r="Y29" s="119">
        <f t="shared" si="44"/>
        <v>0</v>
      </c>
      <c r="Z29" s="119">
        <f t="shared" si="45"/>
        <v>0</v>
      </c>
      <c r="AA29" s="119">
        <f t="shared" si="46"/>
        <v>0</v>
      </c>
      <c r="AB29" s="119">
        <f t="shared" si="47"/>
        <v>0</v>
      </c>
      <c r="AC29" s="117">
        <f t="shared" si="48"/>
        <v>0</v>
      </c>
      <c r="AD29" s="117">
        <f t="shared" si="49"/>
        <v>0</v>
      </c>
      <c r="AE29" s="117">
        <f t="shared" si="50"/>
        <v>0</v>
      </c>
      <c r="AF29" s="117">
        <f t="shared" si="51"/>
        <v>0</v>
      </c>
      <c r="AG29" s="117">
        <f t="shared" si="52"/>
        <v>0</v>
      </c>
      <c r="AH29" s="119">
        <f t="shared" si="53"/>
        <v>0</v>
      </c>
      <c r="AI29" s="119">
        <f t="shared" si="54"/>
        <v>0</v>
      </c>
      <c r="AJ29" s="120">
        <f t="shared" si="55"/>
        <v>0</v>
      </c>
      <c r="AK29" s="121">
        <f t="shared" si="56"/>
        <v>0</v>
      </c>
      <c r="AL29" s="122">
        <f t="shared" si="57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8"/>
        <v>0</v>
      </c>
      <c r="E30" s="116">
        <f t="shared" si="58"/>
        <v>0</v>
      </c>
      <c r="F30" s="116">
        <f t="shared" si="58"/>
        <v>0</v>
      </c>
      <c r="G30" s="116">
        <f t="shared" si="58"/>
        <v>0</v>
      </c>
      <c r="H30" s="116">
        <f t="shared" si="37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8"/>
        <v>0</v>
      </c>
      <c r="T30" s="119">
        <f t="shared" si="39"/>
        <v>0</v>
      </c>
      <c r="U30" s="119">
        <f t="shared" si="40"/>
        <v>0</v>
      </c>
      <c r="V30" s="119">
        <f t="shared" si="41"/>
        <v>0</v>
      </c>
      <c r="W30" s="119">
        <f t="shared" si="42"/>
        <v>0</v>
      </c>
      <c r="X30" s="119">
        <f t="shared" si="43"/>
        <v>0</v>
      </c>
      <c r="Y30" s="119">
        <f t="shared" si="44"/>
        <v>0</v>
      </c>
      <c r="Z30" s="119">
        <f t="shared" si="45"/>
        <v>0</v>
      </c>
      <c r="AA30" s="119">
        <f t="shared" si="46"/>
        <v>0</v>
      </c>
      <c r="AB30" s="119">
        <f t="shared" si="47"/>
        <v>0</v>
      </c>
      <c r="AC30" s="117">
        <f t="shared" si="48"/>
        <v>0</v>
      </c>
      <c r="AD30" s="117">
        <f t="shared" si="49"/>
        <v>0</v>
      </c>
      <c r="AE30" s="117">
        <f t="shared" si="50"/>
        <v>0</v>
      </c>
      <c r="AF30" s="117">
        <f t="shared" si="51"/>
        <v>0</v>
      </c>
      <c r="AG30" s="117">
        <f t="shared" si="52"/>
        <v>0</v>
      </c>
      <c r="AH30" s="119">
        <f t="shared" si="53"/>
        <v>0</v>
      </c>
      <c r="AI30" s="119">
        <f t="shared" si="54"/>
        <v>0</v>
      </c>
      <c r="AJ30" s="120">
        <f t="shared" si="55"/>
        <v>0</v>
      </c>
      <c r="AK30" s="121">
        <f t="shared" si="56"/>
        <v>0</v>
      </c>
      <c r="AL30" s="122">
        <f t="shared" si="57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9"/>
        <v>0</v>
      </c>
      <c r="E31" s="116">
        <f t="shared" si="59"/>
        <v>0</v>
      </c>
      <c r="F31" s="116">
        <f t="shared" si="59"/>
        <v>0</v>
      </c>
      <c r="G31" s="116">
        <f t="shared" si="59"/>
        <v>0</v>
      </c>
      <c r="H31" s="116">
        <f t="shared" si="37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8"/>
        <v>0</v>
      </c>
      <c r="T31" s="119">
        <f t="shared" si="39"/>
        <v>0</v>
      </c>
      <c r="U31" s="119">
        <f t="shared" si="40"/>
        <v>0</v>
      </c>
      <c r="V31" s="119">
        <f t="shared" si="41"/>
        <v>0</v>
      </c>
      <c r="W31" s="119">
        <f t="shared" si="42"/>
        <v>0</v>
      </c>
      <c r="X31" s="119">
        <f t="shared" si="43"/>
        <v>0</v>
      </c>
      <c r="Y31" s="119">
        <f t="shared" si="44"/>
        <v>0</v>
      </c>
      <c r="Z31" s="119">
        <f t="shared" si="45"/>
        <v>0</v>
      </c>
      <c r="AA31" s="119">
        <f t="shared" si="46"/>
        <v>0</v>
      </c>
      <c r="AB31" s="119">
        <f t="shared" si="47"/>
        <v>0</v>
      </c>
      <c r="AC31" s="117">
        <f t="shared" si="48"/>
        <v>0</v>
      </c>
      <c r="AD31" s="117">
        <f t="shared" si="49"/>
        <v>0</v>
      </c>
      <c r="AE31" s="117">
        <f t="shared" si="50"/>
        <v>0</v>
      </c>
      <c r="AF31" s="117">
        <f t="shared" si="51"/>
        <v>0</v>
      </c>
      <c r="AG31" s="117">
        <f t="shared" si="52"/>
        <v>0</v>
      </c>
      <c r="AH31" s="119">
        <f t="shared" si="53"/>
        <v>0</v>
      </c>
      <c r="AI31" s="119">
        <f t="shared" si="54"/>
        <v>0</v>
      </c>
      <c r="AJ31" s="120">
        <f t="shared" si="55"/>
        <v>0</v>
      </c>
      <c r="AK31" s="121">
        <f t="shared" si="56"/>
        <v>0</v>
      </c>
      <c r="AL31" s="122">
        <f t="shared" si="57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60"/>
        <v>0</v>
      </c>
      <c r="E32" s="116">
        <f t="shared" si="60"/>
        <v>0</v>
      </c>
      <c r="F32" s="116">
        <f t="shared" si="60"/>
        <v>0</v>
      </c>
      <c r="G32" s="116">
        <f t="shared" si="60"/>
        <v>0</v>
      </c>
      <c r="H32" s="116">
        <f t="shared" si="37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8"/>
        <v>0</v>
      </c>
      <c r="T32" s="119">
        <f t="shared" si="39"/>
        <v>0</v>
      </c>
      <c r="U32" s="119">
        <f t="shared" si="40"/>
        <v>0</v>
      </c>
      <c r="V32" s="119">
        <f t="shared" si="41"/>
        <v>0</v>
      </c>
      <c r="W32" s="119">
        <f t="shared" si="42"/>
        <v>0</v>
      </c>
      <c r="X32" s="119">
        <f t="shared" si="43"/>
        <v>0</v>
      </c>
      <c r="Y32" s="119">
        <f t="shared" si="44"/>
        <v>0</v>
      </c>
      <c r="Z32" s="119">
        <f t="shared" si="45"/>
        <v>0</v>
      </c>
      <c r="AA32" s="119">
        <f t="shared" si="46"/>
        <v>0</v>
      </c>
      <c r="AB32" s="119">
        <f t="shared" si="47"/>
        <v>0</v>
      </c>
      <c r="AC32" s="117">
        <f t="shared" si="48"/>
        <v>0</v>
      </c>
      <c r="AD32" s="117">
        <f t="shared" si="49"/>
        <v>0</v>
      </c>
      <c r="AE32" s="117">
        <f t="shared" si="50"/>
        <v>0</v>
      </c>
      <c r="AF32" s="117">
        <f t="shared" si="51"/>
        <v>0</v>
      </c>
      <c r="AG32" s="117">
        <f t="shared" si="52"/>
        <v>0</v>
      </c>
      <c r="AH32" s="119">
        <f t="shared" si="53"/>
        <v>0</v>
      </c>
      <c r="AI32" s="119">
        <f t="shared" si="54"/>
        <v>0</v>
      </c>
      <c r="AJ32" s="120">
        <f t="shared" si="55"/>
        <v>0</v>
      </c>
      <c r="AK32" s="121">
        <f t="shared" si="56"/>
        <v>0</v>
      </c>
      <c r="AL32" s="122">
        <f t="shared" si="57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1"/>
        <v>0</v>
      </c>
      <c r="E33" s="116">
        <f t="shared" si="61"/>
        <v>0</v>
      </c>
      <c r="F33" s="116">
        <f t="shared" si="61"/>
        <v>0</v>
      </c>
      <c r="G33" s="116">
        <f t="shared" si="61"/>
        <v>0</v>
      </c>
      <c r="H33" s="116">
        <f t="shared" si="37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8"/>
        <v>0</v>
      </c>
      <c r="T33" s="119">
        <f t="shared" si="39"/>
        <v>0</v>
      </c>
      <c r="U33" s="119">
        <f t="shared" si="40"/>
        <v>0</v>
      </c>
      <c r="V33" s="119">
        <f t="shared" si="41"/>
        <v>0</v>
      </c>
      <c r="W33" s="119">
        <f t="shared" si="42"/>
        <v>0</v>
      </c>
      <c r="X33" s="119">
        <f t="shared" si="43"/>
        <v>0</v>
      </c>
      <c r="Y33" s="119">
        <f t="shared" si="44"/>
        <v>0</v>
      </c>
      <c r="Z33" s="119">
        <f t="shared" si="45"/>
        <v>0</v>
      </c>
      <c r="AA33" s="119">
        <f t="shared" si="46"/>
        <v>0</v>
      </c>
      <c r="AB33" s="119">
        <f t="shared" si="47"/>
        <v>0</v>
      </c>
      <c r="AC33" s="117">
        <f t="shared" si="48"/>
        <v>0</v>
      </c>
      <c r="AD33" s="117">
        <f t="shared" si="49"/>
        <v>0</v>
      </c>
      <c r="AE33" s="117">
        <f t="shared" si="50"/>
        <v>0</v>
      </c>
      <c r="AF33" s="117">
        <f t="shared" si="51"/>
        <v>0</v>
      </c>
      <c r="AG33" s="117">
        <f t="shared" si="52"/>
        <v>0</v>
      </c>
      <c r="AH33" s="119">
        <f t="shared" si="53"/>
        <v>0</v>
      </c>
      <c r="AI33" s="119">
        <f t="shared" si="54"/>
        <v>0</v>
      </c>
      <c r="AJ33" s="120">
        <f t="shared" si="55"/>
        <v>0</v>
      </c>
      <c r="AK33" s="121">
        <f t="shared" si="56"/>
        <v>0</v>
      </c>
      <c r="AL33" s="122">
        <f t="shared" si="57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2"/>
        <v>0</v>
      </c>
      <c r="E34" s="116">
        <f t="shared" si="62"/>
        <v>0</v>
      </c>
      <c r="F34" s="116">
        <f t="shared" si="62"/>
        <v>0</v>
      </c>
      <c r="G34" s="116">
        <f t="shared" si="62"/>
        <v>0</v>
      </c>
      <c r="H34" s="116">
        <f t="shared" si="37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8"/>
        <v>0</v>
      </c>
      <c r="T34" s="119">
        <f t="shared" si="39"/>
        <v>0</v>
      </c>
      <c r="U34" s="119">
        <f t="shared" si="40"/>
        <v>0</v>
      </c>
      <c r="V34" s="119">
        <f t="shared" si="41"/>
        <v>0</v>
      </c>
      <c r="W34" s="119">
        <f t="shared" si="42"/>
        <v>0</v>
      </c>
      <c r="X34" s="119">
        <f t="shared" si="43"/>
        <v>0</v>
      </c>
      <c r="Y34" s="119">
        <f t="shared" si="44"/>
        <v>0</v>
      </c>
      <c r="Z34" s="119">
        <f t="shared" si="45"/>
        <v>0</v>
      </c>
      <c r="AA34" s="119">
        <f t="shared" si="46"/>
        <v>0</v>
      </c>
      <c r="AB34" s="119">
        <f t="shared" si="47"/>
        <v>0</v>
      </c>
      <c r="AC34" s="117">
        <f t="shared" si="48"/>
        <v>0</v>
      </c>
      <c r="AD34" s="117">
        <f t="shared" si="49"/>
        <v>0</v>
      </c>
      <c r="AE34" s="117">
        <f t="shared" si="50"/>
        <v>0</v>
      </c>
      <c r="AF34" s="117">
        <f t="shared" si="51"/>
        <v>0</v>
      </c>
      <c r="AG34" s="117">
        <f t="shared" si="52"/>
        <v>0</v>
      </c>
      <c r="AH34" s="119">
        <f t="shared" si="53"/>
        <v>0</v>
      </c>
      <c r="AI34" s="119">
        <f t="shared" si="54"/>
        <v>0</v>
      </c>
      <c r="AJ34" s="120">
        <f t="shared" si="55"/>
        <v>0</v>
      </c>
      <c r="AK34" s="121">
        <f t="shared" si="56"/>
        <v>0</v>
      </c>
      <c r="AL34" s="122">
        <f t="shared" si="57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3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3"/>
        <v>0</v>
      </c>
      <c r="E37" s="125">
        <f t="shared" si="63"/>
        <v>0</v>
      </c>
      <c r="F37" s="125">
        <f t="shared" si="63"/>
        <v>0</v>
      </c>
      <c r="G37" s="125">
        <f t="shared" si="63"/>
        <v>0</v>
      </c>
      <c r="H37" s="125">
        <f t="shared" ref="H37:H38" si="65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6">($B$6^2*I37)^0.5</f>
        <v>0</v>
      </c>
      <c r="T37" s="128">
        <f t="shared" ref="T37:T38" si="67">($B$7^2*J37)^0.5</f>
        <v>0</v>
      </c>
      <c r="U37" s="128">
        <f t="shared" ref="U37:U38" si="68">($B$8^2*K37)^0.5</f>
        <v>0</v>
      </c>
      <c r="V37" s="128">
        <f t="shared" ref="V37:V38" si="69">($B$9^2*L37)^0.5</f>
        <v>0</v>
      </c>
      <c r="W37" s="128">
        <f t="shared" ref="W37:W38" si="70">($B$10^2*M37)^0.5</f>
        <v>0</v>
      </c>
      <c r="X37" s="128">
        <f t="shared" ref="X37:X38" si="71">N37*$B$6</f>
        <v>0</v>
      </c>
      <c r="Y37" s="128">
        <f t="shared" ref="Y37:Y38" si="72">O37*$B$7</f>
        <v>0</v>
      </c>
      <c r="Z37" s="128">
        <f t="shared" ref="Z37:Z38" si="73">P37*$B$8</f>
        <v>0</v>
      </c>
      <c r="AA37" s="128">
        <f t="shared" ref="AA37:AA38" si="74">Q37*$B$9</f>
        <v>0</v>
      </c>
      <c r="AB37" s="128">
        <f t="shared" ref="AB37:AB38" si="75">R37*$B$10</f>
        <v>0</v>
      </c>
      <c r="AC37" s="126">
        <f t="shared" ref="AC37:AC38" si="76">N37*$C$6</f>
        <v>0</v>
      </c>
      <c r="AD37" s="126">
        <f t="shared" ref="AD37:AD38" si="77">O37*$C$7</f>
        <v>0</v>
      </c>
      <c r="AE37" s="126">
        <f t="shared" ref="AE37:AE38" si="78">P37*$C$8</f>
        <v>0</v>
      </c>
      <c r="AF37" s="126">
        <f t="shared" ref="AF37:AF38" si="79">Q37*$C$9</f>
        <v>0</v>
      </c>
      <c r="AG37" s="126">
        <f t="shared" ref="AG37:AG38" si="80">R37*$C$10</f>
        <v>0</v>
      </c>
      <c r="AH37" s="128">
        <f t="shared" ref="AH37:AH38" si="81">(S37*S37+T37*T37+U37*U37+V37*V37+W37*W37)^0.5</f>
        <v>0</v>
      </c>
      <c r="AI37" s="128">
        <f t="shared" ref="AI37:AI38" si="82">AH37*$B$15</f>
        <v>0</v>
      </c>
      <c r="AJ37" s="129">
        <f t="shared" ref="AJ37:AJ38" si="83">SUM(X37:AB37)</f>
        <v>0</v>
      </c>
      <c r="AK37" s="130">
        <f t="shared" ref="AK37:AK38" si="84">IF(AI37=0,0,AI37/AJ37)</f>
        <v>0</v>
      </c>
      <c r="AL37" s="131">
        <f t="shared" ref="AL37:AL38" si="85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4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4"/>
        <v>0</v>
      </c>
      <c r="E38" s="133">
        <f t="shared" si="64"/>
        <v>0</v>
      </c>
      <c r="F38" s="133">
        <f t="shared" si="64"/>
        <v>0</v>
      </c>
      <c r="G38" s="133">
        <f t="shared" si="64"/>
        <v>0</v>
      </c>
      <c r="H38" s="133">
        <f t="shared" si="65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6"/>
        <v>0</v>
      </c>
      <c r="T38" s="136">
        <f t="shared" si="67"/>
        <v>0</v>
      </c>
      <c r="U38" s="136">
        <f t="shared" si="68"/>
        <v>0</v>
      </c>
      <c r="V38" s="136">
        <f t="shared" si="69"/>
        <v>0</v>
      </c>
      <c r="W38" s="136">
        <f t="shared" si="70"/>
        <v>0</v>
      </c>
      <c r="X38" s="136">
        <f t="shared" si="71"/>
        <v>0</v>
      </c>
      <c r="Y38" s="136">
        <f t="shared" si="72"/>
        <v>0</v>
      </c>
      <c r="Z38" s="136">
        <f t="shared" si="73"/>
        <v>0</v>
      </c>
      <c r="AA38" s="136">
        <f t="shared" si="74"/>
        <v>0</v>
      </c>
      <c r="AB38" s="136">
        <f t="shared" si="75"/>
        <v>0</v>
      </c>
      <c r="AC38" s="134">
        <f t="shared" si="76"/>
        <v>0</v>
      </c>
      <c r="AD38" s="134">
        <f t="shared" si="77"/>
        <v>0</v>
      </c>
      <c r="AE38" s="134">
        <f t="shared" si="78"/>
        <v>0</v>
      </c>
      <c r="AF38" s="134">
        <f t="shared" si="79"/>
        <v>0</v>
      </c>
      <c r="AG38" s="134">
        <f t="shared" si="80"/>
        <v>0</v>
      </c>
      <c r="AH38" s="136">
        <f t="shared" si="81"/>
        <v>0</v>
      </c>
      <c r="AI38" s="136">
        <f t="shared" si="82"/>
        <v>0</v>
      </c>
      <c r="AJ38" s="137">
        <f t="shared" si="83"/>
        <v>0</v>
      </c>
      <c r="AK38" s="138">
        <f t="shared" si="84"/>
        <v>0</v>
      </c>
      <c r="AL38" s="139">
        <f t="shared" si="85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6"/>
        <v>0</v>
      </c>
      <c r="E40" s="142">
        <f t="shared" si="86"/>
        <v>0</v>
      </c>
      <c r="F40" s="142">
        <f t="shared" si="86"/>
        <v>0</v>
      </c>
      <c r="G40" s="142">
        <f t="shared" si="86"/>
        <v>0</v>
      </c>
      <c r="H40" s="142">
        <f t="shared" ref="H40:H41" si="88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9">($B$6^2*I40)^0.5</f>
        <v>0</v>
      </c>
      <c r="T40" s="142">
        <f t="shared" ref="T40:T41" si="90">($B$7^2*J40)^0.5</f>
        <v>0</v>
      </c>
      <c r="U40" s="142">
        <f t="shared" ref="U40:U41" si="91">($B$8^2*K40)^0.5</f>
        <v>0</v>
      </c>
      <c r="V40" s="142">
        <f t="shared" ref="V40:V41" si="92">($B$9^2*L40)^0.5</f>
        <v>0</v>
      </c>
      <c r="W40" s="142">
        <f t="shared" ref="W40:W41" si="93">($B$10^2*M40)^0.5</f>
        <v>0</v>
      </c>
      <c r="X40" s="142">
        <f t="shared" ref="X40:X41" si="94">N40*$B$6</f>
        <v>0</v>
      </c>
      <c r="Y40" s="142">
        <f t="shared" ref="Y40:Y41" si="95">O40*$B$7</f>
        <v>0</v>
      </c>
      <c r="Z40" s="142">
        <f t="shared" ref="Z40:Z41" si="96">P40*$B$8</f>
        <v>0</v>
      </c>
      <c r="AA40" s="142">
        <f t="shared" ref="AA40:AA41" si="97">Q40*$B$9</f>
        <v>0</v>
      </c>
      <c r="AB40" s="142">
        <f t="shared" ref="AB40:AB41" si="98">R40*$B$10</f>
        <v>0</v>
      </c>
      <c r="AC40" s="143">
        <f t="shared" ref="AC40:AC41" si="99">N40*$C$6</f>
        <v>0</v>
      </c>
      <c r="AD40" s="143">
        <f t="shared" ref="AD40:AD41" si="100">O40*$C$7</f>
        <v>0</v>
      </c>
      <c r="AE40" s="143">
        <f t="shared" ref="AE40:AE41" si="101">P40*$C$8</f>
        <v>0</v>
      </c>
      <c r="AF40" s="143">
        <f t="shared" ref="AF40:AF41" si="102">Q40*$C$9</f>
        <v>0</v>
      </c>
      <c r="AG40" s="143">
        <f t="shared" ref="AG40:AG41" si="103">R40*$C$10</f>
        <v>0</v>
      </c>
      <c r="AH40" s="142">
        <f t="shared" ref="AH40:AH41" si="104">(S40*S40+T40*T40+U40*U40+V40*V40+W40*W40)^0.5</f>
        <v>0</v>
      </c>
      <c r="AI40" s="142">
        <f t="shared" ref="AI40:AI41" si="105">AH40*$B$15</f>
        <v>0</v>
      </c>
      <c r="AJ40" s="145">
        <f t="shared" ref="AJ40:AJ41" si="106">SUM(X40:AB40)</f>
        <v>0</v>
      </c>
      <c r="AK40" s="146">
        <f t="shared" ref="AK40:AK41" si="107">IF(AI40=0,0,AI40/AJ40)</f>
        <v>0</v>
      </c>
      <c r="AL40" s="147">
        <f t="shared" ref="AL40:AL41" si="108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7"/>
        <v>0</v>
      </c>
      <c r="E41" s="149">
        <f t="shared" si="87"/>
        <v>0</v>
      </c>
      <c r="F41" s="149">
        <f t="shared" si="87"/>
        <v>0</v>
      </c>
      <c r="G41" s="149">
        <f t="shared" si="87"/>
        <v>0</v>
      </c>
      <c r="H41" s="149">
        <f t="shared" si="88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9"/>
        <v>0</v>
      </c>
      <c r="T41" s="149">
        <f t="shared" si="90"/>
        <v>0</v>
      </c>
      <c r="U41" s="149">
        <f t="shared" si="91"/>
        <v>0</v>
      </c>
      <c r="V41" s="149">
        <f t="shared" si="92"/>
        <v>0</v>
      </c>
      <c r="W41" s="149">
        <f t="shared" si="93"/>
        <v>0</v>
      </c>
      <c r="X41" s="149">
        <f t="shared" si="94"/>
        <v>0</v>
      </c>
      <c r="Y41" s="149">
        <f t="shared" si="95"/>
        <v>0</v>
      </c>
      <c r="Z41" s="149">
        <f t="shared" si="96"/>
        <v>0</v>
      </c>
      <c r="AA41" s="149">
        <f t="shared" si="97"/>
        <v>0</v>
      </c>
      <c r="AB41" s="149">
        <f t="shared" si="98"/>
        <v>0</v>
      </c>
      <c r="AC41" s="150">
        <f t="shared" si="99"/>
        <v>0</v>
      </c>
      <c r="AD41" s="150">
        <f t="shared" si="100"/>
        <v>0</v>
      </c>
      <c r="AE41" s="150">
        <f t="shared" si="101"/>
        <v>0</v>
      </c>
      <c r="AF41" s="150">
        <f t="shared" si="102"/>
        <v>0</v>
      </c>
      <c r="AG41" s="150">
        <f t="shared" si="103"/>
        <v>0</v>
      </c>
      <c r="AH41" s="149">
        <f t="shared" si="104"/>
        <v>0</v>
      </c>
      <c r="AI41" s="149">
        <f t="shared" si="105"/>
        <v>0</v>
      </c>
      <c r="AJ41" s="152">
        <f t="shared" si="106"/>
        <v>0</v>
      </c>
      <c r="AK41" s="153">
        <f t="shared" si="107"/>
        <v>0</v>
      </c>
      <c r="AL41" s="154">
        <f t="shared" si="108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  <c r="AI43" s="59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1" priority="5">
      <formula>H42&lt;&gt;D11</formula>
    </cfRule>
  </conditionalFormatting>
  <conditionalFormatting sqref="AJ42">
    <cfRule type="expression" dxfId="1" priority="6">
      <formula>AJ42&lt;&gt;B2</formula>
    </cfRule>
  </conditionalFormatting>
  <conditionalFormatting sqref="H27">
    <cfRule type="notContainsBlanks" dxfId="0" priority="7">
      <formula>LEN(TRIM(H27))&gt;0</formula>
    </cfRule>
  </conditionalFormatting>
  <conditionalFormatting sqref="AJ35">
    <cfRule type="expression" dxfId="0" priority="8">
      <formula>AJ35=AJ38</formula>
    </cfRule>
  </conditionalFormatting>
  <conditionalFormatting sqref="AJ35">
    <cfRule type="expression" dxfId="2" priority="9">
      <formula>"AJ35&lt;&gt;AJ38"</formula>
    </cfRule>
  </conditionalFormatting>
  <conditionalFormatting sqref="AJ27">
    <cfRule type="expression" dxfId="0" priority="10">
      <formula>"AJ27=AJ37"</formula>
    </cfRule>
  </conditionalFormatting>
  <conditionalFormatting sqref="AJ27">
    <cfRule type="expression" dxfId="2" priority="11">
      <formula>AJ27&lt;&gt;AJ37</formula>
    </cfRule>
  </conditionalFormatting>
  <conditionalFormatting sqref="AJ42">
    <cfRule type="expression" dxfId="0" priority="12">
      <formula>AJ42=B2</formula>
    </cfRule>
  </conditionalFormatting>
  <conditionalFormatting sqref="AJ42">
    <cfRule type="expression" dxfId="2" priority="13">
      <formula>AJ42&lt;&gt;B2</formula>
    </cfRule>
  </conditionalFormatting>
  <conditionalFormatting sqref="H42">
    <cfRule type="expression" dxfId="0" priority="14">
      <formula>H42=D11</formula>
    </cfRule>
  </conditionalFormatting>
  <conditionalFormatting sqref="H42">
    <cfRule type="expression" dxfId="2" priority="15">
      <formula>H42&lt;&gt;D11</formula>
    </cfRule>
  </conditionalFormatting>
  <dataValidations>
    <dataValidation type="list" allowBlank="1" showErrorMessage="1" sqref="A1">
      <formula1>'Prefecture Summary 2015-2023'!$A$2:$A$18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207" t="s">
        <v>528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5269759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 t="str">
        <f t="shared" ref="J4:J10" si="1">AJ20</f>
        <v>#N/A</v>
      </c>
      <c r="K4" s="63">
        <v>2016.0</v>
      </c>
      <c r="L4" s="68" t="str">
        <f t="shared" ref="L4:L10" si="2">AJ28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 t="str">
        <f t="shared" si="1"/>
        <v>#N/A</v>
      </c>
      <c r="K5" s="63">
        <v>2017.0</v>
      </c>
      <c r="L5" s="68" t="str">
        <f t="shared" si="2"/>
        <v>#N/A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09">
        <f>VLOOKUP($A$1,'Prefecture Summary 2015-2023'!$A$1:$G$18,(A6+2),FALSE)</f>
        <v>4340109</v>
      </c>
      <c r="C6" s="73">
        <f t="shared" ref="C6:C10" si="3">B6/$B$11</f>
        <v>0.823587758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 t="str">
        <f t="shared" si="1"/>
        <v>#N/A</v>
      </c>
      <c r="K6" s="63">
        <v>2018.0</v>
      </c>
      <c r="L6" s="68" t="str">
        <f t="shared" si="2"/>
        <v>#N/A</v>
      </c>
      <c r="AC6" s="56"/>
      <c r="AD6" s="56"/>
      <c r="AE6" s="56"/>
      <c r="AF6" s="56"/>
      <c r="AG6" s="56"/>
    </row>
    <row r="7" ht="15.75" customHeight="1">
      <c r="A7" s="71">
        <v>2.0</v>
      </c>
      <c r="B7" s="209">
        <f>VLOOKUP($A$1,'Prefecture Summary 2015-2023'!$A$1:$G$18,(A7+2),FALSE)</f>
        <v>349189</v>
      </c>
      <c r="C7" s="73">
        <f t="shared" si="3"/>
        <v>0.06626280253</v>
      </c>
      <c r="D7" s="74">
        <f t="shared" si="4"/>
        <v>0</v>
      </c>
      <c r="E7" s="75"/>
      <c r="F7" s="76"/>
      <c r="G7" s="77"/>
      <c r="I7" s="63">
        <v>2019.0</v>
      </c>
      <c r="J7" s="68" t="str">
        <f t="shared" si="1"/>
        <v>#N/A</v>
      </c>
      <c r="K7" s="63">
        <v>2019.0</v>
      </c>
      <c r="L7" s="68" t="str">
        <f t="shared" si="2"/>
        <v>#N/A</v>
      </c>
      <c r="AC7" s="56"/>
      <c r="AD7" s="56"/>
      <c r="AE7" s="56"/>
      <c r="AF7" s="56"/>
      <c r="AG7" s="56"/>
    </row>
    <row r="8" ht="15.75" customHeight="1">
      <c r="A8" s="71">
        <v>3.0</v>
      </c>
      <c r="B8" s="209">
        <f>VLOOKUP($A$1,'Prefecture Summary 2015-2023'!$A$1:$G$18,(A8+2),FALSE)</f>
        <v>295449</v>
      </c>
      <c r="C8" s="73">
        <f t="shared" si="3"/>
        <v>0.05606499273</v>
      </c>
      <c r="D8" s="74">
        <f t="shared" si="4"/>
        <v>0</v>
      </c>
      <c r="E8" s="75"/>
      <c r="F8" s="76"/>
      <c r="G8" s="77"/>
      <c r="I8" s="63">
        <v>2020.0</v>
      </c>
      <c r="J8" s="68" t="str">
        <f t="shared" si="1"/>
        <v>#N/A</v>
      </c>
      <c r="K8" s="63">
        <v>2020.0</v>
      </c>
      <c r="L8" s="68" t="str">
        <f t="shared" si="2"/>
        <v>#N/A</v>
      </c>
      <c r="AC8" s="56"/>
      <c r="AD8" s="56"/>
      <c r="AE8" s="56"/>
      <c r="AF8" s="56"/>
      <c r="AG8" s="56"/>
    </row>
    <row r="9" ht="15.75" customHeight="1">
      <c r="A9" s="71">
        <v>4.0</v>
      </c>
      <c r="B9" s="209">
        <f>VLOOKUP($A$1,'Prefecture Summary 2015-2023'!$A$1:$G$18,(A9+2),FALSE)</f>
        <v>184467</v>
      </c>
      <c r="C9" s="73">
        <f t="shared" si="3"/>
        <v>0.0350048266</v>
      </c>
      <c r="D9" s="74">
        <f t="shared" si="4"/>
        <v>0</v>
      </c>
      <c r="E9" s="75"/>
      <c r="F9" s="76"/>
      <c r="G9" s="77"/>
      <c r="I9" s="63">
        <v>2021.0</v>
      </c>
      <c r="J9" s="68" t="str">
        <f t="shared" si="1"/>
        <v>#N/A</v>
      </c>
      <c r="K9" s="63">
        <v>2021.0</v>
      </c>
      <c r="L9" s="68" t="str">
        <f t="shared" si="2"/>
        <v>#N/A</v>
      </c>
      <c r="AC9" s="56"/>
      <c r="AD9" s="56"/>
      <c r="AE9" s="56"/>
      <c r="AF9" s="56"/>
      <c r="AG9" s="56"/>
    </row>
    <row r="10" ht="15.75" customHeight="1">
      <c r="A10" s="71">
        <v>5.0</v>
      </c>
      <c r="B10" s="209">
        <f>VLOOKUP($A$1,'Prefecture Summary 2015-2023'!$A$1:$G$18,(A10+2),FALSE)</f>
        <v>100545</v>
      </c>
      <c r="C10" s="73">
        <f t="shared" si="3"/>
        <v>0.01907962015</v>
      </c>
      <c r="D10" s="74">
        <f t="shared" si="4"/>
        <v>0</v>
      </c>
      <c r="E10" s="75"/>
      <c r="F10" s="76"/>
      <c r="G10" s="77"/>
      <c r="I10" s="63">
        <v>2022.0</v>
      </c>
      <c r="J10" s="68" t="str">
        <f t="shared" si="1"/>
        <v>#N/A</v>
      </c>
      <c r="K10" s="63">
        <v>2022.0</v>
      </c>
      <c r="L10" s="68" t="str">
        <f t="shared" si="2"/>
        <v>#N/A</v>
      </c>
      <c r="AC10" s="56"/>
      <c r="AD10" s="56"/>
      <c r="AE10" s="56"/>
      <c r="AF10" s="56"/>
      <c r="AG10" s="56"/>
    </row>
    <row r="11" ht="15.75" customHeight="1">
      <c r="A11" s="60"/>
      <c r="B11" s="210">
        <f t="shared" ref="B11:D11" si="5">SUM(B6:B10)</f>
        <v>5269759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211" t="s">
        <v>525</v>
      </c>
      <c r="B12" s="164" t="str">
        <f t="shared" ref="B12:B13" si="6">IFERROR("$" &amp; SUBSTITUTE(ADDRESS(1, MATCH(A12, INDIRECT("'" &amp; $B$17 &amp; "'!1:1"), 0), 4), "1", ""), "Not Found")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211" t="s">
        <v>469</v>
      </c>
      <c r="B13" s="83" t="str">
        <f t="shared" si="6"/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7"/>
        <v>0</v>
      </c>
      <c r="E20" s="103">
        <f t="shared" si="7"/>
        <v>0</v>
      </c>
      <c r="F20" s="103">
        <f t="shared" si="7"/>
        <v>0</v>
      </c>
      <c r="G20" s="103">
        <f t="shared" si="7"/>
        <v>0</v>
      </c>
      <c r="H20" s="103">
        <f t="shared" ref="H20:H26" si="9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 t="str">
        <f>IFERROR(__xludf.DUMMYFUNCTION("AVERAGE(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0" s="105" t="str">
        <f>IFERROR(__xludf.DUMMYFUNCTION("AVERAGE(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0" s="105" t="str">
        <f>IFERROR(__xludf.DUMMYFUNCTION("AVERAGE(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0" s="105" t="str">
        <f>IFERROR(__xludf.DUMMYFUNCTION("AVERAGE(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0" s="105" t="str">
        <f>IFERROR(__xludf.DUMMYFUNCTION("AVERAGE(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0" s="106">
        <f t="shared" ref="S20:S26" si="10">($B$6^2*I20)^0.5</f>
        <v>0</v>
      </c>
      <c r="T20" s="106">
        <f t="shared" ref="T20:T26" si="11">($B$7^2*J20)^0.5</f>
        <v>0</v>
      </c>
      <c r="U20" s="106">
        <f t="shared" ref="U20:U26" si="12">($B$8^2*K20)^0.5</f>
        <v>0</v>
      </c>
      <c r="V20" s="106">
        <f t="shared" ref="V20:V26" si="13">($B$9^2*L20)^0.5</f>
        <v>0</v>
      </c>
      <c r="W20" s="106">
        <f t="shared" ref="W20:W26" si="14">($B$10^2*M20)^0.5</f>
        <v>0</v>
      </c>
      <c r="X20" s="106" t="str">
        <f t="shared" ref="X20:X26" si="15">N20*$B$6</f>
        <v>#N/A</v>
      </c>
      <c r="Y20" s="106" t="str">
        <f t="shared" ref="Y20:Y26" si="16">O20*$B$7</f>
        <v>#N/A</v>
      </c>
      <c r="Z20" s="106" t="str">
        <f t="shared" ref="Z20:Z26" si="17">P20*$B$8</f>
        <v>#N/A</v>
      </c>
      <c r="AA20" s="106" t="str">
        <f t="shared" ref="AA20:AA26" si="18">Q20*$B$9</f>
        <v>#N/A</v>
      </c>
      <c r="AB20" s="106" t="str">
        <f t="shared" ref="AB20:AB26" si="19">R20*$B$10</f>
        <v>#N/A</v>
      </c>
      <c r="AC20" s="107" t="str">
        <f t="shared" ref="AC20:AC26" si="20">N20*$C$6</f>
        <v>#N/A</v>
      </c>
      <c r="AD20" s="107" t="str">
        <f t="shared" ref="AD20:AD26" si="21">O20*$C$7</f>
        <v>#N/A</v>
      </c>
      <c r="AE20" s="107" t="str">
        <f t="shared" ref="AE20:AE26" si="22">P20*$C$8</f>
        <v>#N/A</v>
      </c>
      <c r="AF20" s="107" t="str">
        <f t="shared" ref="AF20:AF26" si="23">Q20*$C$9</f>
        <v>#N/A</v>
      </c>
      <c r="AG20" s="107" t="str">
        <f t="shared" ref="AG20:AG26" si="24">R20*$C$10</f>
        <v>#N/A</v>
      </c>
      <c r="AH20" s="106">
        <f t="shared" ref="AH20:AH26" si="25">(S20*S20+T20*T20+U20*U20+V20*V20+W20*W20)^0.5</f>
        <v>0</v>
      </c>
      <c r="AI20" s="106">
        <f t="shared" ref="AI20:AI26" si="26">AH20*$B$15</f>
        <v>0</v>
      </c>
      <c r="AJ20" s="108" t="str">
        <f t="shared" ref="AJ20:AJ26" si="27">SUM(X20:AB20)</f>
        <v>#N/A</v>
      </c>
      <c r="AK20" s="109">
        <f t="shared" ref="AK20:AK26" si="28">IF(AI20=0,0,AI20/AJ20)</f>
        <v>0</v>
      </c>
      <c r="AL20" s="110" t="str">
        <f t="shared" ref="AL20:AL26" si="29">AJ20/$B$2</f>
        <v>#N/A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 t="str">
        <f>IFERROR(__xludf.DUMMYFUNCTION("AVERAGE(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1" s="105" t="str">
        <f>IFERROR(__xludf.DUMMYFUNCTION("AVERAGE(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1" s="105" t="str">
        <f>IFERROR(__xludf.DUMMYFUNCTION("AVERAGE(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1" s="105" t="str">
        <f>IFERROR(__xludf.DUMMYFUNCTION("AVERAGE(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1" s="105" t="str">
        <f>IFERROR(__xludf.DUMMYFUNCTION("AVERAGE(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1" s="106">
        <f t="shared" si="10"/>
        <v>0</v>
      </c>
      <c r="T21" s="106">
        <f t="shared" si="11"/>
        <v>0</v>
      </c>
      <c r="U21" s="106">
        <f t="shared" si="12"/>
        <v>0</v>
      </c>
      <c r="V21" s="106">
        <f t="shared" si="13"/>
        <v>0</v>
      </c>
      <c r="W21" s="106">
        <f t="shared" si="14"/>
        <v>0</v>
      </c>
      <c r="X21" s="106" t="str">
        <f t="shared" si="15"/>
        <v>#N/A</v>
      </c>
      <c r="Y21" s="106" t="str">
        <f t="shared" si="16"/>
        <v>#N/A</v>
      </c>
      <c r="Z21" s="106" t="str">
        <f t="shared" si="17"/>
        <v>#N/A</v>
      </c>
      <c r="AA21" s="106" t="str">
        <f t="shared" si="18"/>
        <v>#N/A</v>
      </c>
      <c r="AB21" s="106" t="str">
        <f t="shared" si="19"/>
        <v>#N/A</v>
      </c>
      <c r="AC21" s="107" t="str">
        <f t="shared" si="20"/>
        <v>#N/A</v>
      </c>
      <c r="AD21" s="107" t="str">
        <f t="shared" si="21"/>
        <v>#N/A</v>
      </c>
      <c r="AE21" s="107" t="str">
        <f t="shared" si="22"/>
        <v>#N/A</v>
      </c>
      <c r="AF21" s="107" t="str">
        <f t="shared" si="23"/>
        <v>#N/A</v>
      </c>
      <c r="AG21" s="107" t="str">
        <f t="shared" si="24"/>
        <v>#N/A</v>
      </c>
      <c r="AH21" s="106">
        <f t="shared" si="25"/>
        <v>0</v>
      </c>
      <c r="AI21" s="106">
        <f t="shared" si="26"/>
        <v>0</v>
      </c>
      <c r="AJ21" s="108" t="str">
        <f t="shared" si="27"/>
        <v>#N/A</v>
      </c>
      <c r="AK21" s="109">
        <f t="shared" si="28"/>
        <v>0</v>
      </c>
      <c r="AL21" s="110" t="str">
        <f t="shared" si="29"/>
        <v>#N/A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0"/>
        <v>0</v>
      </c>
      <c r="E22" s="103">
        <f t="shared" si="30"/>
        <v>0</v>
      </c>
      <c r="F22" s="103">
        <f t="shared" si="30"/>
        <v>0</v>
      </c>
      <c r="G22" s="103">
        <f t="shared" si="30"/>
        <v>0</v>
      </c>
      <c r="H22" s="103">
        <f t="shared" si="9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 t="str">
        <f>IFERROR(__xludf.DUMMYFUNCTION("AVERAGE(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2" s="105" t="str">
        <f>IFERROR(__xludf.DUMMYFUNCTION("AVERAGE(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2" s="105" t="str">
        <f>IFERROR(__xludf.DUMMYFUNCTION("AVERAGE(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2" s="105" t="str">
        <f>IFERROR(__xludf.DUMMYFUNCTION("AVERAGE(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2" s="105" t="str">
        <f>IFERROR(__xludf.DUMMYFUNCTION("AVERAGE(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2" s="106">
        <f t="shared" si="10"/>
        <v>0</v>
      </c>
      <c r="T22" s="106">
        <f t="shared" si="11"/>
        <v>0</v>
      </c>
      <c r="U22" s="106">
        <f t="shared" si="12"/>
        <v>0</v>
      </c>
      <c r="V22" s="106">
        <f t="shared" si="13"/>
        <v>0</v>
      </c>
      <c r="W22" s="106">
        <f t="shared" si="14"/>
        <v>0</v>
      </c>
      <c r="X22" s="106" t="str">
        <f t="shared" si="15"/>
        <v>#N/A</v>
      </c>
      <c r="Y22" s="106" t="str">
        <f t="shared" si="16"/>
        <v>#N/A</v>
      </c>
      <c r="Z22" s="106" t="str">
        <f t="shared" si="17"/>
        <v>#N/A</v>
      </c>
      <c r="AA22" s="106" t="str">
        <f t="shared" si="18"/>
        <v>#N/A</v>
      </c>
      <c r="AB22" s="106" t="str">
        <f t="shared" si="19"/>
        <v>#N/A</v>
      </c>
      <c r="AC22" s="107" t="str">
        <f t="shared" si="20"/>
        <v>#N/A</v>
      </c>
      <c r="AD22" s="107" t="str">
        <f t="shared" si="21"/>
        <v>#N/A</v>
      </c>
      <c r="AE22" s="107" t="str">
        <f t="shared" si="22"/>
        <v>#N/A</v>
      </c>
      <c r="AF22" s="107" t="str">
        <f t="shared" si="23"/>
        <v>#N/A</v>
      </c>
      <c r="AG22" s="107" t="str">
        <f t="shared" si="24"/>
        <v>#N/A</v>
      </c>
      <c r="AH22" s="106">
        <f t="shared" si="25"/>
        <v>0</v>
      </c>
      <c r="AI22" s="106">
        <f t="shared" si="26"/>
        <v>0</v>
      </c>
      <c r="AJ22" s="108" t="str">
        <f t="shared" si="27"/>
        <v>#N/A</v>
      </c>
      <c r="AK22" s="109">
        <f t="shared" si="28"/>
        <v>0</v>
      </c>
      <c r="AL22" s="110" t="str">
        <f t="shared" si="29"/>
        <v>#N/A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1"/>
        <v>0</v>
      </c>
      <c r="E23" s="103">
        <f t="shared" si="31"/>
        <v>0</v>
      </c>
      <c r="F23" s="103">
        <f t="shared" si="31"/>
        <v>0</v>
      </c>
      <c r="G23" s="103">
        <f t="shared" si="31"/>
        <v>0</v>
      </c>
      <c r="H23" s="103">
        <f t="shared" si="9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 t="str">
        <f>IFERROR(__xludf.DUMMYFUNCTION("AVERAGE(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3" s="105" t="str">
        <f>IFERROR(__xludf.DUMMYFUNCTION("AVERAGE(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3" s="105" t="str">
        <f>IFERROR(__xludf.DUMMYFUNCTION("AVERAGE(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3" s="105" t="str">
        <f>IFERROR(__xludf.DUMMYFUNCTION("AVERAGE(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3" s="105" t="str">
        <f>IFERROR(__xludf.DUMMYFUNCTION("AVERAGE(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3" s="106">
        <f t="shared" si="10"/>
        <v>0</v>
      </c>
      <c r="T23" s="106">
        <f t="shared" si="11"/>
        <v>0</v>
      </c>
      <c r="U23" s="106">
        <f t="shared" si="12"/>
        <v>0</v>
      </c>
      <c r="V23" s="106">
        <f t="shared" si="13"/>
        <v>0</v>
      </c>
      <c r="W23" s="106">
        <f t="shared" si="14"/>
        <v>0</v>
      </c>
      <c r="X23" s="106" t="str">
        <f t="shared" si="15"/>
        <v>#N/A</v>
      </c>
      <c r="Y23" s="106" t="str">
        <f t="shared" si="16"/>
        <v>#N/A</v>
      </c>
      <c r="Z23" s="106" t="str">
        <f t="shared" si="17"/>
        <v>#N/A</v>
      </c>
      <c r="AA23" s="106" t="str">
        <f t="shared" si="18"/>
        <v>#N/A</v>
      </c>
      <c r="AB23" s="106" t="str">
        <f t="shared" si="19"/>
        <v>#N/A</v>
      </c>
      <c r="AC23" s="107" t="str">
        <f t="shared" si="20"/>
        <v>#N/A</v>
      </c>
      <c r="AD23" s="107" t="str">
        <f t="shared" si="21"/>
        <v>#N/A</v>
      </c>
      <c r="AE23" s="107" t="str">
        <f t="shared" si="22"/>
        <v>#N/A</v>
      </c>
      <c r="AF23" s="107" t="str">
        <f t="shared" si="23"/>
        <v>#N/A</v>
      </c>
      <c r="AG23" s="107" t="str">
        <f t="shared" si="24"/>
        <v>#N/A</v>
      </c>
      <c r="AH23" s="106">
        <f t="shared" si="25"/>
        <v>0</v>
      </c>
      <c r="AI23" s="106">
        <f t="shared" si="26"/>
        <v>0</v>
      </c>
      <c r="AJ23" s="108" t="str">
        <f t="shared" si="27"/>
        <v>#N/A</v>
      </c>
      <c r="AK23" s="109">
        <f t="shared" si="28"/>
        <v>0</v>
      </c>
      <c r="AL23" s="110" t="str">
        <f t="shared" si="29"/>
        <v>#N/A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2"/>
        <v>0</v>
      </c>
      <c r="E24" s="103">
        <f t="shared" si="32"/>
        <v>0</v>
      </c>
      <c r="F24" s="103">
        <f t="shared" si="32"/>
        <v>0</v>
      </c>
      <c r="G24" s="103">
        <f t="shared" si="32"/>
        <v>0</v>
      </c>
      <c r="H24" s="103">
        <f t="shared" si="9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 t="str">
        <f>IFERROR(__xludf.DUMMYFUNCTION("AVERAGE(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4" s="105" t="str">
        <f>IFERROR(__xludf.DUMMYFUNCTION("AVERAGE(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4" s="105" t="str">
        <f>IFERROR(__xludf.DUMMYFUNCTION("AVERAGE(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4" s="105" t="str">
        <f>IFERROR(__xludf.DUMMYFUNCTION("AVERAGE(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4" s="105" t="str">
        <f>IFERROR(__xludf.DUMMYFUNCTION("AVERAGE(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4" s="106">
        <f t="shared" si="10"/>
        <v>0</v>
      </c>
      <c r="T24" s="106">
        <f t="shared" si="11"/>
        <v>0</v>
      </c>
      <c r="U24" s="106">
        <f t="shared" si="12"/>
        <v>0</v>
      </c>
      <c r="V24" s="106">
        <f t="shared" si="13"/>
        <v>0</v>
      </c>
      <c r="W24" s="106">
        <f t="shared" si="14"/>
        <v>0</v>
      </c>
      <c r="X24" s="106" t="str">
        <f t="shared" si="15"/>
        <v>#N/A</v>
      </c>
      <c r="Y24" s="106" t="str">
        <f t="shared" si="16"/>
        <v>#N/A</v>
      </c>
      <c r="Z24" s="106" t="str">
        <f t="shared" si="17"/>
        <v>#N/A</v>
      </c>
      <c r="AA24" s="106" t="str">
        <f t="shared" si="18"/>
        <v>#N/A</v>
      </c>
      <c r="AB24" s="106" t="str">
        <f t="shared" si="19"/>
        <v>#N/A</v>
      </c>
      <c r="AC24" s="107" t="str">
        <f t="shared" si="20"/>
        <v>#N/A</v>
      </c>
      <c r="AD24" s="107" t="str">
        <f t="shared" si="21"/>
        <v>#N/A</v>
      </c>
      <c r="AE24" s="107" t="str">
        <f t="shared" si="22"/>
        <v>#N/A</v>
      </c>
      <c r="AF24" s="107" t="str">
        <f t="shared" si="23"/>
        <v>#N/A</v>
      </c>
      <c r="AG24" s="107" t="str">
        <f t="shared" si="24"/>
        <v>#N/A</v>
      </c>
      <c r="AH24" s="106">
        <f t="shared" si="25"/>
        <v>0</v>
      </c>
      <c r="AI24" s="106">
        <f t="shared" si="26"/>
        <v>0</v>
      </c>
      <c r="AJ24" s="108" t="str">
        <f t="shared" si="27"/>
        <v>#N/A</v>
      </c>
      <c r="AK24" s="109">
        <f t="shared" si="28"/>
        <v>0</v>
      </c>
      <c r="AL24" s="110" t="str">
        <f t="shared" si="29"/>
        <v>#N/A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3"/>
        <v>0</v>
      </c>
      <c r="E25" s="103">
        <f t="shared" si="33"/>
        <v>0</v>
      </c>
      <c r="F25" s="103">
        <f t="shared" si="33"/>
        <v>0</v>
      </c>
      <c r="G25" s="103">
        <f t="shared" si="33"/>
        <v>0</v>
      </c>
      <c r="H25" s="103">
        <f t="shared" si="9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 t="str">
        <f>IFERROR(__xludf.DUMMYFUNCTION("AVERAGE(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5" s="105" t="str">
        <f>IFERROR(__xludf.DUMMYFUNCTION("AVERAGE(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5" s="105" t="str">
        <f>IFERROR(__xludf.DUMMYFUNCTION("AVERAGE(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5" s="105" t="str">
        <f>IFERROR(__xludf.DUMMYFUNCTION("AVERAGE(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5" s="105" t="str">
        <f>IFERROR(__xludf.DUMMYFUNCTION("AVERAGE(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5" s="106">
        <f t="shared" si="10"/>
        <v>0</v>
      </c>
      <c r="T25" s="106">
        <f t="shared" si="11"/>
        <v>0</v>
      </c>
      <c r="U25" s="106">
        <f t="shared" si="12"/>
        <v>0</v>
      </c>
      <c r="V25" s="106">
        <f t="shared" si="13"/>
        <v>0</v>
      </c>
      <c r="W25" s="106">
        <f t="shared" si="14"/>
        <v>0</v>
      </c>
      <c r="X25" s="106" t="str">
        <f t="shared" si="15"/>
        <v>#N/A</v>
      </c>
      <c r="Y25" s="106" t="str">
        <f t="shared" si="16"/>
        <v>#N/A</v>
      </c>
      <c r="Z25" s="106" t="str">
        <f t="shared" si="17"/>
        <v>#N/A</v>
      </c>
      <c r="AA25" s="106" t="str">
        <f t="shared" si="18"/>
        <v>#N/A</v>
      </c>
      <c r="AB25" s="106" t="str">
        <f t="shared" si="19"/>
        <v>#N/A</v>
      </c>
      <c r="AC25" s="107" t="str">
        <f t="shared" si="20"/>
        <v>#N/A</v>
      </c>
      <c r="AD25" s="107" t="str">
        <f t="shared" si="21"/>
        <v>#N/A</v>
      </c>
      <c r="AE25" s="107" t="str">
        <f t="shared" si="22"/>
        <v>#N/A</v>
      </c>
      <c r="AF25" s="107" t="str">
        <f t="shared" si="23"/>
        <v>#N/A</v>
      </c>
      <c r="AG25" s="107" t="str">
        <f t="shared" si="24"/>
        <v>#N/A</v>
      </c>
      <c r="AH25" s="106">
        <f t="shared" si="25"/>
        <v>0</v>
      </c>
      <c r="AI25" s="106">
        <f t="shared" si="26"/>
        <v>0</v>
      </c>
      <c r="AJ25" s="108" t="str">
        <f t="shared" si="27"/>
        <v>#N/A</v>
      </c>
      <c r="AK25" s="109">
        <f t="shared" si="28"/>
        <v>0</v>
      </c>
      <c r="AL25" s="110" t="str">
        <f t="shared" si="29"/>
        <v>#N/A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4"/>
        <v>0</v>
      </c>
      <c r="E26" s="103">
        <f t="shared" si="34"/>
        <v>0</v>
      </c>
      <c r="F26" s="103">
        <f t="shared" si="34"/>
        <v>0</v>
      </c>
      <c r="G26" s="103">
        <f t="shared" si="34"/>
        <v>0</v>
      </c>
      <c r="H26" s="103">
        <f t="shared" si="9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 t="str">
        <f>IFERROR(__xludf.DUMMYFUNCTION("AVERAGE(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6" s="105" t="str">
        <f>IFERROR(__xludf.DUMMYFUNCTION("AVERAGE(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6" s="105" t="str">
        <f>IFERROR(__xludf.DUMMYFUNCTION("AVERAGE(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6" s="105" t="str">
        <f>IFERROR(__xludf.DUMMYFUNCTION("AVERAGE(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6" s="105" t="str">
        <f>IFERROR(__xludf.DUMMYFUNCTION("AVERAGE(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6" s="106">
        <f t="shared" si="10"/>
        <v>0</v>
      </c>
      <c r="T26" s="106">
        <f t="shared" si="11"/>
        <v>0</v>
      </c>
      <c r="U26" s="106">
        <f t="shared" si="12"/>
        <v>0</v>
      </c>
      <c r="V26" s="106">
        <f t="shared" si="13"/>
        <v>0</v>
      </c>
      <c r="W26" s="106">
        <f t="shared" si="14"/>
        <v>0</v>
      </c>
      <c r="X26" s="106" t="str">
        <f t="shared" si="15"/>
        <v>#N/A</v>
      </c>
      <c r="Y26" s="106" t="str">
        <f t="shared" si="16"/>
        <v>#N/A</v>
      </c>
      <c r="Z26" s="106" t="str">
        <f t="shared" si="17"/>
        <v>#N/A</v>
      </c>
      <c r="AA26" s="106" t="str">
        <f t="shared" si="18"/>
        <v>#N/A</v>
      </c>
      <c r="AB26" s="106" t="str">
        <f t="shared" si="19"/>
        <v>#N/A</v>
      </c>
      <c r="AC26" s="107" t="str">
        <f t="shared" si="20"/>
        <v>#N/A</v>
      </c>
      <c r="AD26" s="107" t="str">
        <f t="shared" si="21"/>
        <v>#N/A</v>
      </c>
      <c r="AE26" s="107" t="str">
        <f t="shared" si="22"/>
        <v>#N/A</v>
      </c>
      <c r="AF26" s="107" t="str">
        <f t="shared" si="23"/>
        <v>#N/A</v>
      </c>
      <c r="AG26" s="107" t="str">
        <f t="shared" si="24"/>
        <v>#N/A</v>
      </c>
      <c r="AH26" s="106">
        <f t="shared" si="25"/>
        <v>0</v>
      </c>
      <c r="AI26" s="106">
        <f t="shared" si="26"/>
        <v>0</v>
      </c>
      <c r="AJ26" s="108" t="str">
        <f t="shared" si="27"/>
        <v>#N/A</v>
      </c>
      <c r="AK26" s="109">
        <f t="shared" si="28"/>
        <v>0</v>
      </c>
      <c r="AL26" s="110" t="str">
        <f t="shared" si="29"/>
        <v>#N/A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 t="str">
        <f>SUM(AJ20:AJ26)</f>
        <v>#N/A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5"/>
        <v>0</v>
      </c>
      <c r="E28" s="116">
        <f t="shared" si="35"/>
        <v>0</v>
      </c>
      <c r="F28" s="116">
        <f t="shared" si="35"/>
        <v>0</v>
      </c>
      <c r="G28" s="116">
        <f t="shared" si="35"/>
        <v>0</v>
      </c>
      <c r="H28" s="116">
        <f t="shared" ref="H28:H34" si="37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 t="str">
        <f>IFERROR(__xludf.DUMMYFUNCTION("AVERAGE(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8" s="118" t="str">
        <f>IFERROR(__xludf.DUMMYFUNCTION("AVERAGE(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8" s="118" t="str">
        <f>IFERROR(__xludf.DUMMYFUNCTION("AVERAGE(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8" s="118" t="str">
        <f>IFERROR(__xludf.DUMMYFUNCTION("AVERAGE(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8" s="118" t="str">
        <f>IFERROR(__xludf.DUMMYFUNCTION("AVERAGE(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8" s="119">
        <f t="shared" ref="S28:S34" si="38">($B$6^2*I28)^0.5</f>
        <v>0</v>
      </c>
      <c r="T28" s="119">
        <f t="shared" ref="T28:T34" si="39">($B$7^2*J28)^0.5</f>
        <v>0</v>
      </c>
      <c r="U28" s="119">
        <f t="shared" ref="U28:U34" si="40">($B$8^2*K28)^0.5</f>
        <v>0</v>
      </c>
      <c r="V28" s="119">
        <f t="shared" ref="V28:V34" si="41">($B$9^2*L28)^0.5</f>
        <v>0</v>
      </c>
      <c r="W28" s="119">
        <f t="shared" ref="W28:W34" si="42">($B$10^2*M28)^0.5</f>
        <v>0</v>
      </c>
      <c r="X28" s="119" t="str">
        <f t="shared" ref="X28:X34" si="43">N28*$B$6</f>
        <v>#N/A</v>
      </c>
      <c r="Y28" s="119" t="str">
        <f t="shared" ref="Y28:Y34" si="44">O28*$B$7</f>
        <v>#N/A</v>
      </c>
      <c r="Z28" s="119" t="str">
        <f t="shared" ref="Z28:Z34" si="45">P28*$B$8</f>
        <v>#N/A</v>
      </c>
      <c r="AA28" s="119" t="str">
        <f t="shared" ref="AA28:AA34" si="46">Q28*$B$9</f>
        <v>#N/A</v>
      </c>
      <c r="AB28" s="119" t="str">
        <f t="shared" ref="AB28:AB34" si="47">R28*$B$10</f>
        <v>#N/A</v>
      </c>
      <c r="AC28" s="117" t="str">
        <f t="shared" ref="AC28:AC34" si="48">N28*$C$6</f>
        <v>#N/A</v>
      </c>
      <c r="AD28" s="117" t="str">
        <f t="shared" ref="AD28:AD34" si="49">O28*$C$7</f>
        <v>#N/A</v>
      </c>
      <c r="AE28" s="117" t="str">
        <f t="shared" ref="AE28:AE34" si="50">P28*$C$8</f>
        <v>#N/A</v>
      </c>
      <c r="AF28" s="117" t="str">
        <f t="shared" ref="AF28:AF34" si="51">Q28*$C$9</f>
        <v>#N/A</v>
      </c>
      <c r="AG28" s="117" t="str">
        <f t="shared" ref="AG28:AG34" si="52">R28*$C$10</f>
        <v>#N/A</v>
      </c>
      <c r="AH28" s="119">
        <f t="shared" ref="AH28:AH34" si="53">(S28*S28+T28*T28+U28*U28+V28*V28+W28*W28)^0.5</f>
        <v>0</v>
      </c>
      <c r="AI28" s="119">
        <f t="shared" ref="AI28:AI34" si="54">AH28*$B$15</f>
        <v>0</v>
      </c>
      <c r="AJ28" s="120" t="str">
        <f t="shared" ref="AJ28:AJ34" si="55">SUM(X28:AB28)</f>
        <v>#N/A</v>
      </c>
      <c r="AK28" s="121">
        <f t="shared" ref="AK28:AK34" si="56">IF(AI28=0,0,AI28/AJ28)</f>
        <v>0</v>
      </c>
      <c r="AL28" s="122" t="str">
        <f t="shared" ref="AL28:AL34" si="57">AJ28/$B$2</f>
        <v>#N/A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6"/>
        <v>0</v>
      </c>
      <c r="E29" s="116">
        <f t="shared" si="36"/>
        <v>0</v>
      </c>
      <c r="F29" s="116">
        <f t="shared" si="36"/>
        <v>0</v>
      </c>
      <c r="G29" s="116">
        <f t="shared" si="36"/>
        <v>0</v>
      </c>
      <c r="H29" s="116">
        <f t="shared" si="37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 t="str">
        <f>IFERROR(__xludf.DUMMYFUNCTION("AVERAGE(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29" s="118" t="str">
        <f>IFERROR(__xludf.DUMMYFUNCTION("AVERAGE(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29" s="118" t="str">
        <f>IFERROR(__xludf.DUMMYFUNCTION("AVERAGE(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29" s="118" t="str">
        <f>IFERROR(__xludf.DUMMYFUNCTION("AVERAGE(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29" s="118" t="str">
        <f>IFERROR(__xludf.DUMMYFUNCTION("AVERAGE(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29" s="119">
        <f t="shared" si="38"/>
        <v>0</v>
      </c>
      <c r="T29" s="119">
        <f t="shared" si="39"/>
        <v>0</v>
      </c>
      <c r="U29" s="119">
        <f t="shared" si="40"/>
        <v>0</v>
      </c>
      <c r="V29" s="119">
        <f t="shared" si="41"/>
        <v>0</v>
      </c>
      <c r="W29" s="119">
        <f t="shared" si="42"/>
        <v>0</v>
      </c>
      <c r="X29" s="119" t="str">
        <f t="shared" si="43"/>
        <v>#N/A</v>
      </c>
      <c r="Y29" s="119" t="str">
        <f t="shared" si="44"/>
        <v>#N/A</v>
      </c>
      <c r="Z29" s="119" t="str">
        <f t="shared" si="45"/>
        <v>#N/A</v>
      </c>
      <c r="AA29" s="119" t="str">
        <f t="shared" si="46"/>
        <v>#N/A</v>
      </c>
      <c r="AB29" s="119" t="str">
        <f t="shared" si="47"/>
        <v>#N/A</v>
      </c>
      <c r="AC29" s="117" t="str">
        <f t="shared" si="48"/>
        <v>#N/A</v>
      </c>
      <c r="AD29" s="117" t="str">
        <f t="shared" si="49"/>
        <v>#N/A</v>
      </c>
      <c r="AE29" s="117" t="str">
        <f t="shared" si="50"/>
        <v>#N/A</v>
      </c>
      <c r="AF29" s="117" t="str">
        <f t="shared" si="51"/>
        <v>#N/A</v>
      </c>
      <c r="AG29" s="117" t="str">
        <f t="shared" si="52"/>
        <v>#N/A</v>
      </c>
      <c r="AH29" s="119">
        <f t="shared" si="53"/>
        <v>0</v>
      </c>
      <c r="AI29" s="119">
        <f t="shared" si="54"/>
        <v>0</v>
      </c>
      <c r="AJ29" s="120" t="str">
        <f t="shared" si="55"/>
        <v>#N/A</v>
      </c>
      <c r="AK29" s="121">
        <f t="shared" si="56"/>
        <v>0</v>
      </c>
      <c r="AL29" s="122" t="str">
        <f t="shared" si="57"/>
        <v>#N/A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8"/>
        <v>0</v>
      </c>
      <c r="E30" s="116">
        <f t="shared" si="58"/>
        <v>0</v>
      </c>
      <c r="F30" s="116">
        <f t="shared" si="58"/>
        <v>0</v>
      </c>
      <c r="G30" s="116">
        <f t="shared" si="58"/>
        <v>0</v>
      </c>
      <c r="H30" s="116">
        <f t="shared" si="37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 t="str">
        <f>IFERROR(__xludf.DUMMYFUNCTION("AVERAGE(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0" s="118" t="str">
        <f>IFERROR(__xludf.DUMMYFUNCTION("AVERAGE(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0" s="118" t="str">
        <f>IFERROR(__xludf.DUMMYFUNCTION("AVERAGE(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0" s="118" t="str">
        <f>IFERROR(__xludf.DUMMYFUNCTION("AVERAGE(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0" s="118" t="str">
        <f>IFERROR(__xludf.DUMMYFUNCTION("AVERAGE(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0" s="119">
        <f t="shared" si="38"/>
        <v>0</v>
      </c>
      <c r="T30" s="119">
        <f t="shared" si="39"/>
        <v>0</v>
      </c>
      <c r="U30" s="119">
        <f t="shared" si="40"/>
        <v>0</v>
      </c>
      <c r="V30" s="119">
        <f t="shared" si="41"/>
        <v>0</v>
      </c>
      <c r="W30" s="119">
        <f t="shared" si="42"/>
        <v>0</v>
      </c>
      <c r="X30" s="119" t="str">
        <f t="shared" si="43"/>
        <v>#N/A</v>
      </c>
      <c r="Y30" s="119" t="str">
        <f t="shared" si="44"/>
        <v>#N/A</v>
      </c>
      <c r="Z30" s="119" t="str">
        <f t="shared" si="45"/>
        <v>#N/A</v>
      </c>
      <c r="AA30" s="119" t="str">
        <f t="shared" si="46"/>
        <v>#N/A</v>
      </c>
      <c r="AB30" s="119" t="str">
        <f t="shared" si="47"/>
        <v>#N/A</v>
      </c>
      <c r="AC30" s="117" t="str">
        <f t="shared" si="48"/>
        <v>#N/A</v>
      </c>
      <c r="AD30" s="117" t="str">
        <f t="shared" si="49"/>
        <v>#N/A</v>
      </c>
      <c r="AE30" s="117" t="str">
        <f t="shared" si="50"/>
        <v>#N/A</v>
      </c>
      <c r="AF30" s="117" t="str">
        <f t="shared" si="51"/>
        <v>#N/A</v>
      </c>
      <c r="AG30" s="117" t="str">
        <f t="shared" si="52"/>
        <v>#N/A</v>
      </c>
      <c r="AH30" s="119">
        <f t="shared" si="53"/>
        <v>0</v>
      </c>
      <c r="AI30" s="119">
        <f t="shared" si="54"/>
        <v>0</v>
      </c>
      <c r="AJ30" s="120" t="str">
        <f t="shared" si="55"/>
        <v>#N/A</v>
      </c>
      <c r="AK30" s="121">
        <f t="shared" si="56"/>
        <v>0</v>
      </c>
      <c r="AL30" s="122" t="str">
        <f t="shared" si="57"/>
        <v>#N/A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9"/>
        <v>0</v>
      </c>
      <c r="E31" s="116">
        <f t="shared" si="59"/>
        <v>0</v>
      </c>
      <c r="F31" s="116">
        <f t="shared" si="59"/>
        <v>0</v>
      </c>
      <c r="G31" s="116">
        <f t="shared" si="59"/>
        <v>0</v>
      </c>
      <c r="H31" s="116">
        <f t="shared" si="37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 t="str">
        <f>IFERROR(__xludf.DUMMYFUNCTION("AVERAGE(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1" s="118" t="str">
        <f>IFERROR(__xludf.DUMMYFUNCTION("AVERAGE(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1" s="118" t="str">
        <f>IFERROR(__xludf.DUMMYFUNCTION("AVERAGE(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1" s="118" t="str">
        <f>IFERROR(__xludf.DUMMYFUNCTION("AVERAGE(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1" s="118" t="str">
        <f>IFERROR(__xludf.DUMMYFUNCTION("AVERAGE(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1" s="119">
        <f t="shared" si="38"/>
        <v>0</v>
      </c>
      <c r="T31" s="119">
        <f t="shared" si="39"/>
        <v>0</v>
      </c>
      <c r="U31" s="119">
        <f t="shared" si="40"/>
        <v>0</v>
      </c>
      <c r="V31" s="119">
        <f t="shared" si="41"/>
        <v>0</v>
      </c>
      <c r="W31" s="119">
        <f t="shared" si="42"/>
        <v>0</v>
      </c>
      <c r="X31" s="119" t="str">
        <f t="shared" si="43"/>
        <v>#N/A</v>
      </c>
      <c r="Y31" s="119" t="str">
        <f t="shared" si="44"/>
        <v>#N/A</v>
      </c>
      <c r="Z31" s="119" t="str">
        <f t="shared" si="45"/>
        <v>#N/A</v>
      </c>
      <c r="AA31" s="119" t="str">
        <f t="shared" si="46"/>
        <v>#N/A</v>
      </c>
      <c r="AB31" s="119" t="str">
        <f t="shared" si="47"/>
        <v>#N/A</v>
      </c>
      <c r="AC31" s="117" t="str">
        <f t="shared" si="48"/>
        <v>#N/A</v>
      </c>
      <c r="AD31" s="117" t="str">
        <f t="shared" si="49"/>
        <v>#N/A</v>
      </c>
      <c r="AE31" s="117" t="str">
        <f t="shared" si="50"/>
        <v>#N/A</v>
      </c>
      <c r="AF31" s="117" t="str">
        <f t="shared" si="51"/>
        <v>#N/A</v>
      </c>
      <c r="AG31" s="117" t="str">
        <f t="shared" si="52"/>
        <v>#N/A</v>
      </c>
      <c r="AH31" s="119">
        <f t="shared" si="53"/>
        <v>0</v>
      </c>
      <c r="AI31" s="119">
        <f t="shared" si="54"/>
        <v>0</v>
      </c>
      <c r="AJ31" s="120" t="str">
        <f t="shared" si="55"/>
        <v>#N/A</v>
      </c>
      <c r="AK31" s="121">
        <f t="shared" si="56"/>
        <v>0</v>
      </c>
      <c r="AL31" s="122" t="str">
        <f t="shared" si="57"/>
        <v>#N/A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60"/>
        <v>0</v>
      </c>
      <c r="E32" s="116">
        <f t="shared" si="60"/>
        <v>0</v>
      </c>
      <c r="F32" s="116">
        <f t="shared" si="60"/>
        <v>0</v>
      </c>
      <c r="G32" s="116">
        <f t="shared" si="60"/>
        <v>0</v>
      </c>
      <c r="H32" s="116">
        <f t="shared" si="37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 t="str">
        <f>IFERROR(__xludf.DUMMYFUNCTION("AVERAGE(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2" s="118" t="str">
        <f>IFERROR(__xludf.DUMMYFUNCTION("AVERAGE(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2" s="118" t="str">
        <f>IFERROR(__xludf.DUMMYFUNCTION("AVERAGE(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2" s="118" t="str">
        <f>IFERROR(__xludf.DUMMYFUNCTION("AVERAGE(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2" s="118" t="str">
        <f>IFERROR(__xludf.DUMMYFUNCTION("AVERAGE(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2" s="119">
        <f t="shared" si="38"/>
        <v>0</v>
      </c>
      <c r="T32" s="119">
        <f t="shared" si="39"/>
        <v>0</v>
      </c>
      <c r="U32" s="119">
        <f t="shared" si="40"/>
        <v>0</v>
      </c>
      <c r="V32" s="119">
        <f t="shared" si="41"/>
        <v>0</v>
      </c>
      <c r="W32" s="119">
        <f t="shared" si="42"/>
        <v>0</v>
      </c>
      <c r="X32" s="119" t="str">
        <f t="shared" si="43"/>
        <v>#N/A</v>
      </c>
      <c r="Y32" s="119" t="str">
        <f t="shared" si="44"/>
        <v>#N/A</v>
      </c>
      <c r="Z32" s="119" t="str">
        <f t="shared" si="45"/>
        <v>#N/A</v>
      </c>
      <c r="AA32" s="119" t="str">
        <f t="shared" si="46"/>
        <v>#N/A</v>
      </c>
      <c r="AB32" s="119" t="str">
        <f t="shared" si="47"/>
        <v>#N/A</v>
      </c>
      <c r="AC32" s="117" t="str">
        <f t="shared" si="48"/>
        <v>#N/A</v>
      </c>
      <c r="AD32" s="117" t="str">
        <f t="shared" si="49"/>
        <v>#N/A</v>
      </c>
      <c r="AE32" s="117" t="str">
        <f t="shared" si="50"/>
        <v>#N/A</v>
      </c>
      <c r="AF32" s="117" t="str">
        <f t="shared" si="51"/>
        <v>#N/A</v>
      </c>
      <c r="AG32" s="117" t="str">
        <f t="shared" si="52"/>
        <v>#N/A</v>
      </c>
      <c r="AH32" s="119">
        <f t="shared" si="53"/>
        <v>0</v>
      </c>
      <c r="AI32" s="119">
        <f t="shared" si="54"/>
        <v>0</v>
      </c>
      <c r="AJ32" s="120" t="str">
        <f t="shared" si="55"/>
        <v>#N/A</v>
      </c>
      <c r="AK32" s="121">
        <f t="shared" si="56"/>
        <v>0</v>
      </c>
      <c r="AL32" s="122" t="str">
        <f t="shared" si="57"/>
        <v>#N/A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1"/>
        <v>0</v>
      </c>
      <c r="E33" s="116">
        <f t="shared" si="61"/>
        <v>0</v>
      </c>
      <c r="F33" s="116">
        <f t="shared" si="61"/>
        <v>0</v>
      </c>
      <c r="G33" s="116">
        <f t="shared" si="61"/>
        <v>0</v>
      </c>
      <c r="H33" s="116">
        <f t="shared" si="37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 t="str">
        <f>IFERROR(__xludf.DUMMYFUNCTION("AVERAGE(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3" s="118" t="str">
        <f>IFERROR(__xludf.DUMMYFUNCTION("AVERAGE(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3" s="118" t="str">
        <f>IFERROR(__xludf.DUMMYFUNCTION("AVERAGE(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3" s="118" t="str">
        <f>IFERROR(__xludf.DUMMYFUNCTION("AVERAGE(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3" s="118" t="str">
        <f>IFERROR(__xludf.DUMMYFUNCTION("AVERAGE(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3" s="119">
        <f t="shared" si="38"/>
        <v>0</v>
      </c>
      <c r="T33" s="119">
        <f t="shared" si="39"/>
        <v>0</v>
      </c>
      <c r="U33" s="119">
        <f t="shared" si="40"/>
        <v>0</v>
      </c>
      <c r="V33" s="119">
        <f t="shared" si="41"/>
        <v>0</v>
      </c>
      <c r="W33" s="119">
        <f t="shared" si="42"/>
        <v>0</v>
      </c>
      <c r="X33" s="119" t="str">
        <f t="shared" si="43"/>
        <v>#N/A</v>
      </c>
      <c r="Y33" s="119" t="str">
        <f t="shared" si="44"/>
        <v>#N/A</v>
      </c>
      <c r="Z33" s="119" t="str">
        <f t="shared" si="45"/>
        <v>#N/A</v>
      </c>
      <c r="AA33" s="119" t="str">
        <f t="shared" si="46"/>
        <v>#N/A</v>
      </c>
      <c r="AB33" s="119" t="str">
        <f t="shared" si="47"/>
        <v>#N/A</v>
      </c>
      <c r="AC33" s="117" t="str">
        <f t="shared" si="48"/>
        <v>#N/A</v>
      </c>
      <c r="AD33" s="117" t="str">
        <f t="shared" si="49"/>
        <v>#N/A</v>
      </c>
      <c r="AE33" s="117" t="str">
        <f t="shared" si="50"/>
        <v>#N/A</v>
      </c>
      <c r="AF33" s="117" t="str">
        <f t="shared" si="51"/>
        <v>#N/A</v>
      </c>
      <c r="AG33" s="117" t="str">
        <f t="shared" si="52"/>
        <v>#N/A</v>
      </c>
      <c r="AH33" s="119">
        <f t="shared" si="53"/>
        <v>0</v>
      </c>
      <c r="AI33" s="119">
        <f t="shared" si="54"/>
        <v>0</v>
      </c>
      <c r="AJ33" s="120" t="str">
        <f t="shared" si="55"/>
        <v>#N/A</v>
      </c>
      <c r="AK33" s="121">
        <f t="shared" si="56"/>
        <v>0</v>
      </c>
      <c r="AL33" s="122" t="str">
        <f t="shared" si="57"/>
        <v>#N/A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2"/>
        <v>0</v>
      </c>
      <c r="E34" s="116">
        <f t="shared" si="62"/>
        <v>0</v>
      </c>
      <c r="F34" s="116">
        <f t="shared" si="62"/>
        <v>0</v>
      </c>
      <c r="G34" s="116">
        <f t="shared" si="62"/>
        <v>0</v>
      </c>
      <c r="H34" s="116">
        <f t="shared" si="37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 t="str">
        <f>IFERROR(__xludf.DUMMYFUNCTION("AVERAGE(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4" s="118" t="str">
        <f>IFERROR(__xludf.DUMMYFUNCTION("AVERAGE(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4" s="118" t="str">
        <f>IFERROR(__xludf.DUMMYFUNCTION("AVERAGE(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4" s="118" t="str">
        <f>IFERROR(__xludf.DUMMYFUNCTION("AVERAGE(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4" s="118" t="str">
        <f>IFERROR(__xludf.DUMMYFUNCTION("AVERAGE(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4" s="119">
        <f t="shared" si="38"/>
        <v>0</v>
      </c>
      <c r="T34" s="119">
        <f t="shared" si="39"/>
        <v>0</v>
      </c>
      <c r="U34" s="119">
        <f t="shared" si="40"/>
        <v>0</v>
      </c>
      <c r="V34" s="119">
        <f t="shared" si="41"/>
        <v>0</v>
      </c>
      <c r="W34" s="119">
        <f t="shared" si="42"/>
        <v>0</v>
      </c>
      <c r="X34" s="119" t="str">
        <f t="shared" si="43"/>
        <v>#N/A</v>
      </c>
      <c r="Y34" s="119" t="str">
        <f t="shared" si="44"/>
        <v>#N/A</v>
      </c>
      <c r="Z34" s="119" t="str">
        <f t="shared" si="45"/>
        <v>#N/A</v>
      </c>
      <c r="AA34" s="119" t="str">
        <f t="shared" si="46"/>
        <v>#N/A</v>
      </c>
      <c r="AB34" s="119" t="str">
        <f t="shared" si="47"/>
        <v>#N/A</v>
      </c>
      <c r="AC34" s="117" t="str">
        <f t="shared" si="48"/>
        <v>#N/A</v>
      </c>
      <c r="AD34" s="117" t="str">
        <f t="shared" si="49"/>
        <v>#N/A</v>
      </c>
      <c r="AE34" s="117" t="str">
        <f t="shared" si="50"/>
        <v>#N/A</v>
      </c>
      <c r="AF34" s="117" t="str">
        <f t="shared" si="51"/>
        <v>#N/A</v>
      </c>
      <c r="AG34" s="117" t="str">
        <f t="shared" si="52"/>
        <v>#N/A</v>
      </c>
      <c r="AH34" s="119">
        <f t="shared" si="53"/>
        <v>0</v>
      </c>
      <c r="AI34" s="119">
        <f t="shared" si="54"/>
        <v>0</v>
      </c>
      <c r="AJ34" s="120" t="str">
        <f t="shared" si="55"/>
        <v>#N/A</v>
      </c>
      <c r="AK34" s="121">
        <f t="shared" si="56"/>
        <v>0</v>
      </c>
      <c r="AL34" s="122" t="str">
        <f t="shared" si="57"/>
        <v>#N/A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 t="str">
        <f>SUM(AJ28:AJ34)</f>
        <v>#N/A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3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3"/>
        <v>0</v>
      </c>
      <c r="E37" s="125">
        <f t="shared" si="63"/>
        <v>0</v>
      </c>
      <c r="F37" s="125">
        <f t="shared" si="63"/>
        <v>0</v>
      </c>
      <c r="G37" s="125">
        <f t="shared" si="63"/>
        <v>0</v>
      </c>
      <c r="H37" s="125">
        <f t="shared" ref="H37:H38" si="65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 t="str">
        <f>IFERROR(__xludf.DUMMYFUNCTION("AVERAGE(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7" s="127" t="str">
        <f>IFERROR(__xludf.DUMMYFUNCTION("AVERAGE(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7" s="127" t="str">
        <f>IFERROR(__xludf.DUMMYFUNCTION("AVERAGE(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7" s="127" t="str">
        <f>IFERROR(__xludf.DUMMYFUNCTION("AVERAGE(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7" s="127" t="str">
        <f>IFERROR(__xludf.DUMMYFUNCTION("AVERAGE(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7" s="128">
        <f t="shared" ref="S37:S38" si="66">($B$6^2*I37)^0.5</f>
        <v>0</v>
      </c>
      <c r="T37" s="128">
        <f t="shared" ref="T37:T38" si="67">($B$7^2*J37)^0.5</f>
        <v>0</v>
      </c>
      <c r="U37" s="128">
        <f t="shared" ref="U37:U38" si="68">($B$8^2*K37)^0.5</f>
        <v>0</v>
      </c>
      <c r="V37" s="128">
        <f t="shared" ref="V37:V38" si="69">($B$9^2*L37)^0.5</f>
        <v>0</v>
      </c>
      <c r="W37" s="128">
        <f t="shared" ref="W37:W38" si="70">($B$10^2*M37)^0.5</f>
        <v>0</v>
      </c>
      <c r="X37" s="128" t="str">
        <f t="shared" ref="X37:X38" si="71">N37*$B$6</f>
        <v>#N/A</v>
      </c>
      <c r="Y37" s="128" t="str">
        <f t="shared" ref="Y37:Y38" si="72">O37*$B$7</f>
        <v>#N/A</v>
      </c>
      <c r="Z37" s="128" t="str">
        <f t="shared" ref="Z37:Z38" si="73">P37*$B$8</f>
        <v>#N/A</v>
      </c>
      <c r="AA37" s="128" t="str">
        <f t="shared" ref="AA37:AA38" si="74">Q37*$B$9</f>
        <v>#N/A</v>
      </c>
      <c r="AB37" s="128" t="str">
        <f t="shared" ref="AB37:AB38" si="75">R37*$B$10</f>
        <v>#N/A</v>
      </c>
      <c r="AC37" s="126" t="str">
        <f t="shared" ref="AC37:AC38" si="76">N37*$C$6</f>
        <v>#N/A</v>
      </c>
      <c r="AD37" s="126" t="str">
        <f t="shared" ref="AD37:AD38" si="77">O37*$C$7</f>
        <v>#N/A</v>
      </c>
      <c r="AE37" s="126" t="str">
        <f t="shared" ref="AE37:AE38" si="78">P37*$C$8</f>
        <v>#N/A</v>
      </c>
      <c r="AF37" s="126" t="str">
        <f t="shared" ref="AF37:AF38" si="79">Q37*$C$9</f>
        <v>#N/A</v>
      </c>
      <c r="AG37" s="126" t="str">
        <f t="shared" ref="AG37:AG38" si="80">R37*$C$10</f>
        <v>#N/A</v>
      </c>
      <c r="AH37" s="128">
        <f t="shared" ref="AH37:AH38" si="81">(S37*S37+T37*T37+U37*U37+V37*V37+W37*W37)^0.5</f>
        <v>0</v>
      </c>
      <c r="AI37" s="128">
        <f t="shared" ref="AI37:AI38" si="82">AH37*$B$15</f>
        <v>0</v>
      </c>
      <c r="AJ37" s="129" t="str">
        <f t="shared" ref="AJ37:AJ38" si="83">SUM(X37:AB37)</f>
        <v>#N/A</v>
      </c>
      <c r="AK37" s="130">
        <f t="shared" ref="AK37:AK38" si="84">IF(AI37=0,0,AI37/AJ37)</f>
        <v>0</v>
      </c>
      <c r="AL37" s="131" t="str">
        <f t="shared" ref="AL37:AL38" si="85">AJ37/$B$2</f>
        <v>#N/A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4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4"/>
        <v>0</v>
      </c>
      <c r="E38" s="133">
        <f t="shared" si="64"/>
        <v>0</v>
      </c>
      <c r="F38" s="133">
        <f t="shared" si="64"/>
        <v>0</v>
      </c>
      <c r="G38" s="133">
        <f t="shared" si="64"/>
        <v>0</v>
      </c>
      <c r="H38" s="133">
        <f t="shared" si="65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 t="str">
        <f>IFERROR(__xludf.DUMMYFUNCTION("AVERAGE(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38" s="135" t="str">
        <f>IFERROR(__xludf.DUMMYFUNCTION("AVERAGE(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38" s="135" t="str">
        <f>IFERROR(__xludf.DUMMYFUNCTION("AVERAGE(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38" s="135" t="str">
        <f>IFERROR(__xludf.DUMMYFUNCTION("AVERAGE(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38" s="135" t="str">
        <f>IFERROR(__xludf.DUMMYFUNCTION("AVERAGE(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38" s="136">
        <f t="shared" si="66"/>
        <v>0</v>
      </c>
      <c r="T38" s="136">
        <f t="shared" si="67"/>
        <v>0</v>
      </c>
      <c r="U38" s="136">
        <f t="shared" si="68"/>
        <v>0</v>
      </c>
      <c r="V38" s="136">
        <f t="shared" si="69"/>
        <v>0</v>
      </c>
      <c r="W38" s="136">
        <f t="shared" si="70"/>
        <v>0</v>
      </c>
      <c r="X38" s="136" t="str">
        <f t="shared" si="71"/>
        <v>#N/A</v>
      </c>
      <c r="Y38" s="136" t="str">
        <f t="shared" si="72"/>
        <v>#N/A</v>
      </c>
      <c r="Z38" s="136" t="str">
        <f t="shared" si="73"/>
        <v>#N/A</v>
      </c>
      <c r="AA38" s="136" t="str">
        <f t="shared" si="74"/>
        <v>#N/A</v>
      </c>
      <c r="AB38" s="136" t="str">
        <f t="shared" si="75"/>
        <v>#N/A</v>
      </c>
      <c r="AC38" s="134" t="str">
        <f t="shared" si="76"/>
        <v>#N/A</v>
      </c>
      <c r="AD38" s="134" t="str">
        <f t="shared" si="77"/>
        <v>#N/A</v>
      </c>
      <c r="AE38" s="134" t="str">
        <f t="shared" si="78"/>
        <v>#N/A</v>
      </c>
      <c r="AF38" s="134" t="str">
        <f t="shared" si="79"/>
        <v>#N/A</v>
      </c>
      <c r="AG38" s="134" t="str">
        <f t="shared" si="80"/>
        <v>#N/A</v>
      </c>
      <c r="AH38" s="136">
        <f t="shared" si="81"/>
        <v>0</v>
      </c>
      <c r="AI38" s="136">
        <f t="shared" si="82"/>
        <v>0</v>
      </c>
      <c r="AJ38" s="137" t="str">
        <f t="shared" si="83"/>
        <v>#N/A</v>
      </c>
      <c r="AK38" s="138">
        <f t="shared" si="84"/>
        <v>0</v>
      </c>
      <c r="AL38" s="139" t="str">
        <f t="shared" si="85"/>
        <v>#N/A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6"/>
        <v>0</v>
      </c>
      <c r="E40" s="142">
        <f t="shared" si="86"/>
        <v>0</v>
      </c>
      <c r="F40" s="142">
        <f t="shared" si="86"/>
        <v>0</v>
      </c>
      <c r="G40" s="142">
        <f t="shared" si="86"/>
        <v>0</v>
      </c>
      <c r="H40" s="142">
        <f t="shared" ref="H40:H41" si="88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 t="str">
        <f>IFERROR(__xludf.DUMMYFUNCTION("AVERAGE(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40" s="144" t="str">
        <f>IFERROR(__xludf.DUMMYFUNCTION("AVERAGE(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40" s="144" t="str">
        <f>IFERROR(__xludf.DUMMYFUNCTION("AVERAGE(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40" s="144" t="str">
        <f>IFERROR(__xludf.DUMMYFUNCTION("AVERAGE(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40" s="144" t="str">
        <f>IFERROR(__xludf.DUMMYFUNCTION("AVERAGE(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40" s="142">
        <f t="shared" ref="S40:S41" si="89">($B$6^2*I40)^0.5</f>
        <v>0</v>
      </c>
      <c r="T40" s="142">
        <f t="shared" ref="T40:T41" si="90">($B$7^2*J40)^0.5</f>
        <v>0</v>
      </c>
      <c r="U40" s="142">
        <f t="shared" ref="U40:U41" si="91">($B$8^2*K40)^0.5</f>
        <v>0</v>
      </c>
      <c r="V40" s="142">
        <f t="shared" ref="V40:V41" si="92">($B$9^2*L40)^0.5</f>
        <v>0</v>
      </c>
      <c r="W40" s="142">
        <f t="shared" ref="W40:W41" si="93">($B$10^2*M40)^0.5</f>
        <v>0</v>
      </c>
      <c r="X40" s="142" t="str">
        <f t="shared" ref="X40:X41" si="94">N40*$B$6</f>
        <v>#N/A</v>
      </c>
      <c r="Y40" s="142" t="str">
        <f t="shared" ref="Y40:Y41" si="95">O40*$B$7</f>
        <v>#N/A</v>
      </c>
      <c r="Z40" s="142" t="str">
        <f t="shared" ref="Z40:Z41" si="96">P40*$B$8</f>
        <v>#N/A</v>
      </c>
      <c r="AA40" s="142" t="str">
        <f t="shared" ref="AA40:AA41" si="97">Q40*$B$9</f>
        <v>#N/A</v>
      </c>
      <c r="AB40" s="142" t="str">
        <f t="shared" ref="AB40:AB41" si="98">R40*$B$10</f>
        <v>#N/A</v>
      </c>
      <c r="AC40" s="143" t="str">
        <f t="shared" ref="AC40:AC41" si="99">N40*$C$6</f>
        <v>#N/A</v>
      </c>
      <c r="AD40" s="143" t="str">
        <f t="shared" ref="AD40:AD41" si="100">O40*$C$7</f>
        <v>#N/A</v>
      </c>
      <c r="AE40" s="143" t="str">
        <f t="shared" ref="AE40:AE41" si="101">P40*$C$8</f>
        <v>#N/A</v>
      </c>
      <c r="AF40" s="143" t="str">
        <f t="shared" ref="AF40:AF41" si="102">Q40*$C$9</f>
        <v>#N/A</v>
      </c>
      <c r="AG40" s="143" t="str">
        <f t="shared" ref="AG40:AG41" si="103">R40*$C$10</f>
        <v>#N/A</v>
      </c>
      <c r="AH40" s="142">
        <f t="shared" ref="AH40:AH41" si="104">(S40*S40+T40*T40+U40*U40+V40*V40+W40*W40)^0.5</f>
        <v>0</v>
      </c>
      <c r="AI40" s="142">
        <f t="shared" ref="AI40:AI41" si="105">AH40*$B$15</f>
        <v>0</v>
      </c>
      <c r="AJ40" s="145" t="str">
        <f t="shared" ref="AJ40:AJ41" si="106">SUM(X40:AB40)</f>
        <v>#N/A</v>
      </c>
      <c r="AK40" s="146">
        <f t="shared" ref="AK40:AK41" si="107">IF(AI40=0,0,AI40/AJ40)</f>
        <v>0</v>
      </c>
      <c r="AL40" s="147" t="str">
        <f t="shared" ref="AL40:AL41" si="108">AJ40/$B$2</f>
        <v>#N/A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7"/>
        <v>0</v>
      </c>
      <c r="E41" s="149">
        <f t="shared" si="87"/>
        <v>0</v>
      </c>
      <c r="F41" s="149">
        <f t="shared" si="87"/>
        <v>0</v>
      </c>
      <c r="G41" s="149">
        <f t="shared" si="87"/>
        <v>0</v>
      </c>
      <c r="H41" s="149">
        <f t="shared" si="88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 t="str">
        <f>IFERROR(__xludf.DUMMYFUNCTION("AVERAGE(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O41" s="151" t="str">
        <f>IFERROR(__xludf.DUMMYFUNCTION("AVERAGE(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P41" s="151" t="str">
        <f>IFERROR(__xludf.DUMMYFUNCTION("AVERAGE(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Q41" s="151" t="str">
        <f>IFERROR(__xludf.DUMMYFUNCTION("AVERAGE(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R41" s="151" t="str">
        <f>IFERROR(__xludf.DUMMYFUNCTION("AVERAGE(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 $B$12 &amp; "":"&amp;""" &amp; $B$12)))) *
            (INDIRECT(""'"" &amp; $B$17 &amp; ""'!"" &amp; $B$13 &amp; "":"" &amp; $B$13) = $A$1)
        ))"),"#N/A")</f>
        <v>#N/A</v>
      </c>
      <c r="S41" s="149">
        <f t="shared" si="89"/>
        <v>0</v>
      </c>
      <c r="T41" s="149">
        <f t="shared" si="90"/>
        <v>0</v>
      </c>
      <c r="U41" s="149">
        <f t="shared" si="91"/>
        <v>0</v>
      </c>
      <c r="V41" s="149">
        <f t="shared" si="92"/>
        <v>0</v>
      </c>
      <c r="W41" s="149">
        <f t="shared" si="93"/>
        <v>0</v>
      </c>
      <c r="X41" s="149" t="str">
        <f t="shared" si="94"/>
        <v>#N/A</v>
      </c>
      <c r="Y41" s="149" t="str">
        <f t="shared" si="95"/>
        <v>#N/A</v>
      </c>
      <c r="Z41" s="149" t="str">
        <f t="shared" si="96"/>
        <v>#N/A</v>
      </c>
      <c r="AA41" s="149" t="str">
        <f t="shared" si="97"/>
        <v>#N/A</v>
      </c>
      <c r="AB41" s="149" t="str">
        <f t="shared" si="98"/>
        <v>#N/A</v>
      </c>
      <c r="AC41" s="150" t="str">
        <f t="shared" si="99"/>
        <v>#N/A</v>
      </c>
      <c r="AD41" s="150" t="str">
        <f t="shared" si="100"/>
        <v>#N/A</v>
      </c>
      <c r="AE41" s="150" t="str">
        <f t="shared" si="101"/>
        <v>#N/A</v>
      </c>
      <c r="AF41" s="150" t="str">
        <f t="shared" si="102"/>
        <v>#N/A</v>
      </c>
      <c r="AG41" s="150" t="str">
        <f t="shared" si="103"/>
        <v>#N/A</v>
      </c>
      <c r="AH41" s="149">
        <f t="shared" si="104"/>
        <v>0</v>
      </c>
      <c r="AI41" s="149">
        <f t="shared" si="105"/>
        <v>0</v>
      </c>
      <c r="AJ41" s="152" t="str">
        <f t="shared" si="106"/>
        <v>#N/A</v>
      </c>
      <c r="AK41" s="153">
        <f t="shared" si="107"/>
        <v>0</v>
      </c>
      <c r="AL41" s="154" t="str">
        <f t="shared" si="108"/>
        <v>#N/A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 t="str">
        <f>SUM(AJ37:AJ41)</f>
        <v>#N/A</v>
      </c>
    </row>
    <row r="43" ht="15.75" customHeight="1">
      <c r="A43" s="155"/>
      <c r="AC43" s="56"/>
      <c r="AD43" s="56"/>
      <c r="AE43" s="56"/>
      <c r="AF43" s="56"/>
      <c r="AG43" s="56"/>
      <c r="AI43" s="59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1" priority="5">
      <formula>H42&lt;&gt;D11</formula>
    </cfRule>
  </conditionalFormatting>
  <conditionalFormatting sqref="AJ42">
    <cfRule type="expression" dxfId="1" priority="6">
      <formula>AJ42&lt;&gt;B2</formula>
    </cfRule>
  </conditionalFormatting>
  <conditionalFormatting sqref="AJ35">
    <cfRule type="expression" dxfId="0" priority="7">
      <formula>AJ35=AJ38</formula>
    </cfRule>
  </conditionalFormatting>
  <conditionalFormatting sqref="AJ35">
    <cfRule type="expression" dxfId="2" priority="8">
      <formula>"AJ35&lt;&gt;AJ38"</formula>
    </cfRule>
  </conditionalFormatting>
  <conditionalFormatting sqref="AJ27">
    <cfRule type="expression" dxfId="0" priority="9">
      <formula>"AJ27=AJ37"</formula>
    </cfRule>
  </conditionalFormatting>
  <conditionalFormatting sqref="AJ27">
    <cfRule type="expression" dxfId="2" priority="10">
      <formula>AJ27&lt;&gt;AJ37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2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554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$A$1))"),1966422.0)</f>
        <v>1966422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1698530</v>
      </c>
      <c r="C6" s="73">
        <f t="shared" ref="C6:C10" si="3">B6/$B$11</f>
        <v>0.8637667805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99350</v>
      </c>
      <c r="C7" s="73">
        <f t="shared" si="3"/>
        <v>0.05052323459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86532</v>
      </c>
      <c r="C8" s="73">
        <f t="shared" si="3"/>
        <v>0.04400479653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54472</v>
      </c>
      <c r="C9" s="73">
        <f t="shared" si="3"/>
        <v>0.02770107332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27538</v>
      </c>
      <c r="C10" s="73">
        <f t="shared" si="3"/>
        <v>0.01400411509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1966422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4" t="s">
        <v>579</v>
      </c>
      <c r="J18" s="65"/>
      <c r="K18" s="65"/>
      <c r="L18" s="65"/>
      <c r="M18" s="66"/>
      <c r="N18" s="94" t="s">
        <v>580</v>
      </c>
      <c r="O18" s="65"/>
      <c r="P18" s="65"/>
      <c r="Q18" s="65"/>
      <c r="R18" s="65"/>
      <c r="S18" s="94" t="s">
        <v>495</v>
      </c>
      <c r="T18" s="65"/>
      <c r="U18" s="65"/>
      <c r="V18" s="65"/>
      <c r="W18" s="66"/>
      <c r="X18" s="94" t="s">
        <v>581</v>
      </c>
      <c r="Y18" s="65"/>
      <c r="Z18" s="65"/>
      <c r="AA18" s="65"/>
      <c r="AB18" s="66"/>
      <c r="AC18" s="321" t="s">
        <v>582</v>
      </c>
      <c r="AD18" s="65"/>
      <c r="AE18" s="65"/>
      <c r="AF18" s="65"/>
      <c r="AG18" s="65"/>
      <c r="AH18" s="66"/>
      <c r="AI18" s="94" t="s">
        <v>502</v>
      </c>
      <c r="AJ18" s="63" t="s">
        <v>503</v>
      </c>
      <c r="AK18" s="89" t="s">
        <v>504</v>
      </c>
      <c r="AL18" s="89" t="s">
        <v>505</v>
      </c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63">
        <v>1.0</v>
      </c>
      <c r="T19" s="63">
        <v>2.0</v>
      </c>
      <c r="U19" s="63">
        <v>3.0</v>
      </c>
      <c r="V19" s="63">
        <v>4.0</v>
      </c>
      <c r="W19" s="63">
        <v>5.0</v>
      </c>
      <c r="X19" s="63">
        <v>1.0</v>
      </c>
      <c r="Y19" s="63">
        <v>2.0</v>
      </c>
      <c r="Z19" s="63">
        <v>3.0</v>
      </c>
      <c r="AA19" s="63">
        <v>4.0</v>
      </c>
      <c r="AB19" s="63">
        <v>5.0</v>
      </c>
      <c r="AC19" s="99">
        <v>1.0</v>
      </c>
      <c r="AD19" s="99">
        <v>2.0</v>
      </c>
      <c r="AE19" s="99">
        <v>3.0</v>
      </c>
      <c r="AF19" s="99">
        <v>4.0</v>
      </c>
      <c r="AG19" s="99">
        <v>5.0</v>
      </c>
      <c r="AH19" s="63" t="s">
        <v>500</v>
      </c>
      <c r="AI19" s="63"/>
      <c r="AK19" s="29"/>
      <c r="AL19" s="29"/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9">SUM(C20:G20)</f>
        <v>0</v>
      </c>
      <c r="I20" s="214">
        <f t="shared" ref="I20:I26" si="10">IF($D$6 = 0, 0, C20 / $D$6)</f>
        <v>0</v>
      </c>
      <c r="J20" s="214">
        <f t="shared" ref="J20:J26" si="11">IF($D$7 = 0, 0, D20 / $D$7)</f>
        <v>0</v>
      </c>
      <c r="K20" s="214">
        <f t="shared" ref="K20:K26" si="12">IF($D$8 = 0, 0, E20 / $D$8)</f>
        <v>0</v>
      </c>
      <c r="L20" s="214">
        <f t="shared" ref="L20:L26" si="13">IF($D$9 = 0, 0, F20 / $D$9)</f>
        <v>0</v>
      </c>
      <c r="M20" s="214">
        <f t="shared" ref="M20:M26" si="14">IF($D$10 = 0, 0, G20 / $D$10)</f>
        <v>0</v>
      </c>
      <c r="N20" s="106">
        <f t="shared" ref="N20:N26" si="15">I20*B$6</f>
        <v>0</v>
      </c>
      <c r="O20" s="106">
        <f t="shared" ref="O20:O26" si="16">J20*B$7</f>
        <v>0</v>
      </c>
      <c r="P20" s="106">
        <f t="shared" ref="P20:P26" si="17">K20*B$8</f>
        <v>0</v>
      </c>
      <c r="Q20" s="106">
        <f t="shared" ref="Q20:Q26" si="18">L20*B$9</f>
        <v>0</v>
      </c>
      <c r="R20" s="106">
        <f t="shared" ref="R20:R26" si="19">M20*B$10</f>
        <v>0</v>
      </c>
      <c r="S20" s="214">
        <f>IFERROR(__xludf.DUMMYFUNCTION("IFERROR(
    VARP(
        FILTER(
            INDIRECT(""'"" &amp; $B$17 &amp; ""'!"" &amp; $B20 &amp; "":"" &amp; $B20),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0" s="214">
        <f>IFERROR(__xludf.DUMMYFUNCTION("IFERROR(
    VARP(
        FILTER(
            INDIRECT(""'"" &amp; $B$17 &amp; ""'!"" &amp; $B20 &amp; "":"" &amp; $B20),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0" s="214">
        <f>IFERROR(__xludf.DUMMYFUNCTION("IFERROR(
    VARP(
        FILTER(
            INDIRECT(""'"" &amp; $B$17 &amp; ""'!"" &amp; $B20 &amp; "":"" &amp; $B20),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0" s="214">
        <f>IFERROR(__xludf.DUMMYFUNCTION("IFERROR(
    VARP(
        FILTER(
            INDIRECT(""'"" &amp; $B$17 &amp; ""'!"" &amp; $B20 &amp; "":"" &amp; $B20),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0" s="214">
        <f>IFERROR(__xludf.DUMMYFUNCTION("IFERROR(
    VARP(
        FILTER(
            INDIRECT(""'"" &amp; $B$17 &amp; ""'!"" &amp; $B20 &amp; "":"" &amp; $B20),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0" s="105">
        <f t="shared" ref="X20:AB20" si="7">sqrt(S20)</f>
        <v>0</v>
      </c>
      <c r="Y20" s="105">
        <f t="shared" si="7"/>
        <v>0</v>
      </c>
      <c r="Z20" s="105">
        <f t="shared" si="7"/>
        <v>0</v>
      </c>
      <c r="AA20" s="105">
        <f t="shared" si="7"/>
        <v>0</v>
      </c>
      <c r="AB20" s="105">
        <f t="shared" si="7"/>
        <v>0</v>
      </c>
      <c r="AC20" s="106">
        <f t="shared" ref="AC20:AC26" si="21">IF($D$6=0,0, X20/sqrt($D$6)*$B$6)</f>
        <v>0</v>
      </c>
      <c r="AD20" s="106">
        <f t="shared" ref="AD20:AD26" si="22">IF($D$7=0,0, Y20/sqrt($D$7)*$B$7)</f>
        <v>0</v>
      </c>
      <c r="AE20" s="106">
        <f t="shared" ref="AE20:AE26" si="23">IF($D$8=0,0, Z20/sqrt($D$8)*$B$8)</f>
        <v>0</v>
      </c>
      <c r="AF20" s="106">
        <f t="shared" ref="AF20:AF26" si="24">IF($D$9=0,0, AA20/sqrt($D$9)*$B$9)</f>
        <v>0</v>
      </c>
      <c r="AG20" s="106">
        <f t="shared" ref="AG20:AG26" si="25">IF($D$10=0,0, AB20/sqrt($D$10)*$B$10)</f>
        <v>0</v>
      </c>
      <c r="AH20" s="106">
        <f t="shared" ref="AH20:AH26" si="26">AC20*AC20+AD20*AD20+AE20*AE20+AF20*AF20+AG20*AG20</f>
        <v>0</v>
      </c>
      <c r="AI20" s="106">
        <f t="shared" ref="AI20:AI26" si="27">$B$15*sqrt(AH20)</f>
        <v>0</v>
      </c>
      <c r="AJ20" s="108">
        <f t="shared" ref="AJ20:AJ26" si="28">SUM(N20:R20)</f>
        <v>0</v>
      </c>
      <c r="AK20" s="109">
        <f t="shared" ref="AK20:AK26" si="29">IF(AI20=0,0,AI20/AJ20)</f>
        <v>0</v>
      </c>
      <c r="AL20" s="110">
        <f t="shared" ref="AL20:AL26" si="30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 t="shared" si="10"/>
        <v>0</v>
      </c>
      <c r="J21" s="214">
        <f t="shared" si="11"/>
        <v>0</v>
      </c>
      <c r="K21" s="214">
        <f t="shared" si="12"/>
        <v>0</v>
      </c>
      <c r="L21" s="214">
        <f t="shared" si="13"/>
        <v>0</v>
      </c>
      <c r="M21" s="214">
        <f t="shared" si="14"/>
        <v>0</v>
      </c>
      <c r="N21" s="106">
        <f t="shared" si="15"/>
        <v>0</v>
      </c>
      <c r="O21" s="106">
        <f t="shared" si="16"/>
        <v>0</v>
      </c>
      <c r="P21" s="106">
        <f t="shared" si="17"/>
        <v>0</v>
      </c>
      <c r="Q21" s="106">
        <f t="shared" si="18"/>
        <v>0</v>
      </c>
      <c r="R21" s="106">
        <f t="shared" si="19"/>
        <v>0</v>
      </c>
      <c r="S21" s="214">
        <f>IFERROR(__xludf.DUMMYFUNCTION("IFERROR(
    VARP(
        FILTER(
            INDIRECT(""'"" &amp; $B$17 &amp; ""'!"" &amp; $B21 &amp; "":"" &amp; $B21),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1" s="214">
        <f>IFERROR(__xludf.DUMMYFUNCTION("IFERROR(
    VARP(
        FILTER(
            INDIRECT(""'"" &amp; $B$17 &amp; ""'!"" &amp; $B21 &amp; "":"" &amp; $B21),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1" s="214">
        <f>IFERROR(__xludf.DUMMYFUNCTION("IFERROR(
    VARP(
        FILTER(
            INDIRECT(""'"" &amp; $B$17 &amp; ""'!"" &amp; $B21 &amp; "":"" &amp; $B21),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1" s="214">
        <f>IFERROR(__xludf.DUMMYFUNCTION("IFERROR(
    VARP(
        FILTER(
            INDIRECT(""'"" &amp; $B$17 &amp; ""'!"" &amp; $B21 &amp; "":"" &amp; $B21),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1" s="214">
        <f>IFERROR(__xludf.DUMMYFUNCTION("IFERROR(
    VARP(
        FILTER(
            INDIRECT(""'"" &amp; $B$17 &amp; ""'!"" &amp; $B21 &amp; "":"" &amp; $B21),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1" s="105">
        <f t="shared" ref="X21:AB21" si="20">sqrt(S21)</f>
        <v>0</v>
      </c>
      <c r="Y21" s="105">
        <f t="shared" si="20"/>
        <v>0</v>
      </c>
      <c r="Z21" s="105">
        <f t="shared" si="20"/>
        <v>0</v>
      </c>
      <c r="AA21" s="105">
        <f t="shared" si="20"/>
        <v>0</v>
      </c>
      <c r="AB21" s="105">
        <f t="shared" si="20"/>
        <v>0</v>
      </c>
      <c r="AC21" s="106">
        <f t="shared" si="21"/>
        <v>0</v>
      </c>
      <c r="AD21" s="106">
        <f t="shared" si="22"/>
        <v>0</v>
      </c>
      <c r="AE21" s="106">
        <f t="shared" si="23"/>
        <v>0</v>
      </c>
      <c r="AF21" s="106">
        <f t="shared" si="24"/>
        <v>0</v>
      </c>
      <c r="AG21" s="106">
        <f t="shared" si="25"/>
        <v>0</v>
      </c>
      <c r="AH21" s="106">
        <f t="shared" si="26"/>
        <v>0</v>
      </c>
      <c r="AI21" s="106">
        <f t="shared" si="27"/>
        <v>0</v>
      </c>
      <c r="AJ21" s="108">
        <f t="shared" si="28"/>
        <v>0</v>
      </c>
      <c r="AK21" s="109">
        <f t="shared" si="29"/>
        <v>0</v>
      </c>
      <c r="AL21" s="110">
        <f t="shared" si="30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1"/>
        <v>0</v>
      </c>
      <c r="E22" s="103">
        <f t="shared" si="31"/>
        <v>0</v>
      </c>
      <c r="F22" s="103">
        <f t="shared" si="31"/>
        <v>0</v>
      </c>
      <c r="G22" s="103">
        <f t="shared" si="31"/>
        <v>0</v>
      </c>
      <c r="H22" s="103">
        <f t="shared" si="9"/>
        <v>0</v>
      </c>
      <c r="I22" s="214">
        <f t="shared" si="10"/>
        <v>0</v>
      </c>
      <c r="J22" s="214">
        <f t="shared" si="11"/>
        <v>0</v>
      </c>
      <c r="K22" s="214">
        <f t="shared" si="12"/>
        <v>0</v>
      </c>
      <c r="L22" s="214">
        <f t="shared" si="13"/>
        <v>0</v>
      </c>
      <c r="M22" s="214">
        <f t="shared" si="14"/>
        <v>0</v>
      </c>
      <c r="N22" s="106">
        <f t="shared" si="15"/>
        <v>0</v>
      </c>
      <c r="O22" s="106">
        <f t="shared" si="16"/>
        <v>0</v>
      </c>
      <c r="P22" s="106">
        <f t="shared" si="17"/>
        <v>0</v>
      </c>
      <c r="Q22" s="106">
        <f t="shared" si="18"/>
        <v>0</v>
      </c>
      <c r="R22" s="106">
        <f t="shared" si="19"/>
        <v>0</v>
      </c>
      <c r="S22" s="214">
        <f>IFERROR(__xludf.DUMMYFUNCTION("IFERROR(
    VARP(
        FILTER(
            INDIRECT(""'"" &amp; $B$17 &amp; ""'!"" &amp; $B22 &amp; "":"" &amp; $B22),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2" s="214">
        <f>IFERROR(__xludf.DUMMYFUNCTION("IFERROR(
    VARP(
        FILTER(
            INDIRECT(""'"" &amp; $B$17 &amp; ""'!"" &amp; $B22 &amp; "":"" &amp; $B22),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2" s="214">
        <f>IFERROR(__xludf.DUMMYFUNCTION("IFERROR(
    VARP(
        FILTER(
            INDIRECT(""'"" &amp; $B$17 &amp; ""'!"" &amp; $B22 &amp; "":"" &amp; $B22),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2" s="214">
        <f>IFERROR(__xludf.DUMMYFUNCTION("IFERROR(
    VARP(
        FILTER(
            INDIRECT(""'"" &amp; $B$17 &amp; ""'!"" &amp; $B22 &amp; "":"" &amp; $B22),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2" s="214">
        <f>IFERROR(__xludf.DUMMYFUNCTION("IFERROR(
    VARP(
        FILTER(
            INDIRECT(""'"" &amp; $B$17 &amp; ""'!"" &amp; $B22 &amp; "":"" &amp; $B22),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2" s="105">
        <f t="shared" ref="X22:AB22" si="32">sqrt(S22)</f>
        <v>0</v>
      </c>
      <c r="Y22" s="105">
        <f t="shared" si="32"/>
        <v>0</v>
      </c>
      <c r="Z22" s="105">
        <f t="shared" si="32"/>
        <v>0</v>
      </c>
      <c r="AA22" s="105">
        <f t="shared" si="32"/>
        <v>0</v>
      </c>
      <c r="AB22" s="105">
        <f t="shared" si="32"/>
        <v>0</v>
      </c>
      <c r="AC22" s="106">
        <f t="shared" si="21"/>
        <v>0</v>
      </c>
      <c r="AD22" s="106">
        <f t="shared" si="22"/>
        <v>0</v>
      </c>
      <c r="AE22" s="106">
        <f t="shared" si="23"/>
        <v>0</v>
      </c>
      <c r="AF22" s="106">
        <f t="shared" si="24"/>
        <v>0</v>
      </c>
      <c r="AG22" s="106">
        <f t="shared" si="25"/>
        <v>0</v>
      </c>
      <c r="AH22" s="106">
        <f t="shared" si="26"/>
        <v>0</v>
      </c>
      <c r="AI22" s="106">
        <f t="shared" si="27"/>
        <v>0</v>
      </c>
      <c r="AJ22" s="108">
        <f t="shared" si="28"/>
        <v>0</v>
      </c>
      <c r="AK22" s="109">
        <f t="shared" si="29"/>
        <v>0</v>
      </c>
      <c r="AL22" s="110">
        <f t="shared" si="30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3"/>
        <v>0</v>
      </c>
      <c r="E23" s="103">
        <f t="shared" si="33"/>
        <v>0</v>
      </c>
      <c r="F23" s="103">
        <f t="shared" si="33"/>
        <v>0</v>
      </c>
      <c r="G23" s="103">
        <f t="shared" si="33"/>
        <v>0</v>
      </c>
      <c r="H23" s="103">
        <f t="shared" si="9"/>
        <v>0</v>
      </c>
      <c r="I23" s="214">
        <f t="shared" si="10"/>
        <v>0</v>
      </c>
      <c r="J23" s="214">
        <f t="shared" si="11"/>
        <v>0</v>
      </c>
      <c r="K23" s="214">
        <f t="shared" si="12"/>
        <v>0</v>
      </c>
      <c r="L23" s="214">
        <f t="shared" si="13"/>
        <v>0</v>
      </c>
      <c r="M23" s="214">
        <f t="shared" si="14"/>
        <v>0</v>
      </c>
      <c r="N23" s="106">
        <f t="shared" si="15"/>
        <v>0</v>
      </c>
      <c r="O23" s="106">
        <f t="shared" si="16"/>
        <v>0</v>
      </c>
      <c r="P23" s="106">
        <f t="shared" si="17"/>
        <v>0</v>
      </c>
      <c r="Q23" s="106">
        <f t="shared" si="18"/>
        <v>0</v>
      </c>
      <c r="R23" s="106">
        <f t="shared" si="19"/>
        <v>0</v>
      </c>
      <c r="S23" s="214">
        <f>IFERROR(__xludf.DUMMYFUNCTION("IFERROR(
    VARP(
        FILTER(
            INDIRECT(""'"" &amp; $B$17 &amp; ""'!"" &amp; $B23 &amp; "":"" &amp; $B23),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3" s="214">
        <f>IFERROR(__xludf.DUMMYFUNCTION("IFERROR(
    VARP(
        FILTER(
            INDIRECT(""'"" &amp; $B$17 &amp; ""'!"" &amp; $B23 &amp; "":"" &amp; $B23),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3" s="214">
        <f>IFERROR(__xludf.DUMMYFUNCTION("IFERROR(
    VARP(
        FILTER(
            INDIRECT(""'"" &amp; $B$17 &amp; ""'!"" &amp; $B23 &amp; "":"" &amp; $B23),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3" s="214">
        <f>IFERROR(__xludf.DUMMYFUNCTION("IFERROR(
    VARP(
        FILTER(
            INDIRECT(""'"" &amp; $B$17 &amp; ""'!"" &amp; $B23 &amp; "":"" &amp; $B23),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3" s="214">
        <f>IFERROR(__xludf.DUMMYFUNCTION("IFERROR(
    VARP(
        FILTER(
            INDIRECT(""'"" &amp; $B$17 &amp; ""'!"" &amp; $B23 &amp; "":"" &amp; $B23),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3" s="105">
        <f t="shared" ref="X23:AB23" si="34">sqrt(S23)</f>
        <v>0</v>
      </c>
      <c r="Y23" s="105">
        <f t="shared" si="34"/>
        <v>0</v>
      </c>
      <c r="Z23" s="105">
        <f t="shared" si="34"/>
        <v>0</v>
      </c>
      <c r="AA23" s="105">
        <f t="shared" si="34"/>
        <v>0</v>
      </c>
      <c r="AB23" s="105">
        <f t="shared" si="34"/>
        <v>0</v>
      </c>
      <c r="AC23" s="106">
        <f t="shared" si="21"/>
        <v>0</v>
      </c>
      <c r="AD23" s="106">
        <f t="shared" si="22"/>
        <v>0</v>
      </c>
      <c r="AE23" s="106">
        <f t="shared" si="23"/>
        <v>0</v>
      </c>
      <c r="AF23" s="106">
        <f t="shared" si="24"/>
        <v>0</v>
      </c>
      <c r="AG23" s="106">
        <f t="shared" si="25"/>
        <v>0</v>
      </c>
      <c r="AH23" s="106">
        <f t="shared" si="26"/>
        <v>0</v>
      </c>
      <c r="AI23" s="106">
        <f t="shared" si="27"/>
        <v>0</v>
      </c>
      <c r="AJ23" s="108">
        <f t="shared" si="28"/>
        <v>0</v>
      </c>
      <c r="AK23" s="109">
        <f t="shared" si="29"/>
        <v>0</v>
      </c>
      <c r="AL23" s="110">
        <f t="shared" si="30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5"/>
        <v>0</v>
      </c>
      <c r="E24" s="103">
        <f t="shared" si="35"/>
        <v>0</v>
      </c>
      <c r="F24" s="103">
        <f t="shared" si="35"/>
        <v>0</v>
      </c>
      <c r="G24" s="103">
        <f t="shared" si="35"/>
        <v>0</v>
      </c>
      <c r="H24" s="103">
        <f t="shared" si="9"/>
        <v>0</v>
      </c>
      <c r="I24" s="214">
        <f t="shared" si="10"/>
        <v>0</v>
      </c>
      <c r="J24" s="214">
        <f t="shared" si="11"/>
        <v>0</v>
      </c>
      <c r="K24" s="214">
        <f t="shared" si="12"/>
        <v>0</v>
      </c>
      <c r="L24" s="214">
        <f t="shared" si="13"/>
        <v>0</v>
      </c>
      <c r="M24" s="214">
        <f t="shared" si="14"/>
        <v>0</v>
      </c>
      <c r="N24" s="106">
        <f t="shared" si="15"/>
        <v>0</v>
      </c>
      <c r="O24" s="106">
        <f t="shared" si="16"/>
        <v>0</v>
      </c>
      <c r="P24" s="106">
        <f t="shared" si="17"/>
        <v>0</v>
      </c>
      <c r="Q24" s="106">
        <f t="shared" si="18"/>
        <v>0</v>
      </c>
      <c r="R24" s="106">
        <f t="shared" si="19"/>
        <v>0</v>
      </c>
      <c r="S24" s="214">
        <f>IFERROR(__xludf.DUMMYFUNCTION("IFERROR(
    VARP(
        FILTER(
            INDIRECT(""'"" &amp; $B$17 &amp; ""'!"" &amp; $B24 &amp; "":"" &amp; $B24),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4" s="214">
        <f>IFERROR(__xludf.DUMMYFUNCTION("IFERROR(
    VARP(
        FILTER(
            INDIRECT(""'"" &amp; $B$17 &amp; ""'!"" &amp; $B24 &amp; "":"" &amp; $B24),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4" s="214">
        <f>IFERROR(__xludf.DUMMYFUNCTION("IFERROR(
    VARP(
        FILTER(
            INDIRECT(""'"" &amp; $B$17 &amp; ""'!"" &amp; $B24 &amp; "":"" &amp; $B24),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4" s="214">
        <f>IFERROR(__xludf.DUMMYFUNCTION("IFERROR(
    VARP(
        FILTER(
            INDIRECT(""'"" &amp; $B$17 &amp; ""'!"" &amp; $B24 &amp; "":"" &amp; $B24),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4" s="214">
        <f>IFERROR(__xludf.DUMMYFUNCTION("IFERROR(
    VARP(
        FILTER(
            INDIRECT(""'"" &amp; $B$17 &amp; ""'!"" &amp; $B24 &amp; "":"" &amp; $B24),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4" s="105">
        <f t="shared" ref="X24:AB24" si="36">sqrt(S24)</f>
        <v>0</v>
      </c>
      <c r="Y24" s="105">
        <f t="shared" si="36"/>
        <v>0</v>
      </c>
      <c r="Z24" s="105">
        <f t="shared" si="36"/>
        <v>0</v>
      </c>
      <c r="AA24" s="105">
        <f t="shared" si="36"/>
        <v>0</v>
      </c>
      <c r="AB24" s="105">
        <f t="shared" si="36"/>
        <v>0</v>
      </c>
      <c r="AC24" s="106">
        <f t="shared" si="21"/>
        <v>0</v>
      </c>
      <c r="AD24" s="106">
        <f t="shared" si="22"/>
        <v>0</v>
      </c>
      <c r="AE24" s="106">
        <f t="shared" si="23"/>
        <v>0</v>
      </c>
      <c r="AF24" s="106">
        <f t="shared" si="24"/>
        <v>0</v>
      </c>
      <c r="AG24" s="106">
        <f t="shared" si="25"/>
        <v>0</v>
      </c>
      <c r="AH24" s="106">
        <f t="shared" si="26"/>
        <v>0</v>
      </c>
      <c r="AI24" s="106">
        <f t="shared" si="27"/>
        <v>0</v>
      </c>
      <c r="AJ24" s="108">
        <f t="shared" si="28"/>
        <v>0</v>
      </c>
      <c r="AK24" s="109">
        <f t="shared" si="29"/>
        <v>0</v>
      </c>
      <c r="AL24" s="110">
        <f t="shared" si="30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7"/>
        <v>0</v>
      </c>
      <c r="E25" s="103">
        <f t="shared" si="37"/>
        <v>0</v>
      </c>
      <c r="F25" s="103">
        <f t="shared" si="37"/>
        <v>0</v>
      </c>
      <c r="G25" s="103">
        <f t="shared" si="37"/>
        <v>0</v>
      </c>
      <c r="H25" s="103">
        <f t="shared" si="9"/>
        <v>0</v>
      </c>
      <c r="I25" s="214">
        <f t="shared" si="10"/>
        <v>0</v>
      </c>
      <c r="J25" s="214">
        <f t="shared" si="11"/>
        <v>0</v>
      </c>
      <c r="K25" s="214">
        <f t="shared" si="12"/>
        <v>0</v>
      </c>
      <c r="L25" s="214">
        <f t="shared" si="13"/>
        <v>0</v>
      </c>
      <c r="M25" s="214">
        <f t="shared" si="14"/>
        <v>0</v>
      </c>
      <c r="N25" s="106">
        <f t="shared" si="15"/>
        <v>0</v>
      </c>
      <c r="O25" s="106">
        <f t="shared" si="16"/>
        <v>0</v>
      </c>
      <c r="P25" s="106">
        <f t="shared" si="17"/>
        <v>0</v>
      </c>
      <c r="Q25" s="106">
        <f t="shared" si="18"/>
        <v>0</v>
      </c>
      <c r="R25" s="106">
        <f t="shared" si="19"/>
        <v>0</v>
      </c>
      <c r="S25" s="214">
        <f>IFERROR(__xludf.DUMMYFUNCTION("IFERROR(
    VARP(
        FILTER(
            INDIRECT(""'"" &amp; $B$17 &amp; ""'!"" &amp; $B25 &amp; "":"" &amp; $B25),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5" s="214">
        <f>IFERROR(__xludf.DUMMYFUNCTION("IFERROR(
    VARP(
        FILTER(
            INDIRECT(""'"" &amp; $B$17 &amp; ""'!"" &amp; $B25 &amp; "":"" &amp; $B25),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5" s="214">
        <f>IFERROR(__xludf.DUMMYFUNCTION("IFERROR(
    VARP(
        FILTER(
            INDIRECT(""'"" &amp; $B$17 &amp; ""'!"" &amp; $B25 &amp; "":"" &amp; $B25),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5" s="214">
        <f>IFERROR(__xludf.DUMMYFUNCTION("IFERROR(
    VARP(
        FILTER(
            INDIRECT(""'"" &amp; $B$17 &amp; ""'!"" &amp; $B25 &amp; "":"" &amp; $B25),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5" s="214">
        <f>IFERROR(__xludf.DUMMYFUNCTION("IFERROR(
    VARP(
        FILTER(
            INDIRECT(""'"" &amp; $B$17 &amp; ""'!"" &amp; $B25 &amp; "":"" &amp; $B25),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5" s="105">
        <f t="shared" ref="X25:AB25" si="38">sqrt(S25)</f>
        <v>0</v>
      </c>
      <c r="Y25" s="105">
        <f t="shared" si="38"/>
        <v>0</v>
      </c>
      <c r="Z25" s="105">
        <f t="shared" si="38"/>
        <v>0</v>
      </c>
      <c r="AA25" s="105">
        <f t="shared" si="38"/>
        <v>0</v>
      </c>
      <c r="AB25" s="105">
        <f t="shared" si="38"/>
        <v>0</v>
      </c>
      <c r="AC25" s="106">
        <f t="shared" si="21"/>
        <v>0</v>
      </c>
      <c r="AD25" s="106">
        <f t="shared" si="22"/>
        <v>0</v>
      </c>
      <c r="AE25" s="106">
        <f t="shared" si="23"/>
        <v>0</v>
      </c>
      <c r="AF25" s="106">
        <f t="shared" si="24"/>
        <v>0</v>
      </c>
      <c r="AG25" s="106">
        <f t="shared" si="25"/>
        <v>0</v>
      </c>
      <c r="AH25" s="106">
        <f t="shared" si="26"/>
        <v>0</v>
      </c>
      <c r="AI25" s="106">
        <f t="shared" si="27"/>
        <v>0</v>
      </c>
      <c r="AJ25" s="108">
        <f t="shared" si="28"/>
        <v>0</v>
      </c>
      <c r="AK25" s="109">
        <f t="shared" si="29"/>
        <v>0</v>
      </c>
      <c r="AL25" s="110">
        <f t="shared" si="30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9"/>
        <v>0</v>
      </c>
      <c r="E26" s="103">
        <f t="shared" si="39"/>
        <v>0</v>
      </c>
      <c r="F26" s="103">
        <f t="shared" si="39"/>
        <v>0</v>
      </c>
      <c r="G26" s="103">
        <f t="shared" si="39"/>
        <v>0</v>
      </c>
      <c r="H26" s="103">
        <f t="shared" si="9"/>
        <v>0</v>
      </c>
      <c r="I26" s="214">
        <f t="shared" si="10"/>
        <v>0</v>
      </c>
      <c r="J26" s="214">
        <f t="shared" si="11"/>
        <v>0</v>
      </c>
      <c r="K26" s="214">
        <f t="shared" si="12"/>
        <v>0</v>
      </c>
      <c r="L26" s="214">
        <f t="shared" si="13"/>
        <v>0</v>
      </c>
      <c r="M26" s="214">
        <f t="shared" si="14"/>
        <v>0</v>
      </c>
      <c r="N26" s="106">
        <f t="shared" si="15"/>
        <v>0</v>
      </c>
      <c r="O26" s="106">
        <f t="shared" si="16"/>
        <v>0</v>
      </c>
      <c r="P26" s="106">
        <f t="shared" si="17"/>
        <v>0</v>
      </c>
      <c r="Q26" s="106">
        <f t="shared" si="18"/>
        <v>0</v>
      </c>
      <c r="R26" s="106">
        <f t="shared" si="19"/>
        <v>0</v>
      </c>
      <c r="S26" s="214">
        <f>IFERROR(__xludf.DUMMYFUNCTION("IFERROR(
    VARP(
        FILTER(
            INDIRECT(""'"" &amp; $B$17 &amp; ""'!"" &amp; $B26 &amp; "":"" &amp; $B26),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6" s="214">
        <f>IFERROR(__xludf.DUMMYFUNCTION("IFERROR(
    VARP(
        FILTER(
            INDIRECT(""'"" &amp; $B$17 &amp; ""'!"" &amp; $B26 &amp; "":"" &amp; $B26),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6" s="214">
        <f>IFERROR(__xludf.DUMMYFUNCTION("IFERROR(
    VARP(
        FILTER(
            INDIRECT(""'"" &amp; $B$17 &amp; ""'!"" &amp; $B26 &amp; "":"" &amp; $B26),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6" s="214">
        <f>IFERROR(__xludf.DUMMYFUNCTION("IFERROR(
    VARP(
        FILTER(
            INDIRECT(""'"" &amp; $B$17 &amp; ""'!"" &amp; $B26 &amp; "":"" &amp; $B26),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6" s="214">
        <f>IFERROR(__xludf.DUMMYFUNCTION("IFERROR(
    VARP(
        FILTER(
            INDIRECT(""'"" &amp; $B$17 &amp; ""'!"" &amp; $B26 &amp; "":"" &amp; $B26),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6" s="105">
        <f t="shared" ref="X26:AB26" si="40">sqrt(S26)</f>
        <v>0</v>
      </c>
      <c r="Y26" s="105">
        <f t="shared" si="40"/>
        <v>0</v>
      </c>
      <c r="Z26" s="105">
        <f t="shared" si="40"/>
        <v>0</v>
      </c>
      <c r="AA26" s="105">
        <f t="shared" si="40"/>
        <v>0</v>
      </c>
      <c r="AB26" s="105">
        <f t="shared" si="40"/>
        <v>0</v>
      </c>
      <c r="AC26" s="106">
        <f t="shared" si="21"/>
        <v>0</v>
      </c>
      <c r="AD26" s="106">
        <f t="shared" si="22"/>
        <v>0</v>
      </c>
      <c r="AE26" s="106">
        <f t="shared" si="23"/>
        <v>0</v>
      </c>
      <c r="AF26" s="106">
        <f t="shared" si="24"/>
        <v>0</v>
      </c>
      <c r="AG26" s="106">
        <f t="shared" si="25"/>
        <v>0</v>
      </c>
      <c r="AH26" s="106">
        <f t="shared" si="26"/>
        <v>0</v>
      </c>
      <c r="AI26" s="106">
        <f t="shared" si="27"/>
        <v>0</v>
      </c>
      <c r="AJ26" s="108">
        <f t="shared" si="28"/>
        <v>0</v>
      </c>
      <c r="AK26" s="109">
        <f t="shared" si="29"/>
        <v>0</v>
      </c>
      <c r="AL26" s="110">
        <f t="shared" si="30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29"/>
      <c r="T27" s="29"/>
      <c r="U27" s="29"/>
      <c r="V27" s="29"/>
      <c r="W27" s="29"/>
      <c r="X27" s="29"/>
      <c r="Y27" s="112"/>
      <c r="Z27" s="112"/>
      <c r="AA27" s="29"/>
      <c r="AB27" s="29"/>
      <c r="AC27" s="112"/>
      <c r="AD27" s="112"/>
      <c r="AE27" s="112"/>
      <c r="AF27" s="112"/>
      <c r="AG27" s="112"/>
      <c r="AH27" s="29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4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41"/>
        <v>0</v>
      </c>
      <c r="E28" s="116">
        <f t="shared" si="41"/>
        <v>0</v>
      </c>
      <c r="F28" s="116">
        <f t="shared" si="41"/>
        <v>0</v>
      </c>
      <c r="G28" s="116">
        <f t="shared" si="41"/>
        <v>0</v>
      </c>
      <c r="H28" s="116">
        <f t="shared" ref="H28:H34" si="44">SUM(C28:G28)</f>
        <v>0</v>
      </c>
      <c r="I28" s="215">
        <f t="shared" ref="I28:I34" si="45">IF($D$6 = 0, 0, C28 / $D$6)</f>
        <v>0</v>
      </c>
      <c r="J28" s="215">
        <f t="shared" ref="J28:J34" si="46">IF($D$7 = 0, 0, D28 / $D$7)</f>
        <v>0</v>
      </c>
      <c r="K28" s="215">
        <f t="shared" ref="K28:K34" si="47">IF($D$8 = 0, 0, E28 / $D$8)</f>
        <v>0</v>
      </c>
      <c r="L28" s="215">
        <f t="shared" ref="L28:L34" si="48">IF($D$9 = 0, 0, F28 / $D$9)</f>
        <v>0</v>
      </c>
      <c r="M28" s="215">
        <f t="shared" ref="M28:M34" si="49">IF($D$10 = 0, 0, G28 / $D$10)</f>
        <v>0</v>
      </c>
      <c r="N28" s="119">
        <f t="shared" ref="N28:N34" si="50">I28*B$6</f>
        <v>0</v>
      </c>
      <c r="O28" s="119">
        <f t="shared" ref="O28:O34" si="51">J28*B$7</f>
        <v>0</v>
      </c>
      <c r="P28" s="119">
        <f t="shared" ref="P28:P34" si="52">K28*B$8</f>
        <v>0</v>
      </c>
      <c r="Q28" s="119">
        <f t="shared" ref="Q28:Q34" si="53">L28*B$9</f>
        <v>0</v>
      </c>
      <c r="R28" s="119">
        <f t="shared" ref="R28:R34" si="54">M28*B$10</f>
        <v>0</v>
      </c>
      <c r="S28" s="215">
        <f>IFERROR(__xludf.DUMMYFUNCTION("IFERROR(
    VARP(
        FILTER(
            INDIRECT(""'"" &amp; $B$17 &amp; ""'!"" &amp; $B28 &amp; "":"" &amp; $B28),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8" s="215">
        <f>IFERROR(__xludf.DUMMYFUNCTION("IFERROR(
    VARP(
        FILTER(
            INDIRECT(""'"" &amp; $B$17 &amp; ""'!"" &amp; $B28 &amp; "":"" &amp; $B28),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8" s="215">
        <f>IFERROR(__xludf.DUMMYFUNCTION("IFERROR(
    VARP(
        FILTER(
            INDIRECT(""'"" &amp; $B$17 &amp; ""'!"" &amp; $B28 &amp; "":"" &amp; $B28),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8" s="215">
        <f>IFERROR(__xludf.DUMMYFUNCTION("IFERROR(
    VARP(
        FILTER(
            INDIRECT(""'"" &amp; $B$17 &amp; ""'!"" &amp; $B28 &amp; "":"" &amp; $B28),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8" s="215">
        <f>IFERROR(__xludf.DUMMYFUNCTION("IFERROR(
    VARP(
        FILTER(
            INDIRECT(""'"" &amp; $B$17 &amp; ""'!"" &amp; $B28 &amp; "":"" &amp; $B28),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8" s="118">
        <f t="shared" ref="X28:AB28" si="42">sqrt(S28)</f>
        <v>0</v>
      </c>
      <c r="Y28" s="118">
        <f t="shared" si="42"/>
        <v>0</v>
      </c>
      <c r="Z28" s="118">
        <f t="shared" si="42"/>
        <v>0</v>
      </c>
      <c r="AA28" s="118">
        <f t="shared" si="42"/>
        <v>0</v>
      </c>
      <c r="AB28" s="118">
        <f t="shared" si="42"/>
        <v>0</v>
      </c>
      <c r="AC28" s="119">
        <f t="shared" ref="AC28:AC34" si="56">IF($D$6=0,0, X28/sqrt($D$6)*$B$6)</f>
        <v>0</v>
      </c>
      <c r="AD28" s="119">
        <f t="shared" ref="AD28:AD34" si="57">IF($D$7=0,0, Y28/sqrt($D$7)*$B$7)</f>
        <v>0</v>
      </c>
      <c r="AE28" s="119">
        <f t="shared" ref="AE28:AE34" si="58">IF($D$8=0,0, Z28/sqrt($D$8)*$B$8)</f>
        <v>0</v>
      </c>
      <c r="AF28" s="119">
        <f t="shared" ref="AF28:AF34" si="59">IF($D$9=0,0, AA28/sqrt($D$9)*$B$9)</f>
        <v>0</v>
      </c>
      <c r="AG28" s="119">
        <f t="shared" ref="AG28:AG34" si="60">IF($D$10=0,0, AB28/sqrt($D$10)*$B$10)</f>
        <v>0</v>
      </c>
      <c r="AH28" s="119">
        <f t="shared" ref="AH28:AH34" si="61">AC28*AC28+AD28*AD28+AE28*AE28+AF28*AF28+AG28*AG28</f>
        <v>0</v>
      </c>
      <c r="AI28" s="119">
        <f t="shared" ref="AI28:AI34" si="62">$B$15*sqrt(AH28)</f>
        <v>0</v>
      </c>
      <c r="AJ28" s="120">
        <f t="shared" ref="AJ28:AJ34" si="63">SUM(N28:R28)</f>
        <v>0</v>
      </c>
      <c r="AK28" s="121">
        <f t="shared" ref="AK28:AK34" si="64">IF(AI28=0,0,AI28/AJ28)</f>
        <v>0</v>
      </c>
      <c r="AL28" s="122">
        <f t="shared" ref="AL28:AL34" si="65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4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43"/>
        <v>0</v>
      </c>
      <c r="E29" s="116">
        <f t="shared" si="43"/>
        <v>0</v>
      </c>
      <c r="F29" s="116">
        <f t="shared" si="43"/>
        <v>0</v>
      </c>
      <c r="G29" s="116">
        <f t="shared" si="43"/>
        <v>0</v>
      </c>
      <c r="H29" s="116">
        <f t="shared" si="44"/>
        <v>0</v>
      </c>
      <c r="I29" s="215">
        <f t="shared" si="45"/>
        <v>0</v>
      </c>
      <c r="J29" s="215">
        <f t="shared" si="46"/>
        <v>0</v>
      </c>
      <c r="K29" s="215">
        <f t="shared" si="47"/>
        <v>0</v>
      </c>
      <c r="L29" s="215">
        <f t="shared" si="48"/>
        <v>0</v>
      </c>
      <c r="M29" s="215">
        <f t="shared" si="49"/>
        <v>0</v>
      </c>
      <c r="N29" s="119">
        <f t="shared" si="50"/>
        <v>0</v>
      </c>
      <c r="O29" s="119">
        <f t="shared" si="51"/>
        <v>0</v>
      </c>
      <c r="P29" s="119">
        <f t="shared" si="52"/>
        <v>0</v>
      </c>
      <c r="Q29" s="119">
        <f t="shared" si="53"/>
        <v>0</v>
      </c>
      <c r="R29" s="119">
        <f t="shared" si="54"/>
        <v>0</v>
      </c>
      <c r="S29" s="215">
        <f>IFERROR(__xludf.DUMMYFUNCTION("IFERROR(
    VARP(
        FILTER(
            INDIRECT(""'"" &amp; $B$17 &amp; ""'!"" &amp; $B29 &amp; "":"" &amp; $B29),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9" s="215">
        <f>IFERROR(__xludf.DUMMYFUNCTION("IFERROR(
    VARP(
        FILTER(
            INDIRECT(""'"" &amp; $B$17 &amp; ""'!"" &amp; $B29 &amp; "":"" &amp; $B29),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9" s="215">
        <f>IFERROR(__xludf.DUMMYFUNCTION("IFERROR(
    VARP(
        FILTER(
            INDIRECT(""'"" &amp; $B$17 &amp; ""'!"" &amp; $B29 &amp; "":"" &amp; $B29),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9" s="215">
        <f>IFERROR(__xludf.DUMMYFUNCTION("IFERROR(
    VARP(
        FILTER(
            INDIRECT(""'"" &amp; $B$17 &amp; ""'!"" &amp; $B29 &amp; "":"" &amp; $B29),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9" s="215">
        <f>IFERROR(__xludf.DUMMYFUNCTION("IFERROR(
    VARP(
        FILTER(
            INDIRECT(""'"" &amp; $B$17 &amp; ""'!"" &amp; $B29 &amp; "":"" &amp; $B29),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9" s="118">
        <f t="shared" ref="X29:AB29" si="55">sqrt(S29)</f>
        <v>0</v>
      </c>
      <c r="Y29" s="118">
        <f t="shared" si="55"/>
        <v>0</v>
      </c>
      <c r="Z29" s="118">
        <f t="shared" si="55"/>
        <v>0</v>
      </c>
      <c r="AA29" s="118">
        <f t="shared" si="55"/>
        <v>0</v>
      </c>
      <c r="AB29" s="118">
        <f t="shared" si="55"/>
        <v>0</v>
      </c>
      <c r="AC29" s="119">
        <f t="shared" si="56"/>
        <v>0</v>
      </c>
      <c r="AD29" s="119">
        <f t="shared" si="57"/>
        <v>0</v>
      </c>
      <c r="AE29" s="119">
        <f t="shared" si="58"/>
        <v>0</v>
      </c>
      <c r="AF29" s="119">
        <f t="shared" si="59"/>
        <v>0</v>
      </c>
      <c r="AG29" s="119">
        <f t="shared" si="60"/>
        <v>0</v>
      </c>
      <c r="AH29" s="119">
        <f t="shared" si="61"/>
        <v>0</v>
      </c>
      <c r="AI29" s="119">
        <f t="shared" si="62"/>
        <v>0</v>
      </c>
      <c r="AJ29" s="120">
        <f t="shared" si="63"/>
        <v>0</v>
      </c>
      <c r="AK29" s="121">
        <f t="shared" si="64"/>
        <v>0</v>
      </c>
      <c r="AL29" s="122">
        <f t="shared" si="65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6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66"/>
        <v>0</v>
      </c>
      <c r="E30" s="116">
        <f t="shared" si="66"/>
        <v>0</v>
      </c>
      <c r="F30" s="116">
        <f t="shared" si="66"/>
        <v>0</v>
      </c>
      <c r="G30" s="116">
        <f t="shared" si="66"/>
        <v>0</v>
      </c>
      <c r="H30" s="116">
        <f t="shared" si="44"/>
        <v>0</v>
      </c>
      <c r="I30" s="215">
        <f t="shared" si="45"/>
        <v>0</v>
      </c>
      <c r="J30" s="215">
        <f t="shared" si="46"/>
        <v>0</v>
      </c>
      <c r="K30" s="215">
        <f t="shared" si="47"/>
        <v>0</v>
      </c>
      <c r="L30" s="215">
        <f t="shared" si="48"/>
        <v>0</v>
      </c>
      <c r="M30" s="215">
        <f t="shared" si="49"/>
        <v>0</v>
      </c>
      <c r="N30" s="119">
        <f t="shared" si="50"/>
        <v>0</v>
      </c>
      <c r="O30" s="119">
        <f t="shared" si="51"/>
        <v>0</v>
      </c>
      <c r="P30" s="119">
        <f t="shared" si="52"/>
        <v>0</v>
      </c>
      <c r="Q30" s="119">
        <f t="shared" si="53"/>
        <v>0</v>
      </c>
      <c r="R30" s="119">
        <f t="shared" si="54"/>
        <v>0</v>
      </c>
      <c r="S30" s="215">
        <f>IFERROR(__xludf.DUMMYFUNCTION("IFERROR(
    VARP(
        FILTER(
            INDIRECT(""'"" &amp; $B$17 &amp; ""'!"" &amp; $B30 &amp; "":"" &amp; $B30),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0" s="215">
        <f>IFERROR(__xludf.DUMMYFUNCTION("IFERROR(
    VARP(
        FILTER(
            INDIRECT(""'"" &amp; $B$17 &amp; ""'!"" &amp; $B30 &amp; "":"" &amp; $B30),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0" s="215">
        <f>IFERROR(__xludf.DUMMYFUNCTION("IFERROR(
    VARP(
        FILTER(
            INDIRECT(""'"" &amp; $B$17 &amp; ""'!"" &amp; $B30 &amp; "":"" &amp; $B30),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0" s="215">
        <f>IFERROR(__xludf.DUMMYFUNCTION("IFERROR(
    VARP(
        FILTER(
            INDIRECT(""'"" &amp; $B$17 &amp; ""'!"" &amp; $B30 &amp; "":"" &amp; $B30),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0" s="215">
        <f>IFERROR(__xludf.DUMMYFUNCTION("IFERROR(
    VARP(
        FILTER(
            INDIRECT(""'"" &amp; $B$17 &amp; ""'!"" &amp; $B30 &amp; "":"" &amp; $B30),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0" s="118">
        <f t="shared" ref="X30:AB30" si="67">sqrt(S30)</f>
        <v>0</v>
      </c>
      <c r="Y30" s="118">
        <f t="shared" si="67"/>
        <v>0</v>
      </c>
      <c r="Z30" s="118">
        <f t="shared" si="67"/>
        <v>0</v>
      </c>
      <c r="AA30" s="118">
        <f t="shared" si="67"/>
        <v>0</v>
      </c>
      <c r="AB30" s="118">
        <f t="shared" si="67"/>
        <v>0</v>
      </c>
      <c r="AC30" s="119">
        <f t="shared" si="56"/>
        <v>0</v>
      </c>
      <c r="AD30" s="119">
        <f t="shared" si="57"/>
        <v>0</v>
      </c>
      <c r="AE30" s="119">
        <f t="shared" si="58"/>
        <v>0</v>
      </c>
      <c r="AF30" s="119">
        <f t="shared" si="59"/>
        <v>0</v>
      </c>
      <c r="AG30" s="119">
        <f t="shared" si="60"/>
        <v>0</v>
      </c>
      <c r="AH30" s="119">
        <f t="shared" si="61"/>
        <v>0</v>
      </c>
      <c r="AI30" s="119">
        <f t="shared" si="62"/>
        <v>0</v>
      </c>
      <c r="AJ30" s="120">
        <f t="shared" si="63"/>
        <v>0</v>
      </c>
      <c r="AK30" s="121">
        <f t="shared" si="64"/>
        <v>0</v>
      </c>
      <c r="AL30" s="122">
        <f t="shared" si="65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6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68"/>
        <v>0</v>
      </c>
      <c r="E31" s="116">
        <f t="shared" si="68"/>
        <v>0</v>
      </c>
      <c r="F31" s="116">
        <f t="shared" si="68"/>
        <v>0</v>
      </c>
      <c r="G31" s="116">
        <f t="shared" si="68"/>
        <v>0</v>
      </c>
      <c r="H31" s="116">
        <f t="shared" si="44"/>
        <v>0</v>
      </c>
      <c r="I31" s="215">
        <f t="shared" si="45"/>
        <v>0</v>
      </c>
      <c r="J31" s="215">
        <f t="shared" si="46"/>
        <v>0</v>
      </c>
      <c r="K31" s="215">
        <f t="shared" si="47"/>
        <v>0</v>
      </c>
      <c r="L31" s="215">
        <f t="shared" si="48"/>
        <v>0</v>
      </c>
      <c r="M31" s="215">
        <f t="shared" si="49"/>
        <v>0</v>
      </c>
      <c r="N31" s="119">
        <f t="shared" si="50"/>
        <v>0</v>
      </c>
      <c r="O31" s="119">
        <f t="shared" si="51"/>
        <v>0</v>
      </c>
      <c r="P31" s="119">
        <f t="shared" si="52"/>
        <v>0</v>
      </c>
      <c r="Q31" s="119">
        <f t="shared" si="53"/>
        <v>0</v>
      </c>
      <c r="R31" s="119">
        <f t="shared" si="54"/>
        <v>0</v>
      </c>
      <c r="S31" s="215">
        <f>IFERROR(__xludf.DUMMYFUNCTION("IFERROR(
    VARP(
        FILTER(
            INDIRECT(""'"" &amp; $B$17 &amp; ""'!"" &amp; $B31 &amp; "":"" &amp; $B31),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1" s="215">
        <f>IFERROR(__xludf.DUMMYFUNCTION("IFERROR(
    VARP(
        FILTER(
            INDIRECT(""'"" &amp; $B$17 &amp; ""'!"" &amp; $B31 &amp; "":"" &amp; $B31),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1" s="215">
        <f>IFERROR(__xludf.DUMMYFUNCTION("IFERROR(
    VARP(
        FILTER(
            INDIRECT(""'"" &amp; $B$17 &amp; ""'!"" &amp; $B31 &amp; "":"" &amp; $B31),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1" s="215">
        <f>IFERROR(__xludf.DUMMYFUNCTION("IFERROR(
    VARP(
        FILTER(
            INDIRECT(""'"" &amp; $B$17 &amp; ""'!"" &amp; $B31 &amp; "":"" &amp; $B31),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1" s="215">
        <f>IFERROR(__xludf.DUMMYFUNCTION("IFERROR(
    VARP(
        FILTER(
            INDIRECT(""'"" &amp; $B$17 &amp; ""'!"" &amp; $B31 &amp; "":"" &amp; $B31),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1" s="118">
        <f t="shared" ref="X31:AB31" si="69">sqrt(S31)</f>
        <v>0</v>
      </c>
      <c r="Y31" s="118">
        <f t="shared" si="69"/>
        <v>0</v>
      </c>
      <c r="Z31" s="118">
        <f t="shared" si="69"/>
        <v>0</v>
      </c>
      <c r="AA31" s="118">
        <f t="shared" si="69"/>
        <v>0</v>
      </c>
      <c r="AB31" s="118">
        <f t="shared" si="69"/>
        <v>0</v>
      </c>
      <c r="AC31" s="119">
        <f t="shared" si="56"/>
        <v>0</v>
      </c>
      <c r="AD31" s="119">
        <f t="shared" si="57"/>
        <v>0</v>
      </c>
      <c r="AE31" s="119">
        <f t="shared" si="58"/>
        <v>0</v>
      </c>
      <c r="AF31" s="119">
        <f t="shared" si="59"/>
        <v>0</v>
      </c>
      <c r="AG31" s="119">
        <f t="shared" si="60"/>
        <v>0</v>
      </c>
      <c r="AH31" s="119">
        <f t="shared" si="61"/>
        <v>0</v>
      </c>
      <c r="AI31" s="119">
        <f t="shared" si="62"/>
        <v>0</v>
      </c>
      <c r="AJ31" s="120">
        <f t="shared" si="63"/>
        <v>0</v>
      </c>
      <c r="AK31" s="121">
        <f t="shared" si="64"/>
        <v>0</v>
      </c>
      <c r="AL31" s="122">
        <f t="shared" si="65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7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70"/>
        <v>0</v>
      </c>
      <c r="E32" s="116">
        <f t="shared" si="70"/>
        <v>0</v>
      </c>
      <c r="F32" s="116">
        <f t="shared" si="70"/>
        <v>0</v>
      </c>
      <c r="G32" s="116">
        <f t="shared" si="70"/>
        <v>0</v>
      </c>
      <c r="H32" s="116">
        <f t="shared" si="44"/>
        <v>0</v>
      </c>
      <c r="I32" s="215">
        <f t="shared" si="45"/>
        <v>0</v>
      </c>
      <c r="J32" s="215">
        <f t="shared" si="46"/>
        <v>0</v>
      </c>
      <c r="K32" s="215">
        <f t="shared" si="47"/>
        <v>0</v>
      </c>
      <c r="L32" s="215">
        <f t="shared" si="48"/>
        <v>0</v>
      </c>
      <c r="M32" s="215">
        <f t="shared" si="49"/>
        <v>0</v>
      </c>
      <c r="N32" s="119">
        <f t="shared" si="50"/>
        <v>0</v>
      </c>
      <c r="O32" s="119">
        <f t="shared" si="51"/>
        <v>0</v>
      </c>
      <c r="P32" s="119">
        <f t="shared" si="52"/>
        <v>0</v>
      </c>
      <c r="Q32" s="119">
        <f t="shared" si="53"/>
        <v>0</v>
      </c>
      <c r="R32" s="119">
        <f t="shared" si="54"/>
        <v>0</v>
      </c>
      <c r="S32" s="215">
        <f>IFERROR(__xludf.DUMMYFUNCTION("IFERROR(
    VARP(
        FILTER(
            INDIRECT(""'"" &amp; $B$17 &amp; ""'!"" &amp; $B32 &amp; "":"" &amp; $B32),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2" s="215">
        <f>IFERROR(__xludf.DUMMYFUNCTION("IFERROR(
    VARP(
        FILTER(
            INDIRECT(""'"" &amp; $B$17 &amp; ""'!"" &amp; $B32 &amp; "":"" &amp; $B32),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2" s="215">
        <f>IFERROR(__xludf.DUMMYFUNCTION("IFERROR(
    VARP(
        FILTER(
            INDIRECT(""'"" &amp; $B$17 &amp; ""'!"" &amp; $B32 &amp; "":"" &amp; $B32),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2" s="215">
        <f>IFERROR(__xludf.DUMMYFUNCTION("IFERROR(
    VARP(
        FILTER(
            INDIRECT(""'"" &amp; $B$17 &amp; ""'!"" &amp; $B32 &amp; "":"" &amp; $B32),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2" s="215">
        <f>IFERROR(__xludf.DUMMYFUNCTION("IFERROR(
    VARP(
        FILTER(
            INDIRECT(""'"" &amp; $B$17 &amp; ""'!"" &amp; $B32 &amp; "":"" &amp; $B32),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2" s="118">
        <f t="shared" ref="X32:AB32" si="71">sqrt(S32)</f>
        <v>0</v>
      </c>
      <c r="Y32" s="118">
        <f t="shared" si="71"/>
        <v>0</v>
      </c>
      <c r="Z32" s="118">
        <f t="shared" si="71"/>
        <v>0</v>
      </c>
      <c r="AA32" s="118">
        <f t="shared" si="71"/>
        <v>0</v>
      </c>
      <c r="AB32" s="118">
        <f t="shared" si="71"/>
        <v>0</v>
      </c>
      <c r="AC32" s="119">
        <f t="shared" si="56"/>
        <v>0</v>
      </c>
      <c r="AD32" s="119">
        <f t="shared" si="57"/>
        <v>0</v>
      </c>
      <c r="AE32" s="119">
        <f t="shared" si="58"/>
        <v>0</v>
      </c>
      <c r="AF32" s="119">
        <f t="shared" si="59"/>
        <v>0</v>
      </c>
      <c r="AG32" s="119">
        <f t="shared" si="60"/>
        <v>0</v>
      </c>
      <c r="AH32" s="119">
        <f t="shared" si="61"/>
        <v>0</v>
      </c>
      <c r="AI32" s="119">
        <f t="shared" si="62"/>
        <v>0</v>
      </c>
      <c r="AJ32" s="120">
        <f t="shared" si="63"/>
        <v>0</v>
      </c>
      <c r="AK32" s="121">
        <f t="shared" si="64"/>
        <v>0</v>
      </c>
      <c r="AL32" s="122">
        <f t="shared" si="65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7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72"/>
        <v>0</v>
      </c>
      <c r="E33" s="116">
        <f t="shared" si="72"/>
        <v>0</v>
      </c>
      <c r="F33" s="116">
        <f t="shared" si="72"/>
        <v>0</v>
      </c>
      <c r="G33" s="116">
        <f t="shared" si="72"/>
        <v>0</v>
      </c>
      <c r="H33" s="116">
        <f t="shared" si="44"/>
        <v>0</v>
      </c>
      <c r="I33" s="215">
        <f t="shared" si="45"/>
        <v>0</v>
      </c>
      <c r="J33" s="215">
        <f t="shared" si="46"/>
        <v>0</v>
      </c>
      <c r="K33" s="215">
        <f t="shared" si="47"/>
        <v>0</v>
      </c>
      <c r="L33" s="215">
        <f t="shared" si="48"/>
        <v>0</v>
      </c>
      <c r="M33" s="215">
        <f t="shared" si="49"/>
        <v>0</v>
      </c>
      <c r="N33" s="119">
        <f t="shared" si="50"/>
        <v>0</v>
      </c>
      <c r="O33" s="119">
        <f t="shared" si="51"/>
        <v>0</v>
      </c>
      <c r="P33" s="119">
        <f t="shared" si="52"/>
        <v>0</v>
      </c>
      <c r="Q33" s="119">
        <f t="shared" si="53"/>
        <v>0</v>
      </c>
      <c r="R33" s="119">
        <f t="shared" si="54"/>
        <v>0</v>
      </c>
      <c r="S33" s="215">
        <f>IFERROR(__xludf.DUMMYFUNCTION("IFERROR(
    VARP(
        FILTER(
            INDIRECT(""'"" &amp; $B$17 &amp; ""'!"" &amp; $B33 &amp; "":"" &amp; $B33),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3" s="215">
        <f>IFERROR(__xludf.DUMMYFUNCTION("IFERROR(
    VARP(
        FILTER(
            INDIRECT(""'"" &amp; $B$17 &amp; ""'!"" &amp; $B33 &amp; "":"" &amp; $B33),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3" s="215">
        <f>IFERROR(__xludf.DUMMYFUNCTION("IFERROR(
    VARP(
        FILTER(
            INDIRECT(""'"" &amp; $B$17 &amp; ""'!"" &amp; $B33 &amp; "":"" &amp; $B33),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3" s="215">
        <f>IFERROR(__xludf.DUMMYFUNCTION("IFERROR(
    VARP(
        FILTER(
            INDIRECT(""'"" &amp; $B$17 &amp; ""'!"" &amp; $B33 &amp; "":"" &amp; $B33),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3" s="215">
        <f>IFERROR(__xludf.DUMMYFUNCTION("IFERROR(
    VARP(
        FILTER(
            INDIRECT(""'"" &amp; $B$17 &amp; ""'!"" &amp; $B33 &amp; "":"" &amp; $B33),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3" s="118">
        <f t="shared" ref="X33:AB33" si="73">sqrt(S33)</f>
        <v>0</v>
      </c>
      <c r="Y33" s="118">
        <f t="shared" si="73"/>
        <v>0</v>
      </c>
      <c r="Z33" s="118">
        <f t="shared" si="73"/>
        <v>0</v>
      </c>
      <c r="AA33" s="118">
        <f t="shared" si="73"/>
        <v>0</v>
      </c>
      <c r="AB33" s="118">
        <f t="shared" si="73"/>
        <v>0</v>
      </c>
      <c r="AC33" s="119">
        <f t="shared" si="56"/>
        <v>0</v>
      </c>
      <c r="AD33" s="119">
        <f t="shared" si="57"/>
        <v>0</v>
      </c>
      <c r="AE33" s="119">
        <f t="shared" si="58"/>
        <v>0</v>
      </c>
      <c r="AF33" s="119">
        <f t="shared" si="59"/>
        <v>0</v>
      </c>
      <c r="AG33" s="119">
        <f t="shared" si="60"/>
        <v>0</v>
      </c>
      <c r="AH33" s="119">
        <f t="shared" si="61"/>
        <v>0</v>
      </c>
      <c r="AI33" s="119">
        <f t="shared" si="62"/>
        <v>0</v>
      </c>
      <c r="AJ33" s="120">
        <f t="shared" si="63"/>
        <v>0</v>
      </c>
      <c r="AK33" s="121">
        <f t="shared" si="64"/>
        <v>0</v>
      </c>
      <c r="AL33" s="122">
        <f t="shared" si="65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7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74"/>
        <v>0</v>
      </c>
      <c r="E34" s="116">
        <f t="shared" si="74"/>
        <v>0</v>
      </c>
      <c r="F34" s="116">
        <f t="shared" si="74"/>
        <v>0</v>
      </c>
      <c r="G34" s="116">
        <f t="shared" si="74"/>
        <v>0</v>
      </c>
      <c r="H34" s="116">
        <f t="shared" si="44"/>
        <v>0</v>
      </c>
      <c r="I34" s="215">
        <f t="shared" si="45"/>
        <v>0</v>
      </c>
      <c r="J34" s="215">
        <f t="shared" si="46"/>
        <v>0</v>
      </c>
      <c r="K34" s="215">
        <f t="shared" si="47"/>
        <v>0</v>
      </c>
      <c r="L34" s="215">
        <f t="shared" si="48"/>
        <v>0</v>
      </c>
      <c r="M34" s="215">
        <f t="shared" si="49"/>
        <v>0</v>
      </c>
      <c r="N34" s="119">
        <f t="shared" si="50"/>
        <v>0</v>
      </c>
      <c r="O34" s="119">
        <f t="shared" si="51"/>
        <v>0</v>
      </c>
      <c r="P34" s="119">
        <f t="shared" si="52"/>
        <v>0</v>
      </c>
      <c r="Q34" s="119">
        <f t="shared" si="53"/>
        <v>0</v>
      </c>
      <c r="R34" s="119">
        <f t="shared" si="54"/>
        <v>0</v>
      </c>
      <c r="S34" s="215">
        <f>IFERROR(__xludf.DUMMYFUNCTION("IFERROR(
    VARP(
        FILTER(
            INDIRECT(""'"" &amp; $B$17 &amp; ""'!"" &amp; $B34 &amp; "":"" &amp; $B34),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4" s="215">
        <f>IFERROR(__xludf.DUMMYFUNCTION("IFERROR(
    VARP(
        FILTER(
            INDIRECT(""'"" &amp; $B$17 &amp; ""'!"" &amp; $B34 &amp; "":"" &amp; $B34),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4" s="215">
        <f>IFERROR(__xludf.DUMMYFUNCTION("IFERROR(
    VARP(
        FILTER(
            INDIRECT(""'"" &amp; $B$17 &amp; ""'!"" &amp; $B34 &amp; "":"" &amp; $B34),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4" s="215">
        <f>IFERROR(__xludf.DUMMYFUNCTION("IFERROR(
    VARP(
        FILTER(
            INDIRECT(""'"" &amp; $B$17 &amp; ""'!"" &amp; $B34 &amp; "":"" &amp; $B34),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4" s="215">
        <f>IFERROR(__xludf.DUMMYFUNCTION("IFERROR(
    VARP(
        FILTER(
            INDIRECT(""'"" &amp; $B$17 &amp; ""'!"" &amp; $B34 &amp; "":"" &amp; $B34),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4" s="118">
        <f t="shared" ref="X34:AB34" si="75">sqrt(S34)</f>
        <v>0</v>
      </c>
      <c r="Y34" s="118">
        <f t="shared" si="75"/>
        <v>0</v>
      </c>
      <c r="Z34" s="118">
        <f t="shared" si="75"/>
        <v>0</v>
      </c>
      <c r="AA34" s="118">
        <f t="shared" si="75"/>
        <v>0</v>
      </c>
      <c r="AB34" s="118">
        <f t="shared" si="75"/>
        <v>0</v>
      </c>
      <c r="AC34" s="119">
        <f t="shared" si="56"/>
        <v>0</v>
      </c>
      <c r="AD34" s="119">
        <f t="shared" si="57"/>
        <v>0</v>
      </c>
      <c r="AE34" s="119">
        <f t="shared" si="58"/>
        <v>0</v>
      </c>
      <c r="AF34" s="119">
        <f t="shared" si="59"/>
        <v>0</v>
      </c>
      <c r="AG34" s="119">
        <f t="shared" si="60"/>
        <v>0</v>
      </c>
      <c r="AH34" s="119">
        <f t="shared" si="61"/>
        <v>0</v>
      </c>
      <c r="AI34" s="119">
        <f t="shared" si="62"/>
        <v>0</v>
      </c>
      <c r="AJ34" s="120">
        <f t="shared" si="63"/>
        <v>0</v>
      </c>
      <c r="AK34" s="121">
        <f t="shared" si="64"/>
        <v>0</v>
      </c>
      <c r="AL34" s="122">
        <f t="shared" si="65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85"/>
      <c r="AA35" s="85"/>
      <c r="AB35" s="29"/>
      <c r="AC35" s="112"/>
      <c r="AD35" s="112"/>
      <c r="AE35" s="112"/>
      <c r="AF35" s="112"/>
      <c r="AG35" s="112"/>
      <c r="AH35" s="29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Z36" s="59"/>
      <c r="AC36" s="56"/>
      <c r="AD36" s="56"/>
      <c r="AE36" s="56"/>
      <c r="AF36" s="56"/>
      <c r="AG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76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76"/>
        <v>0</v>
      </c>
      <c r="E37" s="125">
        <f t="shared" si="76"/>
        <v>0</v>
      </c>
      <c r="F37" s="125">
        <f t="shared" si="76"/>
        <v>0</v>
      </c>
      <c r="G37" s="125">
        <f t="shared" si="76"/>
        <v>0</v>
      </c>
      <c r="H37" s="125">
        <f t="shared" ref="H37:H38" si="79">SUM(C37:G37)</f>
        <v>0</v>
      </c>
      <c r="I37" s="218">
        <f t="shared" ref="I37:I38" si="80">IF($D$6 = 0, 0, C37 / $D$6)</f>
        <v>0</v>
      </c>
      <c r="J37" s="218">
        <f t="shared" ref="J37:J38" si="81">IF($D$7 = 0, 0, D37 / $D$7)</f>
        <v>0</v>
      </c>
      <c r="K37" s="218">
        <f t="shared" ref="K37:K38" si="82">IF($D$8 = 0, 0, E37 / $D$8)</f>
        <v>0</v>
      </c>
      <c r="L37" s="127">
        <f t="shared" ref="L37:L38" si="83">IF($D$9 = 0, 0, F37 / $D$9)</f>
        <v>0</v>
      </c>
      <c r="M37" s="127">
        <f t="shared" ref="M37:M38" si="84">IF($D$10 = 0, 0, G37 / $D$10)</f>
        <v>0</v>
      </c>
      <c r="N37" s="128">
        <f t="shared" ref="N37:N38" si="85">I37*B$6</f>
        <v>0</v>
      </c>
      <c r="O37" s="128">
        <f t="shared" ref="O37:O38" si="86">J37*B$7</f>
        <v>0</v>
      </c>
      <c r="P37" s="128">
        <f t="shared" ref="P37:P38" si="87">K37*B$8</f>
        <v>0</v>
      </c>
      <c r="Q37" s="128">
        <f t="shared" ref="Q37:Q38" si="88">L37*B$9</f>
        <v>0</v>
      </c>
      <c r="R37" s="128">
        <f t="shared" ref="R37:R38" si="89">M37*B$10</f>
        <v>0</v>
      </c>
      <c r="S37" s="126">
        <f>IFERROR(__xludf.DUMMYFUNCTION("IFERROR(
    VARP(
        FILTER(
            INDIRECT(""'"" &amp; $B$17 &amp; ""'!"" &amp; $B37 &amp; "":"" &amp; $B37),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7" s="126">
        <f>IFERROR(__xludf.DUMMYFUNCTION("IFERROR(
    VARP(
        FILTER(
            INDIRECT(""'"" &amp; $B$17 &amp; ""'!"" &amp; $B37 &amp; "":"" &amp; $B37),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7" s="126">
        <f>IFERROR(__xludf.DUMMYFUNCTION("IFERROR(
    VARP(
        FILTER(
            INDIRECT(""'"" &amp; $B$17 &amp; ""'!"" &amp; $B37 &amp; "":"" &amp; $B37),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7" s="126">
        <f>IFERROR(__xludf.DUMMYFUNCTION("IFERROR(
    VARP(
        FILTER(
            INDIRECT(""'"" &amp; $B$17 &amp; ""'!"" &amp; $B37 &amp; "":"" &amp; $B37),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7" s="126">
        <f>IFERROR(__xludf.DUMMYFUNCTION("IFERROR(
    VARP(
        FILTER(
            INDIRECT(""'"" &amp; $B$17 &amp; ""'!"" &amp; $B37 &amp; "":"" &amp; $B37),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7" s="127">
        <f t="shared" ref="X37:AB37" si="77">sqrt(S37)</f>
        <v>0</v>
      </c>
      <c r="Y37" s="127">
        <f t="shared" si="77"/>
        <v>0</v>
      </c>
      <c r="Z37" s="127">
        <f t="shared" si="77"/>
        <v>0</v>
      </c>
      <c r="AA37" s="127">
        <f t="shared" si="77"/>
        <v>0</v>
      </c>
      <c r="AB37" s="127">
        <f t="shared" si="77"/>
        <v>0</v>
      </c>
      <c r="AC37" s="128">
        <f t="shared" ref="AC37:AC38" si="91">IF($D$6=0,0, X37/sqrt($D$6)*$B$6)</f>
        <v>0</v>
      </c>
      <c r="AD37" s="128">
        <f t="shared" ref="AD37:AD38" si="92">IF($D$7=0,0, Y37/sqrt($D$7)*$B$7)</f>
        <v>0</v>
      </c>
      <c r="AE37" s="128">
        <f t="shared" ref="AE37:AE38" si="93">IF($D$8=0,0, Z37/sqrt($D$8)*$B$8)</f>
        <v>0</v>
      </c>
      <c r="AF37" s="128">
        <f t="shared" ref="AF37:AF38" si="94">IF($D$9=0,0, AA37/sqrt($D$9)*$B$9)</f>
        <v>0</v>
      </c>
      <c r="AG37" s="128">
        <f t="shared" ref="AG37:AG38" si="95">IF($D$10=0,0, AB37/sqrt($D$10)*$B$10)</f>
        <v>0</v>
      </c>
      <c r="AH37" s="128">
        <f t="shared" ref="AH37:AH38" si="96">AC37*AC37+AD37*AD37+AE37*AE37+AF37*AF37+AG37*AG37</f>
        <v>0</v>
      </c>
      <c r="AI37" s="128">
        <f t="shared" ref="AI37:AI38" si="97">$B$15*sqrt(AH37)</f>
        <v>0</v>
      </c>
      <c r="AJ37" s="129">
        <f t="shared" ref="AJ37:AJ38" si="98">SUM(N37:R37)</f>
        <v>0</v>
      </c>
      <c r="AK37" s="130">
        <f t="shared" ref="AK37:AK38" si="99">IF(AI37=0,0,AI37/AJ37)</f>
        <v>0</v>
      </c>
      <c r="AL37" s="131">
        <f t="shared" ref="AL37:AL38" si="100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78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78"/>
        <v>0</v>
      </c>
      <c r="E38" s="133">
        <f t="shared" si="78"/>
        <v>0</v>
      </c>
      <c r="F38" s="133">
        <f t="shared" si="78"/>
        <v>0</v>
      </c>
      <c r="G38" s="133">
        <f t="shared" si="78"/>
        <v>0</v>
      </c>
      <c r="H38" s="133">
        <f t="shared" si="79"/>
        <v>0</v>
      </c>
      <c r="I38" s="169">
        <f t="shared" si="80"/>
        <v>0</v>
      </c>
      <c r="J38" s="169">
        <f t="shared" si="81"/>
        <v>0</v>
      </c>
      <c r="K38" s="169">
        <f t="shared" si="82"/>
        <v>0</v>
      </c>
      <c r="L38" s="135">
        <f t="shared" si="83"/>
        <v>0</v>
      </c>
      <c r="M38" s="135">
        <f t="shared" si="84"/>
        <v>0</v>
      </c>
      <c r="N38" s="136">
        <f t="shared" si="85"/>
        <v>0</v>
      </c>
      <c r="O38" s="136">
        <f t="shared" si="86"/>
        <v>0</v>
      </c>
      <c r="P38" s="136">
        <f t="shared" si="87"/>
        <v>0</v>
      </c>
      <c r="Q38" s="136">
        <f t="shared" si="88"/>
        <v>0</v>
      </c>
      <c r="R38" s="136">
        <f t="shared" si="89"/>
        <v>0</v>
      </c>
      <c r="S38" s="134">
        <f>IFERROR(__xludf.DUMMYFUNCTION("IFERROR(
    VARP(
        FILTER(
            INDIRECT(""'"" &amp; $B$17 &amp; ""'!"" &amp; $B38 &amp; "":"" &amp; $B38),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8" s="134">
        <f>IFERROR(__xludf.DUMMYFUNCTION("IFERROR(
    VARP(
        FILTER(
            INDIRECT(""'"" &amp; $B$17 &amp; ""'!"" &amp; $B38 &amp; "":"" &amp; $B38),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8" s="134">
        <f>IFERROR(__xludf.DUMMYFUNCTION("IFERROR(
    VARP(
        FILTER(
            INDIRECT(""'"" &amp; $B$17 &amp; ""'!"" &amp; $B38 &amp; "":"" &amp; $B38),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8" s="134">
        <f>IFERROR(__xludf.DUMMYFUNCTION("IFERROR(
    VARP(
        FILTER(
            INDIRECT(""'"" &amp; $B$17 &amp; ""'!"" &amp; $B38 &amp; "":"" &amp; $B38),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8" s="134">
        <f>IFERROR(__xludf.DUMMYFUNCTION("IFERROR(
    VARP(
        FILTER(
            INDIRECT(""'"" &amp; $B$17 &amp; ""'!"" &amp; $B38 &amp; "":"" &amp; $B38),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8" s="135">
        <f t="shared" ref="X38:AB38" si="90">sqrt(S38)</f>
        <v>0</v>
      </c>
      <c r="Y38" s="135">
        <f t="shared" si="90"/>
        <v>0</v>
      </c>
      <c r="Z38" s="135">
        <f t="shared" si="90"/>
        <v>0</v>
      </c>
      <c r="AA38" s="135">
        <f t="shared" si="90"/>
        <v>0</v>
      </c>
      <c r="AB38" s="135">
        <f t="shared" si="90"/>
        <v>0</v>
      </c>
      <c r="AC38" s="136">
        <f t="shared" si="91"/>
        <v>0</v>
      </c>
      <c r="AD38" s="136">
        <f t="shared" si="92"/>
        <v>0</v>
      </c>
      <c r="AE38" s="136">
        <f t="shared" si="93"/>
        <v>0</v>
      </c>
      <c r="AF38" s="136">
        <f t="shared" si="94"/>
        <v>0</v>
      </c>
      <c r="AG38" s="136">
        <f t="shared" si="95"/>
        <v>0</v>
      </c>
      <c r="AH38" s="136">
        <f t="shared" si="96"/>
        <v>0</v>
      </c>
      <c r="AI38" s="136">
        <f t="shared" si="97"/>
        <v>0</v>
      </c>
      <c r="AJ38" s="137">
        <f t="shared" si="98"/>
        <v>0</v>
      </c>
      <c r="AK38" s="138">
        <f t="shared" si="99"/>
        <v>0</v>
      </c>
      <c r="AL38" s="139">
        <f t="shared" si="100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56"/>
      <c r="O39" s="56"/>
      <c r="P39" s="56"/>
      <c r="Q39" s="56"/>
      <c r="R39" s="56"/>
      <c r="S39" s="140"/>
      <c r="T39" s="56"/>
      <c r="U39" s="56"/>
      <c r="V39" s="56"/>
      <c r="W39" s="56"/>
      <c r="X39" s="56"/>
      <c r="Y39" s="68"/>
      <c r="Z39" s="68"/>
      <c r="AA39" s="68"/>
      <c r="AB39" s="68"/>
      <c r="AC39" s="68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10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101"/>
        <v>0</v>
      </c>
      <c r="E40" s="142">
        <f t="shared" si="101"/>
        <v>0</v>
      </c>
      <c r="F40" s="142">
        <f t="shared" si="101"/>
        <v>0</v>
      </c>
      <c r="G40" s="142">
        <f t="shared" si="101"/>
        <v>0</v>
      </c>
      <c r="H40" s="142">
        <f t="shared" ref="H40:H41" si="104">SUM(C40:G40)</f>
        <v>0</v>
      </c>
      <c r="I40" s="221">
        <f t="shared" ref="I40:I41" si="105">IF($D$6 = 0, 0, C40 / $D$6)</f>
        <v>0</v>
      </c>
      <c r="J40" s="221">
        <f t="shared" ref="J40:J41" si="106">IF($D$7 = 0, 0, D40 / $D$7)</f>
        <v>0</v>
      </c>
      <c r="K40" s="221">
        <f t="shared" ref="K40:K41" si="107">IF($D$8 = 0, 0, E40 / $D$8)</f>
        <v>0</v>
      </c>
      <c r="L40" s="144">
        <f t="shared" ref="L40:L41" si="108">IF($D$9 = 0, 0, F40 / $D$9)</f>
        <v>0</v>
      </c>
      <c r="M40" s="144">
        <f t="shared" ref="M40:M41" si="109">IF($D$10 = 0, 0, G40 / $D$10)</f>
        <v>0</v>
      </c>
      <c r="N40" s="142">
        <f t="shared" ref="N40:N41" si="110">I40*B$6</f>
        <v>0</v>
      </c>
      <c r="O40" s="142">
        <f t="shared" ref="O40:O41" si="111">J40*B$7</f>
        <v>0</v>
      </c>
      <c r="P40" s="142">
        <f t="shared" ref="P40:P41" si="112">K40*B$8</f>
        <v>0</v>
      </c>
      <c r="Q40" s="142">
        <f t="shared" ref="Q40:Q41" si="113">L40*B$9</f>
        <v>0</v>
      </c>
      <c r="R40" s="142">
        <f t="shared" ref="R40:R41" si="114">M40*B$10</f>
        <v>0</v>
      </c>
      <c r="S40" s="143">
        <f>IFERROR(__xludf.DUMMYFUNCTION("IFERROR(
    VARP(
        FILTER(
            INDIRECT(""'"" &amp; $B$17 &amp; ""'!"" &amp; $B40 &amp; "":"" &amp; $B40),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40" s="143">
        <f>IFERROR(__xludf.DUMMYFUNCTION("IFERROR(
    VAR.S(
        FILTER(
            INDIRECT(""'"" &amp; $B$17 &amp; ""'!"" &amp; $B40 &amp; "":"" &amp; $B40), 
            (INDIRECT(""'"" &amp; $B$17 &amp; ""'!"" &amp; $B$18 &amp; "":"" &amp; $B$18) = T$19)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U40" s="143">
        <f>IFERROR(__xludf.DUMMYFUNCTION("IFERROR(
    VAR.S(
        FILTER(
            INDIRECT(""'"" &amp; $B$17 &amp; ""'!"" &amp; $B40 &amp; "":"" &amp; $B40), 
            (INDIRECT(""'"" &amp; $B$17 &amp; ""'!"" &amp; $B$18 &amp; "":"" &amp; $B$18) = U$19)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V40" s="143">
        <f>IFERROR(__xludf.DUMMYFUNCTION("IFERROR(
    VAR.S(
        FILTER(
            INDIRECT(""'"" &amp; $B$17 &amp; ""'!"" &amp; $B40 &amp; "":"" &amp; $B40), 
            (INDIRECT(""'"" &amp; $B$17 &amp; ""'!"" &amp; $B$18 &amp; "":"" &amp; $B$18) = V$19)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W40" s="143">
        <f>IFERROR(__xludf.DUMMYFUNCTION("IFERROR(
    VAR.S(
        FILTER(
            INDIRECT(""'"" &amp; $B$17 &amp; ""'!"" &amp; $B40 &amp; "":"" &amp; $B40), 
            (INDIRECT(""'"" &amp; $B$17 &amp; ""'!"" &amp; $B$18 &amp; "":"" &amp; $B$18) = W$19)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X40" s="144">
        <f t="shared" ref="X40:AB40" si="102">sqrt(S40)</f>
        <v>0</v>
      </c>
      <c r="Y40" s="144">
        <f t="shared" si="102"/>
        <v>0</v>
      </c>
      <c r="Z40" s="144">
        <f t="shared" si="102"/>
        <v>0</v>
      </c>
      <c r="AA40" s="144">
        <f t="shared" si="102"/>
        <v>0</v>
      </c>
      <c r="AB40" s="144">
        <f t="shared" si="102"/>
        <v>0</v>
      </c>
      <c r="AC40" s="142">
        <f t="shared" ref="AC40:AC41" si="116">IF($D$6=0,0, X40/sqrt($D$6)*$B$6)</f>
        <v>0</v>
      </c>
      <c r="AD40" s="142">
        <f t="shared" ref="AD40:AD41" si="117">IF($D$7=0,0, Y40/sqrt($D$7)*$B$7)</f>
        <v>0</v>
      </c>
      <c r="AE40" s="142">
        <f t="shared" ref="AE40:AE41" si="118">IF($D$8=0,0, Z40/sqrt($D$8)*$B$8)</f>
        <v>0</v>
      </c>
      <c r="AF40" s="142">
        <f t="shared" ref="AF40:AF41" si="119">IF($D$9=0,0, AA40/sqrt($D$9)*$B$9)</f>
        <v>0</v>
      </c>
      <c r="AG40" s="142">
        <f t="shared" ref="AG40:AG41" si="120">IF($D$10=0,0, AB40/sqrt($D$10)*$B$10)</f>
        <v>0</v>
      </c>
      <c r="AH40" s="142">
        <f t="shared" ref="AH40:AH41" si="121">AC40*AC40+AD40*AD40+AE40*AE40+AF40*AF40+AG40*AG40</f>
        <v>0</v>
      </c>
      <c r="AI40" s="142">
        <f t="shared" ref="AI40:AI41" si="122">$B$15*sqrt(AH40)</f>
        <v>0</v>
      </c>
      <c r="AJ40" s="145">
        <f t="shared" ref="AJ40:AJ41" si="123">SUM(N40:R40)</f>
        <v>0</v>
      </c>
      <c r="AK40" s="146">
        <f t="shared" ref="AK40:AK41" si="124">IF(AI40=0,0,AI40/AJ40)</f>
        <v>0</v>
      </c>
      <c r="AL40" s="147">
        <f t="shared" ref="AL40:AL41" si="125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10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103"/>
        <v>0</v>
      </c>
      <c r="E41" s="149">
        <f t="shared" si="103"/>
        <v>0</v>
      </c>
      <c r="F41" s="149">
        <f t="shared" si="103"/>
        <v>0</v>
      </c>
      <c r="G41" s="149">
        <f t="shared" si="103"/>
        <v>0</v>
      </c>
      <c r="H41" s="149">
        <f t="shared" si="104"/>
        <v>0</v>
      </c>
      <c r="I41" s="223">
        <f t="shared" si="105"/>
        <v>0</v>
      </c>
      <c r="J41" s="223">
        <f t="shared" si="106"/>
        <v>0</v>
      </c>
      <c r="K41" s="223">
        <f t="shared" si="107"/>
        <v>0</v>
      </c>
      <c r="L41" s="151">
        <f t="shared" si="108"/>
        <v>0</v>
      </c>
      <c r="M41" s="151">
        <f t="shared" si="109"/>
        <v>0</v>
      </c>
      <c r="N41" s="149">
        <f t="shared" si="110"/>
        <v>0</v>
      </c>
      <c r="O41" s="149">
        <f t="shared" si="111"/>
        <v>0</v>
      </c>
      <c r="P41" s="149">
        <f t="shared" si="112"/>
        <v>0</v>
      </c>
      <c r="Q41" s="149">
        <f t="shared" si="113"/>
        <v>0</v>
      </c>
      <c r="R41" s="149">
        <f t="shared" si="114"/>
        <v>0</v>
      </c>
      <c r="S41" s="150">
        <f>IFERROR(__xludf.DUMMYFUNCTION("IFERROR(
    VARP(
        FILTER(
            INDIRECT(""'"" &amp; $B$17 &amp; ""'!"" &amp; $B41 &amp; "":"" &amp; $B41),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41" s="150">
        <f>IFERROR(__xludf.DUMMYFUNCTION("IFERROR(
    VARP(
        FILTER(
            INDIRECT(""'"" &amp; $B$17 &amp; ""'!"" &amp; $B41 &amp; "":"" &amp; $B41),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41" s="150">
        <f>IFERROR(__xludf.DUMMYFUNCTION("IFERROR(
    VARP(
        FILTER(
            INDIRECT(""'"" &amp; $B$17 &amp; ""'!"" &amp; $B41 &amp; "":"" &amp; $B41),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41" s="150">
        <f>IFERROR(__xludf.DUMMYFUNCTION("IFERROR(
    VARP(
        FILTER(
            INDIRECT(""'"" &amp; $B$17 &amp; ""'!"" &amp; $B41 &amp; "":"" &amp; $B41),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41" s="150">
        <f>IFERROR(__xludf.DUMMYFUNCTION("IFERROR(
    VARP(
        FILTER(
            INDIRECT(""'"" &amp; $B$17 &amp; ""'!"" &amp; $B41 &amp; "":"" &amp; $B41),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41" s="151">
        <f t="shared" ref="X41:AB41" si="115">sqrt(S41)</f>
        <v>0</v>
      </c>
      <c r="Y41" s="151">
        <f t="shared" si="115"/>
        <v>0</v>
      </c>
      <c r="Z41" s="151">
        <f t="shared" si="115"/>
        <v>0</v>
      </c>
      <c r="AA41" s="151">
        <f t="shared" si="115"/>
        <v>0</v>
      </c>
      <c r="AB41" s="151">
        <f t="shared" si="115"/>
        <v>0</v>
      </c>
      <c r="AC41" s="149">
        <f t="shared" si="116"/>
        <v>0</v>
      </c>
      <c r="AD41" s="149">
        <f t="shared" si="117"/>
        <v>0</v>
      </c>
      <c r="AE41" s="149">
        <f t="shared" si="118"/>
        <v>0</v>
      </c>
      <c r="AF41" s="149">
        <f t="shared" si="119"/>
        <v>0</v>
      </c>
      <c r="AG41" s="149">
        <f t="shared" si="120"/>
        <v>0</v>
      </c>
      <c r="AH41" s="149">
        <f t="shared" si="121"/>
        <v>0</v>
      </c>
      <c r="AI41" s="149">
        <f t="shared" si="122"/>
        <v>0</v>
      </c>
      <c r="AJ41" s="152">
        <f t="shared" si="123"/>
        <v>0</v>
      </c>
      <c r="AK41" s="153">
        <f t="shared" si="124"/>
        <v>0</v>
      </c>
      <c r="AL41" s="154">
        <f t="shared" si="125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AC42" s="56"/>
      <c r="AD42" s="56"/>
      <c r="AE42" s="56"/>
      <c r="AF42" s="56"/>
      <c r="AG42" s="56"/>
      <c r="AI42" s="59"/>
      <c r="AJ42" s="55">
        <f>SUM(AJ37:AJ41)</f>
        <v>0</v>
      </c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H27">
    <cfRule type="notContainsBlanks" dxfId="0" priority="1">
      <formula>LEN(TRIM(H27))&gt;0</formula>
    </cfRule>
  </conditionalFormatting>
  <conditionalFormatting sqref="AJ35">
    <cfRule type="expression" dxfId="0" priority="2">
      <formula>AJ35=AJ38</formula>
    </cfRule>
  </conditionalFormatting>
  <conditionalFormatting sqref="AJ35">
    <cfRule type="expression" dxfId="2" priority="3">
      <formula>"AJ35&lt;&gt;AJ38"</formula>
    </cfRule>
  </conditionalFormatting>
  <conditionalFormatting sqref="AJ27">
    <cfRule type="expression" dxfId="0" priority="4">
      <formula>"AJ27=AJ37"</formula>
    </cfRule>
  </conditionalFormatting>
  <conditionalFormatting sqref="AJ27">
    <cfRule type="expression" dxfId="2" priority="5">
      <formula>AJ27&lt;&gt;AJ37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553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$A$1))"),1640968.0)</f>
        <v>1640968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1407386</v>
      </c>
      <c r="C6" s="73">
        <f t="shared" ref="C6:C10" si="3">B6/$B$11</f>
        <v>0.8576559689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80468</v>
      </c>
      <c r="C7" s="73">
        <f t="shared" si="3"/>
        <v>0.04903690992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72908</v>
      </c>
      <c r="C8" s="73">
        <f t="shared" si="3"/>
        <v>0.0444298731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49643</v>
      </c>
      <c r="C9" s="73">
        <f t="shared" si="3"/>
        <v>0.03025226574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30563</v>
      </c>
      <c r="C10" s="73">
        <f t="shared" si="3"/>
        <v>0.01862498233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1640968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4" t="s">
        <v>579</v>
      </c>
      <c r="J18" s="65"/>
      <c r="K18" s="65"/>
      <c r="L18" s="65"/>
      <c r="M18" s="66"/>
      <c r="N18" s="94" t="s">
        <v>580</v>
      </c>
      <c r="O18" s="65"/>
      <c r="P18" s="65"/>
      <c r="Q18" s="65"/>
      <c r="R18" s="65"/>
      <c r="S18" s="94" t="s">
        <v>495</v>
      </c>
      <c r="T18" s="65"/>
      <c r="U18" s="65"/>
      <c r="V18" s="65"/>
      <c r="W18" s="66"/>
      <c r="X18" s="94" t="s">
        <v>581</v>
      </c>
      <c r="Y18" s="65"/>
      <c r="Z18" s="65"/>
      <c r="AA18" s="65"/>
      <c r="AB18" s="66"/>
      <c r="AC18" s="321" t="s">
        <v>582</v>
      </c>
      <c r="AD18" s="65"/>
      <c r="AE18" s="65"/>
      <c r="AF18" s="65"/>
      <c r="AG18" s="65"/>
      <c r="AH18" s="66"/>
      <c r="AI18" s="94" t="s">
        <v>502</v>
      </c>
      <c r="AJ18" s="63" t="s">
        <v>503</v>
      </c>
      <c r="AK18" s="89" t="s">
        <v>504</v>
      </c>
      <c r="AL18" s="89" t="s">
        <v>505</v>
      </c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63">
        <v>1.0</v>
      </c>
      <c r="T19" s="63">
        <v>2.0</v>
      </c>
      <c r="U19" s="63">
        <v>3.0</v>
      </c>
      <c r="V19" s="63">
        <v>4.0</v>
      </c>
      <c r="W19" s="63">
        <v>5.0</v>
      </c>
      <c r="X19" s="63">
        <v>1.0</v>
      </c>
      <c r="Y19" s="63">
        <v>2.0</v>
      </c>
      <c r="Z19" s="63">
        <v>3.0</v>
      </c>
      <c r="AA19" s="63">
        <v>4.0</v>
      </c>
      <c r="AB19" s="63">
        <v>5.0</v>
      </c>
      <c r="AC19" s="99">
        <v>1.0</v>
      </c>
      <c r="AD19" s="99">
        <v>2.0</v>
      </c>
      <c r="AE19" s="99">
        <v>3.0</v>
      </c>
      <c r="AF19" s="99">
        <v>4.0</v>
      </c>
      <c r="AG19" s="99">
        <v>5.0</v>
      </c>
      <c r="AH19" s="63" t="s">
        <v>500</v>
      </c>
      <c r="AI19" s="63"/>
      <c r="AK19" s="29"/>
      <c r="AL19" s="29"/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9">SUM(C20:G20)</f>
        <v>0</v>
      </c>
      <c r="I20" s="214">
        <f t="shared" ref="I20:I26" si="10">IF($D$6 = 0, 0, C20 / $D$6)</f>
        <v>0</v>
      </c>
      <c r="J20" s="214">
        <f t="shared" ref="J20:J26" si="11">IF($D$7 = 0, 0, D20 / $D$7)</f>
        <v>0</v>
      </c>
      <c r="K20" s="214">
        <f t="shared" ref="K20:K26" si="12">IF($D$8 = 0, 0, E20 / $D$8)</f>
        <v>0</v>
      </c>
      <c r="L20" s="214">
        <f t="shared" ref="L20:L26" si="13">IF($D$9 = 0, 0, F20 / $D$9)</f>
        <v>0</v>
      </c>
      <c r="M20" s="214">
        <f t="shared" ref="M20:M26" si="14">IF($D$10 = 0, 0, G20 / $D$10)</f>
        <v>0</v>
      </c>
      <c r="N20" s="106">
        <f t="shared" ref="N20:N26" si="15">I20*B$6</f>
        <v>0</v>
      </c>
      <c r="O20" s="106">
        <f t="shared" ref="O20:O26" si="16">J20*B$7</f>
        <v>0</v>
      </c>
      <c r="P20" s="106">
        <f t="shared" ref="P20:P26" si="17">K20*B$8</f>
        <v>0</v>
      </c>
      <c r="Q20" s="106">
        <f t="shared" ref="Q20:Q26" si="18">L20*B$9</f>
        <v>0</v>
      </c>
      <c r="R20" s="106">
        <f t="shared" ref="R20:R26" si="19">M20*B$10</f>
        <v>0</v>
      </c>
      <c r="S20" s="214">
        <f>IFERROR(__xludf.DUMMYFUNCTION("IFERROR(
    VARP(
        FILTER(
            INDIRECT(""'"" &amp; $B$17 &amp; ""'!"" &amp; $B20 &amp; "":"" &amp; $B20),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0" s="214">
        <f>IFERROR(__xludf.DUMMYFUNCTION("IFERROR(
    VARP(
        FILTER(
            INDIRECT(""'"" &amp; $B$17 &amp; ""'!"" &amp; $B20 &amp; "":"" &amp; $B20),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0" s="214">
        <f>IFERROR(__xludf.DUMMYFUNCTION("IFERROR(
    VARP(
        FILTER(
            INDIRECT(""'"" &amp; $B$17 &amp; ""'!"" &amp; $B20 &amp; "":"" &amp; $B20),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0" s="214">
        <f>IFERROR(__xludf.DUMMYFUNCTION("IFERROR(
    VARP(
        FILTER(
            INDIRECT(""'"" &amp; $B$17 &amp; ""'!"" &amp; $B20 &amp; "":"" &amp; $B20),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0" s="214">
        <f>IFERROR(__xludf.DUMMYFUNCTION("IFERROR(
    VARP(
        FILTER(
            INDIRECT(""'"" &amp; $B$17 &amp; ""'!"" &amp; $B20 &amp; "":"" &amp; $B20),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0" s="105">
        <f t="shared" ref="X20:AB20" si="7">sqrt(S20)</f>
        <v>0</v>
      </c>
      <c r="Y20" s="105">
        <f t="shared" si="7"/>
        <v>0</v>
      </c>
      <c r="Z20" s="105">
        <f t="shared" si="7"/>
        <v>0</v>
      </c>
      <c r="AA20" s="105">
        <f t="shared" si="7"/>
        <v>0</v>
      </c>
      <c r="AB20" s="105">
        <f t="shared" si="7"/>
        <v>0</v>
      </c>
      <c r="AC20" s="106">
        <f t="shared" ref="AC20:AC26" si="21">IF($D$6=0,0, X20/sqrt($D$6)*$B$6)</f>
        <v>0</v>
      </c>
      <c r="AD20" s="106">
        <f t="shared" ref="AD20:AD26" si="22">IF($D$7=0,0, Y20/sqrt($D$7)*$B$7)</f>
        <v>0</v>
      </c>
      <c r="AE20" s="106">
        <f t="shared" ref="AE20:AE26" si="23">IF($D$8=0,0, Z20/sqrt($D$8)*$B$8)</f>
        <v>0</v>
      </c>
      <c r="AF20" s="106">
        <f t="shared" ref="AF20:AF26" si="24">IF($D$9=0,0, AA20/sqrt($D$9)*$B$9)</f>
        <v>0</v>
      </c>
      <c r="AG20" s="106">
        <f t="shared" ref="AG20:AG26" si="25">IF($D$10=0,0, AB20/sqrt($D$10)*$B$10)</f>
        <v>0</v>
      </c>
      <c r="AH20" s="106">
        <f t="shared" ref="AH20:AH26" si="26">AC20*AC20+AD20*AD20+AE20*AE20+AF20*AF20+AG20*AG20</f>
        <v>0</v>
      </c>
      <c r="AI20" s="106">
        <f t="shared" ref="AI20:AI26" si="27">$B$15*sqrt(AH20)</f>
        <v>0</v>
      </c>
      <c r="AJ20" s="108">
        <f t="shared" ref="AJ20:AJ26" si="28">SUM(N20:R20)</f>
        <v>0</v>
      </c>
      <c r="AK20" s="109">
        <f t="shared" ref="AK20:AK26" si="29">IF(AI20=0,0,AI20/AJ20)</f>
        <v>0</v>
      </c>
      <c r="AL20" s="110">
        <f t="shared" ref="AL20:AL26" si="30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 t="shared" si="10"/>
        <v>0</v>
      </c>
      <c r="J21" s="214">
        <f t="shared" si="11"/>
        <v>0</v>
      </c>
      <c r="K21" s="214">
        <f t="shared" si="12"/>
        <v>0</v>
      </c>
      <c r="L21" s="214">
        <f t="shared" si="13"/>
        <v>0</v>
      </c>
      <c r="M21" s="214">
        <f t="shared" si="14"/>
        <v>0</v>
      </c>
      <c r="N21" s="106">
        <f t="shared" si="15"/>
        <v>0</v>
      </c>
      <c r="O21" s="106">
        <f t="shared" si="16"/>
        <v>0</v>
      </c>
      <c r="P21" s="106">
        <f t="shared" si="17"/>
        <v>0</v>
      </c>
      <c r="Q21" s="106">
        <f t="shared" si="18"/>
        <v>0</v>
      </c>
      <c r="R21" s="106">
        <f t="shared" si="19"/>
        <v>0</v>
      </c>
      <c r="S21" s="214">
        <f>IFERROR(__xludf.DUMMYFUNCTION("IFERROR(
    VARP(
        FILTER(
            INDIRECT(""'"" &amp; $B$17 &amp; ""'!"" &amp; $B21 &amp; "":"" &amp; $B21),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1" s="214">
        <f>IFERROR(__xludf.DUMMYFUNCTION("IFERROR(
    VARP(
        FILTER(
            INDIRECT(""'"" &amp; $B$17 &amp; ""'!"" &amp; $B21 &amp; "":"" &amp; $B21),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1" s="214">
        <f>IFERROR(__xludf.DUMMYFUNCTION("IFERROR(
    VARP(
        FILTER(
            INDIRECT(""'"" &amp; $B$17 &amp; ""'!"" &amp; $B21 &amp; "":"" &amp; $B21),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1" s="214">
        <f>IFERROR(__xludf.DUMMYFUNCTION("IFERROR(
    VARP(
        FILTER(
            INDIRECT(""'"" &amp; $B$17 &amp; ""'!"" &amp; $B21 &amp; "":"" &amp; $B21),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1" s="214">
        <f>IFERROR(__xludf.DUMMYFUNCTION("IFERROR(
    VARP(
        FILTER(
            INDIRECT(""'"" &amp; $B$17 &amp; ""'!"" &amp; $B21 &amp; "":"" &amp; $B21),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1" s="105">
        <f t="shared" ref="X21:AB21" si="20">sqrt(S21)</f>
        <v>0</v>
      </c>
      <c r="Y21" s="105">
        <f t="shared" si="20"/>
        <v>0</v>
      </c>
      <c r="Z21" s="105">
        <f t="shared" si="20"/>
        <v>0</v>
      </c>
      <c r="AA21" s="105">
        <f t="shared" si="20"/>
        <v>0</v>
      </c>
      <c r="AB21" s="105">
        <f t="shared" si="20"/>
        <v>0</v>
      </c>
      <c r="AC21" s="106">
        <f t="shared" si="21"/>
        <v>0</v>
      </c>
      <c r="AD21" s="106">
        <f t="shared" si="22"/>
        <v>0</v>
      </c>
      <c r="AE21" s="106">
        <f t="shared" si="23"/>
        <v>0</v>
      </c>
      <c r="AF21" s="106">
        <f t="shared" si="24"/>
        <v>0</v>
      </c>
      <c r="AG21" s="106">
        <f t="shared" si="25"/>
        <v>0</v>
      </c>
      <c r="AH21" s="106">
        <f t="shared" si="26"/>
        <v>0</v>
      </c>
      <c r="AI21" s="106">
        <f t="shared" si="27"/>
        <v>0</v>
      </c>
      <c r="AJ21" s="108">
        <f t="shared" si="28"/>
        <v>0</v>
      </c>
      <c r="AK21" s="109">
        <f t="shared" si="29"/>
        <v>0</v>
      </c>
      <c r="AL21" s="110">
        <f t="shared" si="30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1"/>
        <v>0</v>
      </c>
      <c r="E22" s="103">
        <f t="shared" si="31"/>
        <v>0</v>
      </c>
      <c r="F22" s="103">
        <f t="shared" si="31"/>
        <v>0</v>
      </c>
      <c r="G22" s="103">
        <f t="shared" si="31"/>
        <v>0</v>
      </c>
      <c r="H22" s="103">
        <f t="shared" si="9"/>
        <v>0</v>
      </c>
      <c r="I22" s="214">
        <f t="shared" si="10"/>
        <v>0</v>
      </c>
      <c r="J22" s="214">
        <f t="shared" si="11"/>
        <v>0</v>
      </c>
      <c r="K22" s="214">
        <f t="shared" si="12"/>
        <v>0</v>
      </c>
      <c r="L22" s="214">
        <f t="shared" si="13"/>
        <v>0</v>
      </c>
      <c r="M22" s="214">
        <f t="shared" si="14"/>
        <v>0</v>
      </c>
      <c r="N22" s="106">
        <f t="shared" si="15"/>
        <v>0</v>
      </c>
      <c r="O22" s="106">
        <f t="shared" si="16"/>
        <v>0</v>
      </c>
      <c r="P22" s="106">
        <f t="shared" si="17"/>
        <v>0</v>
      </c>
      <c r="Q22" s="106">
        <f t="shared" si="18"/>
        <v>0</v>
      </c>
      <c r="R22" s="106">
        <f t="shared" si="19"/>
        <v>0</v>
      </c>
      <c r="S22" s="214">
        <f>IFERROR(__xludf.DUMMYFUNCTION("IFERROR(
    VARP(
        FILTER(
            INDIRECT(""'"" &amp; $B$17 &amp; ""'!"" &amp; $B22 &amp; "":"" &amp; $B22),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2" s="214">
        <f>IFERROR(__xludf.DUMMYFUNCTION("IFERROR(
    VARP(
        FILTER(
            INDIRECT(""'"" &amp; $B$17 &amp; ""'!"" &amp; $B22 &amp; "":"" &amp; $B22),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2" s="214">
        <f>IFERROR(__xludf.DUMMYFUNCTION("IFERROR(
    VARP(
        FILTER(
            INDIRECT(""'"" &amp; $B$17 &amp; ""'!"" &amp; $B22 &amp; "":"" &amp; $B22),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2" s="214">
        <f>IFERROR(__xludf.DUMMYFUNCTION("IFERROR(
    VARP(
        FILTER(
            INDIRECT(""'"" &amp; $B$17 &amp; ""'!"" &amp; $B22 &amp; "":"" &amp; $B22),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2" s="214">
        <f>IFERROR(__xludf.DUMMYFUNCTION("IFERROR(
    VARP(
        FILTER(
            INDIRECT(""'"" &amp; $B$17 &amp; ""'!"" &amp; $B22 &amp; "":"" &amp; $B22),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2" s="105">
        <f t="shared" ref="X22:AB22" si="32">sqrt(S22)</f>
        <v>0</v>
      </c>
      <c r="Y22" s="105">
        <f t="shared" si="32"/>
        <v>0</v>
      </c>
      <c r="Z22" s="105">
        <f t="shared" si="32"/>
        <v>0</v>
      </c>
      <c r="AA22" s="105">
        <f t="shared" si="32"/>
        <v>0</v>
      </c>
      <c r="AB22" s="105">
        <f t="shared" si="32"/>
        <v>0</v>
      </c>
      <c r="AC22" s="106">
        <f t="shared" si="21"/>
        <v>0</v>
      </c>
      <c r="AD22" s="106">
        <f t="shared" si="22"/>
        <v>0</v>
      </c>
      <c r="AE22" s="106">
        <f t="shared" si="23"/>
        <v>0</v>
      </c>
      <c r="AF22" s="106">
        <f t="shared" si="24"/>
        <v>0</v>
      </c>
      <c r="AG22" s="106">
        <f t="shared" si="25"/>
        <v>0</v>
      </c>
      <c r="AH22" s="106">
        <f t="shared" si="26"/>
        <v>0</v>
      </c>
      <c r="AI22" s="106">
        <f t="shared" si="27"/>
        <v>0</v>
      </c>
      <c r="AJ22" s="108">
        <f t="shared" si="28"/>
        <v>0</v>
      </c>
      <c r="AK22" s="109">
        <f t="shared" si="29"/>
        <v>0</v>
      </c>
      <c r="AL22" s="110">
        <f t="shared" si="30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3"/>
        <v>0</v>
      </c>
      <c r="E23" s="103">
        <f t="shared" si="33"/>
        <v>0</v>
      </c>
      <c r="F23" s="103">
        <f t="shared" si="33"/>
        <v>0</v>
      </c>
      <c r="G23" s="103">
        <f t="shared" si="33"/>
        <v>0</v>
      </c>
      <c r="H23" s="103">
        <f t="shared" si="9"/>
        <v>0</v>
      </c>
      <c r="I23" s="214">
        <f t="shared" si="10"/>
        <v>0</v>
      </c>
      <c r="J23" s="214">
        <f t="shared" si="11"/>
        <v>0</v>
      </c>
      <c r="K23" s="214">
        <f t="shared" si="12"/>
        <v>0</v>
      </c>
      <c r="L23" s="214">
        <f t="shared" si="13"/>
        <v>0</v>
      </c>
      <c r="M23" s="214">
        <f t="shared" si="14"/>
        <v>0</v>
      </c>
      <c r="N23" s="106">
        <f t="shared" si="15"/>
        <v>0</v>
      </c>
      <c r="O23" s="106">
        <f t="shared" si="16"/>
        <v>0</v>
      </c>
      <c r="P23" s="106">
        <f t="shared" si="17"/>
        <v>0</v>
      </c>
      <c r="Q23" s="106">
        <f t="shared" si="18"/>
        <v>0</v>
      </c>
      <c r="R23" s="106">
        <f t="shared" si="19"/>
        <v>0</v>
      </c>
      <c r="S23" s="214">
        <f>IFERROR(__xludf.DUMMYFUNCTION("IFERROR(
    VARP(
        FILTER(
            INDIRECT(""'"" &amp; $B$17 &amp; ""'!"" &amp; $B23 &amp; "":"" &amp; $B23),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3" s="214">
        <f>IFERROR(__xludf.DUMMYFUNCTION("IFERROR(
    VARP(
        FILTER(
            INDIRECT(""'"" &amp; $B$17 &amp; ""'!"" &amp; $B23 &amp; "":"" &amp; $B23),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3" s="214">
        <f>IFERROR(__xludf.DUMMYFUNCTION("IFERROR(
    VARP(
        FILTER(
            INDIRECT(""'"" &amp; $B$17 &amp; ""'!"" &amp; $B23 &amp; "":"" &amp; $B23),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3" s="214">
        <f>IFERROR(__xludf.DUMMYFUNCTION("IFERROR(
    VARP(
        FILTER(
            INDIRECT(""'"" &amp; $B$17 &amp; ""'!"" &amp; $B23 &amp; "":"" &amp; $B23),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3" s="214">
        <f>IFERROR(__xludf.DUMMYFUNCTION("IFERROR(
    VARP(
        FILTER(
            INDIRECT(""'"" &amp; $B$17 &amp; ""'!"" &amp; $B23 &amp; "":"" &amp; $B23),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3" s="105">
        <f t="shared" ref="X23:AB23" si="34">sqrt(S23)</f>
        <v>0</v>
      </c>
      <c r="Y23" s="105">
        <f t="shared" si="34"/>
        <v>0</v>
      </c>
      <c r="Z23" s="105">
        <f t="shared" si="34"/>
        <v>0</v>
      </c>
      <c r="AA23" s="105">
        <f t="shared" si="34"/>
        <v>0</v>
      </c>
      <c r="AB23" s="105">
        <f t="shared" si="34"/>
        <v>0</v>
      </c>
      <c r="AC23" s="106">
        <f t="shared" si="21"/>
        <v>0</v>
      </c>
      <c r="AD23" s="106">
        <f t="shared" si="22"/>
        <v>0</v>
      </c>
      <c r="AE23" s="106">
        <f t="shared" si="23"/>
        <v>0</v>
      </c>
      <c r="AF23" s="106">
        <f t="shared" si="24"/>
        <v>0</v>
      </c>
      <c r="AG23" s="106">
        <f t="shared" si="25"/>
        <v>0</v>
      </c>
      <c r="AH23" s="106">
        <f t="shared" si="26"/>
        <v>0</v>
      </c>
      <c r="AI23" s="106">
        <f t="shared" si="27"/>
        <v>0</v>
      </c>
      <c r="AJ23" s="108">
        <f t="shared" si="28"/>
        <v>0</v>
      </c>
      <c r="AK23" s="109">
        <f t="shared" si="29"/>
        <v>0</v>
      </c>
      <c r="AL23" s="110">
        <f t="shared" si="30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5"/>
        <v>0</v>
      </c>
      <c r="E24" s="103">
        <f t="shared" si="35"/>
        <v>0</v>
      </c>
      <c r="F24" s="103">
        <f t="shared" si="35"/>
        <v>0</v>
      </c>
      <c r="G24" s="103">
        <f t="shared" si="35"/>
        <v>0</v>
      </c>
      <c r="H24" s="103">
        <f t="shared" si="9"/>
        <v>0</v>
      </c>
      <c r="I24" s="214">
        <f t="shared" si="10"/>
        <v>0</v>
      </c>
      <c r="J24" s="214">
        <f t="shared" si="11"/>
        <v>0</v>
      </c>
      <c r="K24" s="214">
        <f t="shared" si="12"/>
        <v>0</v>
      </c>
      <c r="L24" s="214">
        <f t="shared" si="13"/>
        <v>0</v>
      </c>
      <c r="M24" s="214">
        <f t="shared" si="14"/>
        <v>0</v>
      </c>
      <c r="N24" s="106">
        <f t="shared" si="15"/>
        <v>0</v>
      </c>
      <c r="O24" s="106">
        <f t="shared" si="16"/>
        <v>0</v>
      </c>
      <c r="P24" s="106">
        <f t="shared" si="17"/>
        <v>0</v>
      </c>
      <c r="Q24" s="106">
        <f t="shared" si="18"/>
        <v>0</v>
      </c>
      <c r="R24" s="106">
        <f t="shared" si="19"/>
        <v>0</v>
      </c>
      <c r="S24" s="214">
        <f>IFERROR(__xludf.DUMMYFUNCTION("IFERROR(
    VARP(
        FILTER(
            INDIRECT(""'"" &amp; $B$17 &amp; ""'!"" &amp; $B24 &amp; "":"" &amp; $B24),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4" s="214">
        <f>IFERROR(__xludf.DUMMYFUNCTION("IFERROR(
    VARP(
        FILTER(
            INDIRECT(""'"" &amp; $B$17 &amp; ""'!"" &amp; $B24 &amp; "":"" &amp; $B24),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4" s="214">
        <f>IFERROR(__xludf.DUMMYFUNCTION("IFERROR(
    VARP(
        FILTER(
            INDIRECT(""'"" &amp; $B$17 &amp; ""'!"" &amp; $B24 &amp; "":"" &amp; $B24),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4" s="214">
        <f>IFERROR(__xludf.DUMMYFUNCTION("IFERROR(
    VARP(
        FILTER(
            INDIRECT(""'"" &amp; $B$17 &amp; ""'!"" &amp; $B24 &amp; "":"" &amp; $B24),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4" s="214">
        <f>IFERROR(__xludf.DUMMYFUNCTION("IFERROR(
    VARP(
        FILTER(
            INDIRECT(""'"" &amp; $B$17 &amp; ""'!"" &amp; $B24 &amp; "":"" &amp; $B24),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4" s="105">
        <f t="shared" ref="X24:AB24" si="36">sqrt(S24)</f>
        <v>0</v>
      </c>
      <c r="Y24" s="105">
        <f t="shared" si="36"/>
        <v>0</v>
      </c>
      <c r="Z24" s="105">
        <f t="shared" si="36"/>
        <v>0</v>
      </c>
      <c r="AA24" s="105">
        <f t="shared" si="36"/>
        <v>0</v>
      </c>
      <c r="AB24" s="105">
        <f t="shared" si="36"/>
        <v>0</v>
      </c>
      <c r="AC24" s="106">
        <f t="shared" si="21"/>
        <v>0</v>
      </c>
      <c r="AD24" s="106">
        <f t="shared" si="22"/>
        <v>0</v>
      </c>
      <c r="AE24" s="106">
        <f t="shared" si="23"/>
        <v>0</v>
      </c>
      <c r="AF24" s="106">
        <f t="shared" si="24"/>
        <v>0</v>
      </c>
      <c r="AG24" s="106">
        <f t="shared" si="25"/>
        <v>0</v>
      </c>
      <c r="AH24" s="106">
        <f t="shared" si="26"/>
        <v>0</v>
      </c>
      <c r="AI24" s="106">
        <f t="shared" si="27"/>
        <v>0</v>
      </c>
      <c r="AJ24" s="108">
        <f t="shared" si="28"/>
        <v>0</v>
      </c>
      <c r="AK24" s="109">
        <f t="shared" si="29"/>
        <v>0</v>
      </c>
      <c r="AL24" s="110">
        <f t="shared" si="30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7"/>
        <v>0</v>
      </c>
      <c r="E25" s="103">
        <f t="shared" si="37"/>
        <v>0</v>
      </c>
      <c r="F25" s="103">
        <f t="shared" si="37"/>
        <v>0</v>
      </c>
      <c r="G25" s="103">
        <f t="shared" si="37"/>
        <v>0</v>
      </c>
      <c r="H25" s="103">
        <f t="shared" si="9"/>
        <v>0</v>
      </c>
      <c r="I25" s="214">
        <f t="shared" si="10"/>
        <v>0</v>
      </c>
      <c r="J25" s="214">
        <f t="shared" si="11"/>
        <v>0</v>
      </c>
      <c r="K25" s="214">
        <f t="shared" si="12"/>
        <v>0</v>
      </c>
      <c r="L25" s="214">
        <f t="shared" si="13"/>
        <v>0</v>
      </c>
      <c r="M25" s="214">
        <f t="shared" si="14"/>
        <v>0</v>
      </c>
      <c r="N25" s="106">
        <f t="shared" si="15"/>
        <v>0</v>
      </c>
      <c r="O25" s="106">
        <f t="shared" si="16"/>
        <v>0</v>
      </c>
      <c r="P25" s="106">
        <f t="shared" si="17"/>
        <v>0</v>
      </c>
      <c r="Q25" s="106">
        <f t="shared" si="18"/>
        <v>0</v>
      </c>
      <c r="R25" s="106">
        <f t="shared" si="19"/>
        <v>0</v>
      </c>
      <c r="S25" s="214">
        <f>IFERROR(__xludf.DUMMYFUNCTION("IFERROR(
    VARP(
        FILTER(
            INDIRECT(""'"" &amp; $B$17 &amp; ""'!"" &amp; $B25 &amp; "":"" &amp; $B25),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5" s="214">
        <f>IFERROR(__xludf.DUMMYFUNCTION("IFERROR(
    VARP(
        FILTER(
            INDIRECT(""'"" &amp; $B$17 &amp; ""'!"" &amp; $B25 &amp; "":"" &amp; $B25),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5" s="214">
        <f>IFERROR(__xludf.DUMMYFUNCTION("IFERROR(
    VARP(
        FILTER(
            INDIRECT(""'"" &amp; $B$17 &amp; ""'!"" &amp; $B25 &amp; "":"" &amp; $B25),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5" s="214">
        <f>IFERROR(__xludf.DUMMYFUNCTION("IFERROR(
    VARP(
        FILTER(
            INDIRECT(""'"" &amp; $B$17 &amp; ""'!"" &amp; $B25 &amp; "":"" &amp; $B25),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5" s="214">
        <f>IFERROR(__xludf.DUMMYFUNCTION("IFERROR(
    VARP(
        FILTER(
            INDIRECT(""'"" &amp; $B$17 &amp; ""'!"" &amp; $B25 &amp; "":"" &amp; $B25),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5" s="105">
        <f t="shared" ref="X25:AB25" si="38">sqrt(S25)</f>
        <v>0</v>
      </c>
      <c r="Y25" s="105">
        <f t="shared" si="38"/>
        <v>0</v>
      </c>
      <c r="Z25" s="105">
        <f t="shared" si="38"/>
        <v>0</v>
      </c>
      <c r="AA25" s="105">
        <f t="shared" si="38"/>
        <v>0</v>
      </c>
      <c r="AB25" s="105">
        <f t="shared" si="38"/>
        <v>0</v>
      </c>
      <c r="AC25" s="106">
        <f t="shared" si="21"/>
        <v>0</v>
      </c>
      <c r="AD25" s="106">
        <f t="shared" si="22"/>
        <v>0</v>
      </c>
      <c r="AE25" s="106">
        <f t="shared" si="23"/>
        <v>0</v>
      </c>
      <c r="AF25" s="106">
        <f t="shared" si="24"/>
        <v>0</v>
      </c>
      <c r="AG25" s="106">
        <f t="shared" si="25"/>
        <v>0</v>
      </c>
      <c r="AH25" s="106">
        <f t="shared" si="26"/>
        <v>0</v>
      </c>
      <c r="AI25" s="106">
        <f t="shared" si="27"/>
        <v>0</v>
      </c>
      <c r="AJ25" s="108">
        <f t="shared" si="28"/>
        <v>0</v>
      </c>
      <c r="AK25" s="109">
        <f t="shared" si="29"/>
        <v>0</v>
      </c>
      <c r="AL25" s="110">
        <f t="shared" si="30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9"/>
        <v>0</v>
      </c>
      <c r="E26" s="103">
        <f t="shared" si="39"/>
        <v>0</v>
      </c>
      <c r="F26" s="103">
        <f t="shared" si="39"/>
        <v>0</v>
      </c>
      <c r="G26" s="103">
        <f t="shared" si="39"/>
        <v>0</v>
      </c>
      <c r="H26" s="103">
        <f t="shared" si="9"/>
        <v>0</v>
      </c>
      <c r="I26" s="214">
        <f t="shared" si="10"/>
        <v>0</v>
      </c>
      <c r="J26" s="214">
        <f t="shared" si="11"/>
        <v>0</v>
      </c>
      <c r="K26" s="214">
        <f t="shared" si="12"/>
        <v>0</v>
      </c>
      <c r="L26" s="214">
        <f t="shared" si="13"/>
        <v>0</v>
      </c>
      <c r="M26" s="214">
        <f t="shared" si="14"/>
        <v>0</v>
      </c>
      <c r="N26" s="106">
        <f t="shared" si="15"/>
        <v>0</v>
      </c>
      <c r="O26" s="106">
        <f t="shared" si="16"/>
        <v>0</v>
      </c>
      <c r="P26" s="106">
        <f t="shared" si="17"/>
        <v>0</v>
      </c>
      <c r="Q26" s="106">
        <f t="shared" si="18"/>
        <v>0</v>
      </c>
      <c r="R26" s="106">
        <f t="shared" si="19"/>
        <v>0</v>
      </c>
      <c r="S26" s="214">
        <f>IFERROR(__xludf.DUMMYFUNCTION("IFERROR(
    VARP(
        FILTER(
            INDIRECT(""'"" &amp; $B$17 &amp; ""'!"" &amp; $B26 &amp; "":"" &amp; $B26),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6" s="214">
        <f>IFERROR(__xludf.DUMMYFUNCTION("IFERROR(
    VARP(
        FILTER(
            INDIRECT(""'"" &amp; $B$17 &amp; ""'!"" &amp; $B26 &amp; "":"" &amp; $B26),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6" s="214">
        <f>IFERROR(__xludf.DUMMYFUNCTION("IFERROR(
    VARP(
        FILTER(
            INDIRECT(""'"" &amp; $B$17 &amp; ""'!"" &amp; $B26 &amp; "":"" &amp; $B26),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6" s="214">
        <f>IFERROR(__xludf.DUMMYFUNCTION("IFERROR(
    VARP(
        FILTER(
            INDIRECT(""'"" &amp; $B$17 &amp; ""'!"" &amp; $B26 &amp; "":"" &amp; $B26),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6" s="214">
        <f>IFERROR(__xludf.DUMMYFUNCTION("IFERROR(
    VARP(
        FILTER(
            INDIRECT(""'"" &amp; $B$17 &amp; ""'!"" &amp; $B26 &amp; "":"" &amp; $B26),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6" s="105">
        <f t="shared" ref="X26:AB26" si="40">sqrt(S26)</f>
        <v>0</v>
      </c>
      <c r="Y26" s="105">
        <f t="shared" si="40"/>
        <v>0</v>
      </c>
      <c r="Z26" s="105">
        <f t="shared" si="40"/>
        <v>0</v>
      </c>
      <c r="AA26" s="105">
        <f t="shared" si="40"/>
        <v>0</v>
      </c>
      <c r="AB26" s="105">
        <f t="shared" si="40"/>
        <v>0</v>
      </c>
      <c r="AC26" s="106">
        <f t="shared" si="21"/>
        <v>0</v>
      </c>
      <c r="AD26" s="106">
        <f t="shared" si="22"/>
        <v>0</v>
      </c>
      <c r="AE26" s="106">
        <f t="shared" si="23"/>
        <v>0</v>
      </c>
      <c r="AF26" s="106">
        <f t="shared" si="24"/>
        <v>0</v>
      </c>
      <c r="AG26" s="106">
        <f t="shared" si="25"/>
        <v>0</v>
      </c>
      <c r="AH26" s="106">
        <f t="shared" si="26"/>
        <v>0</v>
      </c>
      <c r="AI26" s="106">
        <f t="shared" si="27"/>
        <v>0</v>
      </c>
      <c r="AJ26" s="108">
        <f t="shared" si="28"/>
        <v>0</v>
      </c>
      <c r="AK26" s="109">
        <f t="shared" si="29"/>
        <v>0</v>
      </c>
      <c r="AL26" s="110">
        <f t="shared" si="30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29"/>
      <c r="T27" s="29"/>
      <c r="U27" s="29"/>
      <c r="V27" s="29"/>
      <c r="W27" s="29"/>
      <c r="X27" s="29"/>
      <c r="Y27" s="112"/>
      <c r="Z27" s="112"/>
      <c r="AA27" s="29"/>
      <c r="AB27" s="29"/>
      <c r="AC27" s="112"/>
      <c r="AD27" s="112"/>
      <c r="AE27" s="112"/>
      <c r="AF27" s="112"/>
      <c r="AG27" s="112"/>
      <c r="AH27" s="29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4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41"/>
        <v>0</v>
      </c>
      <c r="E28" s="116">
        <f t="shared" si="41"/>
        <v>0</v>
      </c>
      <c r="F28" s="116">
        <f t="shared" si="41"/>
        <v>0</v>
      </c>
      <c r="G28" s="116">
        <f t="shared" si="41"/>
        <v>0</v>
      </c>
      <c r="H28" s="116">
        <f t="shared" ref="H28:H34" si="44">SUM(C28:G28)</f>
        <v>0</v>
      </c>
      <c r="I28" s="215">
        <f t="shared" ref="I28:I34" si="45">IF($D$6 = 0, 0, C28 / $D$6)</f>
        <v>0</v>
      </c>
      <c r="J28" s="215">
        <f t="shared" ref="J28:J34" si="46">IF($D$7 = 0, 0, D28 / $D$7)</f>
        <v>0</v>
      </c>
      <c r="K28" s="215">
        <f t="shared" ref="K28:K34" si="47">IF($D$8 = 0, 0, E28 / $D$8)</f>
        <v>0</v>
      </c>
      <c r="L28" s="215">
        <f t="shared" ref="L28:L34" si="48">IF($D$9 = 0, 0, F28 / $D$9)</f>
        <v>0</v>
      </c>
      <c r="M28" s="215">
        <f t="shared" ref="M28:M34" si="49">IF($D$10 = 0, 0, G28 / $D$10)</f>
        <v>0</v>
      </c>
      <c r="N28" s="119">
        <f t="shared" ref="N28:N34" si="50">I28*B$6</f>
        <v>0</v>
      </c>
      <c r="O28" s="119">
        <f t="shared" ref="O28:O34" si="51">J28*B$7</f>
        <v>0</v>
      </c>
      <c r="P28" s="119">
        <f t="shared" ref="P28:P34" si="52">K28*B$8</f>
        <v>0</v>
      </c>
      <c r="Q28" s="119">
        <f t="shared" ref="Q28:Q34" si="53">L28*B$9</f>
        <v>0</v>
      </c>
      <c r="R28" s="119">
        <f t="shared" ref="R28:R34" si="54">M28*B$10</f>
        <v>0</v>
      </c>
      <c r="S28" s="215">
        <f>IFERROR(__xludf.DUMMYFUNCTION("IFERROR(
    VARP(
        FILTER(
            INDIRECT(""'"" &amp; $B$17 &amp; ""'!"" &amp; $B28 &amp; "":"" &amp; $B28),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8" s="215">
        <f>IFERROR(__xludf.DUMMYFUNCTION("IFERROR(
    VARP(
        FILTER(
            INDIRECT(""'"" &amp; $B$17 &amp; ""'!"" &amp; $B28 &amp; "":"" &amp; $B28),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8" s="215">
        <f>IFERROR(__xludf.DUMMYFUNCTION("IFERROR(
    VARP(
        FILTER(
            INDIRECT(""'"" &amp; $B$17 &amp; ""'!"" &amp; $B28 &amp; "":"" &amp; $B28),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8" s="215">
        <f>IFERROR(__xludf.DUMMYFUNCTION("IFERROR(
    VARP(
        FILTER(
            INDIRECT(""'"" &amp; $B$17 &amp; ""'!"" &amp; $B28 &amp; "":"" &amp; $B28),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8" s="215">
        <f>IFERROR(__xludf.DUMMYFUNCTION("IFERROR(
    VARP(
        FILTER(
            INDIRECT(""'"" &amp; $B$17 &amp; ""'!"" &amp; $B28 &amp; "":"" &amp; $B28),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8" s="118">
        <f t="shared" ref="X28:AB28" si="42">sqrt(S28)</f>
        <v>0</v>
      </c>
      <c r="Y28" s="118">
        <f t="shared" si="42"/>
        <v>0</v>
      </c>
      <c r="Z28" s="118">
        <f t="shared" si="42"/>
        <v>0</v>
      </c>
      <c r="AA28" s="118">
        <f t="shared" si="42"/>
        <v>0</v>
      </c>
      <c r="AB28" s="118">
        <f t="shared" si="42"/>
        <v>0</v>
      </c>
      <c r="AC28" s="119">
        <f t="shared" ref="AC28:AC34" si="56">IF($D$6=0,0, X28/sqrt($D$6)*$B$6)</f>
        <v>0</v>
      </c>
      <c r="AD28" s="119">
        <f t="shared" ref="AD28:AD34" si="57">IF($D$7=0,0, Y28/sqrt($D$7)*$B$7)</f>
        <v>0</v>
      </c>
      <c r="AE28" s="119">
        <f t="shared" ref="AE28:AE34" si="58">IF($D$8=0,0, Z28/sqrt($D$8)*$B$8)</f>
        <v>0</v>
      </c>
      <c r="AF28" s="119">
        <f t="shared" ref="AF28:AF34" si="59">IF($D$9=0,0, AA28/sqrt($D$9)*$B$9)</f>
        <v>0</v>
      </c>
      <c r="AG28" s="119">
        <f t="shared" ref="AG28:AG34" si="60">IF($D$10=0,0, AB28/sqrt($D$10)*$B$10)</f>
        <v>0</v>
      </c>
      <c r="AH28" s="119">
        <f t="shared" ref="AH28:AH34" si="61">AC28*AC28+AD28*AD28+AE28*AE28+AF28*AF28+AG28*AG28</f>
        <v>0</v>
      </c>
      <c r="AI28" s="119">
        <f t="shared" ref="AI28:AI34" si="62">$B$15*sqrt(AH28)</f>
        <v>0</v>
      </c>
      <c r="AJ28" s="120">
        <f t="shared" ref="AJ28:AJ34" si="63">SUM(N28:R28)</f>
        <v>0</v>
      </c>
      <c r="AK28" s="121">
        <f t="shared" ref="AK28:AK34" si="64">IF(AI28=0,0,AI28/AJ28)</f>
        <v>0</v>
      </c>
      <c r="AL28" s="122">
        <f t="shared" ref="AL28:AL34" si="65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4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43"/>
        <v>0</v>
      </c>
      <c r="E29" s="116">
        <f t="shared" si="43"/>
        <v>0</v>
      </c>
      <c r="F29" s="116">
        <f t="shared" si="43"/>
        <v>0</v>
      </c>
      <c r="G29" s="116">
        <f t="shared" si="43"/>
        <v>0</v>
      </c>
      <c r="H29" s="116">
        <f t="shared" si="44"/>
        <v>0</v>
      </c>
      <c r="I29" s="215">
        <f t="shared" si="45"/>
        <v>0</v>
      </c>
      <c r="J29" s="215">
        <f t="shared" si="46"/>
        <v>0</v>
      </c>
      <c r="K29" s="215">
        <f t="shared" si="47"/>
        <v>0</v>
      </c>
      <c r="L29" s="215">
        <f t="shared" si="48"/>
        <v>0</v>
      </c>
      <c r="M29" s="215">
        <f t="shared" si="49"/>
        <v>0</v>
      </c>
      <c r="N29" s="119">
        <f t="shared" si="50"/>
        <v>0</v>
      </c>
      <c r="O29" s="119">
        <f t="shared" si="51"/>
        <v>0</v>
      </c>
      <c r="P29" s="119">
        <f t="shared" si="52"/>
        <v>0</v>
      </c>
      <c r="Q29" s="119">
        <f t="shared" si="53"/>
        <v>0</v>
      </c>
      <c r="R29" s="119">
        <f t="shared" si="54"/>
        <v>0</v>
      </c>
      <c r="S29" s="215">
        <f>IFERROR(__xludf.DUMMYFUNCTION("IFERROR(
    VARP(
        FILTER(
            INDIRECT(""'"" &amp; $B$17 &amp; ""'!"" &amp; $B29 &amp; "":"" &amp; $B29),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29" s="215">
        <f>IFERROR(__xludf.DUMMYFUNCTION("IFERROR(
    VARP(
        FILTER(
            INDIRECT(""'"" &amp; $B$17 &amp; ""'!"" &amp; $B29 &amp; "":"" &amp; $B29),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29" s="215">
        <f>IFERROR(__xludf.DUMMYFUNCTION("IFERROR(
    VARP(
        FILTER(
            INDIRECT(""'"" &amp; $B$17 &amp; ""'!"" &amp; $B29 &amp; "":"" &amp; $B29),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29" s="215">
        <f>IFERROR(__xludf.DUMMYFUNCTION("IFERROR(
    VARP(
        FILTER(
            INDIRECT(""'"" &amp; $B$17 &amp; ""'!"" &amp; $B29 &amp; "":"" &amp; $B29),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29" s="215">
        <f>IFERROR(__xludf.DUMMYFUNCTION("IFERROR(
    VARP(
        FILTER(
            INDIRECT(""'"" &amp; $B$17 &amp; ""'!"" &amp; $B29 &amp; "":"" &amp; $B29),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29" s="118">
        <f t="shared" ref="X29:AB29" si="55">sqrt(S29)</f>
        <v>0</v>
      </c>
      <c r="Y29" s="118">
        <f t="shared" si="55"/>
        <v>0</v>
      </c>
      <c r="Z29" s="118">
        <f t="shared" si="55"/>
        <v>0</v>
      </c>
      <c r="AA29" s="118">
        <f t="shared" si="55"/>
        <v>0</v>
      </c>
      <c r="AB29" s="118">
        <f t="shared" si="55"/>
        <v>0</v>
      </c>
      <c r="AC29" s="119">
        <f t="shared" si="56"/>
        <v>0</v>
      </c>
      <c r="AD29" s="119">
        <f t="shared" si="57"/>
        <v>0</v>
      </c>
      <c r="AE29" s="119">
        <f t="shared" si="58"/>
        <v>0</v>
      </c>
      <c r="AF29" s="119">
        <f t="shared" si="59"/>
        <v>0</v>
      </c>
      <c r="AG29" s="119">
        <f t="shared" si="60"/>
        <v>0</v>
      </c>
      <c r="AH29" s="119">
        <f t="shared" si="61"/>
        <v>0</v>
      </c>
      <c r="AI29" s="119">
        <f t="shared" si="62"/>
        <v>0</v>
      </c>
      <c r="AJ29" s="120">
        <f t="shared" si="63"/>
        <v>0</v>
      </c>
      <c r="AK29" s="121">
        <f t="shared" si="64"/>
        <v>0</v>
      </c>
      <c r="AL29" s="122">
        <f t="shared" si="65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6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66"/>
        <v>0</v>
      </c>
      <c r="E30" s="116">
        <f t="shared" si="66"/>
        <v>0</v>
      </c>
      <c r="F30" s="116">
        <f t="shared" si="66"/>
        <v>0</v>
      </c>
      <c r="G30" s="116">
        <f t="shared" si="66"/>
        <v>0</v>
      </c>
      <c r="H30" s="116">
        <f t="shared" si="44"/>
        <v>0</v>
      </c>
      <c r="I30" s="215">
        <f t="shared" si="45"/>
        <v>0</v>
      </c>
      <c r="J30" s="215">
        <f t="shared" si="46"/>
        <v>0</v>
      </c>
      <c r="K30" s="215">
        <f t="shared" si="47"/>
        <v>0</v>
      </c>
      <c r="L30" s="215">
        <f t="shared" si="48"/>
        <v>0</v>
      </c>
      <c r="M30" s="215">
        <f t="shared" si="49"/>
        <v>0</v>
      </c>
      <c r="N30" s="119">
        <f t="shared" si="50"/>
        <v>0</v>
      </c>
      <c r="O30" s="119">
        <f t="shared" si="51"/>
        <v>0</v>
      </c>
      <c r="P30" s="119">
        <f t="shared" si="52"/>
        <v>0</v>
      </c>
      <c r="Q30" s="119">
        <f t="shared" si="53"/>
        <v>0</v>
      </c>
      <c r="R30" s="119">
        <f t="shared" si="54"/>
        <v>0</v>
      </c>
      <c r="S30" s="215">
        <f>IFERROR(__xludf.DUMMYFUNCTION("IFERROR(
    VARP(
        FILTER(
            INDIRECT(""'"" &amp; $B$17 &amp; ""'!"" &amp; $B30 &amp; "":"" &amp; $B30),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0" s="215">
        <f>IFERROR(__xludf.DUMMYFUNCTION("IFERROR(
    VARP(
        FILTER(
            INDIRECT(""'"" &amp; $B$17 &amp; ""'!"" &amp; $B30 &amp; "":"" &amp; $B30),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0" s="215">
        <f>IFERROR(__xludf.DUMMYFUNCTION("IFERROR(
    VARP(
        FILTER(
            INDIRECT(""'"" &amp; $B$17 &amp; ""'!"" &amp; $B30 &amp; "":"" &amp; $B30),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0" s="215">
        <f>IFERROR(__xludf.DUMMYFUNCTION("IFERROR(
    VARP(
        FILTER(
            INDIRECT(""'"" &amp; $B$17 &amp; ""'!"" &amp; $B30 &amp; "":"" &amp; $B30),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0" s="215">
        <f>IFERROR(__xludf.DUMMYFUNCTION("IFERROR(
    VARP(
        FILTER(
            INDIRECT(""'"" &amp; $B$17 &amp; ""'!"" &amp; $B30 &amp; "":"" &amp; $B30),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0" s="118">
        <f t="shared" ref="X30:AB30" si="67">sqrt(S30)</f>
        <v>0</v>
      </c>
      <c r="Y30" s="118">
        <f t="shared" si="67"/>
        <v>0</v>
      </c>
      <c r="Z30" s="118">
        <f t="shared" si="67"/>
        <v>0</v>
      </c>
      <c r="AA30" s="118">
        <f t="shared" si="67"/>
        <v>0</v>
      </c>
      <c r="AB30" s="118">
        <f t="shared" si="67"/>
        <v>0</v>
      </c>
      <c r="AC30" s="119">
        <f t="shared" si="56"/>
        <v>0</v>
      </c>
      <c r="AD30" s="119">
        <f t="shared" si="57"/>
        <v>0</v>
      </c>
      <c r="AE30" s="119">
        <f t="shared" si="58"/>
        <v>0</v>
      </c>
      <c r="AF30" s="119">
        <f t="shared" si="59"/>
        <v>0</v>
      </c>
      <c r="AG30" s="119">
        <f t="shared" si="60"/>
        <v>0</v>
      </c>
      <c r="AH30" s="119">
        <f t="shared" si="61"/>
        <v>0</v>
      </c>
      <c r="AI30" s="119">
        <f t="shared" si="62"/>
        <v>0</v>
      </c>
      <c r="AJ30" s="120">
        <f t="shared" si="63"/>
        <v>0</v>
      </c>
      <c r="AK30" s="121">
        <f t="shared" si="64"/>
        <v>0</v>
      </c>
      <c r="AL30" s="122">
        <f t="shared" si="65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6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68"/>
        <v>0</v>
      </c>
      <c r="E31" s="116">
        <f t="shared" si="68"/>
        <v>0</v>
      </c>
      <c r="F31" s="116">
        <f t="shared" si="68"/>
        <v>0</v>
      </c>
      <c r="G31" s="116">
        <f t="shared" si="68"/>
        <v>0</v>
      </c>
      <c r="H31" s="116">
        <f t="shared" si="44"/>
        <v>0</v>
      </c>
      <c r="I31" s="215">
        <f t="shared" si="45"/>
        <v>0</v>
      </c>
      <c r="J31" s="215">
        <f t="shared" si="46"/>
        <v>0</v>
      </c>
      <c r="K31" s="215">
        <f t="shared" si="47"/>
        <v>0</v>
      </c>
      <c r="L31" s="215">
        <f t="shared" si="48"/>
        <v>0</v>
      </c>
      <c r="M31" s="215">
        <f t="shared" si="49"/>
        <v>0</v>
      </c>
      <c r="N31" s="119">
        <f t="shared" si="50"/>
        <v>0</v>
      </c>
      <c r="O31" s="119">
        <f t="shared" si="51"/>
        <v>0</v>
      </c>
      <c r="P31" s="119">
        <f t="shared" si="52"/>
        <v>0</v>
      </c>
      <c r="Q31" s="119">
        <f t="shared" si="53"/>
        <v>0</v>
      </c>
      <c r="R31" s="119">
        <f t="shared" si="54"/>
        <v>0</v>
      </c>
      <c r="S31" s="215">
        <f>IFERROR(__xludf.DUMMYFUNCTION("IFERROR(
    VARP(
        FILTER(
            INDIRECT(""'"" &amp; $B$17 &amp; ""'!"" &amp; $B31 &amp; "":"" &amp; $B31),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1" s="215">
        <f>IFERROR(__xludf.DUMMYFUNCTION("IFERROR(
    VARP(
        FILTER(
            INDIRECT(""'"" &amp; $B$17 &amp; ""'!"" &amp; $B31 &amp; "":"" &amp; $B31),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1" s="215">
        <f>IFERROR(__xludf.DUMMYFUNCTION("IFERROR(
    VARP(
        FILTER(
            INDIRECT(""'"" &amp; $B$17 &amp; ""'!"" &amp; $B31 &amp; "":"" &amp; $B31),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1" s="215">
        <f>IFERROR(__xludf.DUMMYFUNCTION("IFERROR(
    VARP(
        FILTER(
            INDIRECT(""'"" &amp; $B$17 &amp; ""'!"" &amp; $B31 &amp; "":"" &amp; $B31),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1" s="215">
        <f>IFERROR(__xludf.DUMMYFUNCTION("IFERROR(
    VARP(
        FILTER(
            INDIRECT(""'"" &amp; $B$17 &amp; ""'!"" &amp; $B31 &amp; "":"" &amp; $B31),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1" s="118">
        <f t="shared" ref="X31:AB31" si="69">sqrt(S31)</f>
        <v>0</v>
      </c>
      <c r="Y31" s="118">
        <f t="shared" si="69"/>
        <v>0</v>
      </c>
      <c r="Z31" s="118">
        <f t="shared" si="69"/>
        <v>0</v>
      </c>
      <c r="AA31" s="118">
        <f t="shared" si="69"/>
        <v>0</v>
      </c>
      <c r="AB31" s="118">
        <f t="shared" si="69"/>
        <v>0</v>
      </c>
      <c r="AC31" s="119">
        <f t="shared" si="56"/>
        <v>0</v>
      </c>
      <c r="AD31" s="119">
        <f t="shared" si="57"/>
        <v>0</v>
      </c>
      <c r="AE31" s="119">
        <f t="shared" si="58"/>
        <v>0</v>
      </c>
      <c r="AF31" s="119">
        <f t="shared" si="59"/>
        <v>0</v>
      </c>
      <c r="AG31" s="119">
        <f t="shared" si="60"/>
        <v>0</v>
      </c>
      <c r="AH31" s="119">
        <f t="shared" si="61"/>
        <v>0</v>
      </c>
      <c r="AI31" s="119">
        <f t="shared" si="62"/>
        <v>0</v>
      </c>
      <c r="AJ31" s="120">
        <f t="shared" si="63"/>
        <v>0</v>
      </c>
      <c r="AK31" s="121">
        <f t="shared" si="64"/>
        <v>0</v>
      </c>
      <c r="AL31" s="122">
        <f t="shared" si="65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7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70"/>
        <v>0</v>
      </c>
      <c r="E32" s="116">
        <f t="shared" si="70"/>
        <v>0</v>
      </c>
      <c r="F32" s="116">
        <f t="shared" si="70"/>
        <v>0</v>
      </c>
      <c r="G32" s="116">
        <f t="shared" si="70"/>
        <v>0</v>
      </c>
      <c r="H32" s="116">
        <f t="shared" si="44"/>
        <v>0</v>
      </c>
      <c r="I32" s="215">
        <f t="shared" si="45"/>
        <v>0</v>
      </c>
      <c r="J32" s="215">
        <f t="shared" si="46"/>
        <v>0</v>
      </c>
      <c r="K32" s="215">
        <f t="shared" si="47"/>
        <v>0</v>
      </c>
      <c r="L32" s="215">
        <f t="shared" si="48"/>
        <v>0</v>
      </c>
      <c r="M32" s="215">
        <f t="shared" si="49"/>
        <v>0</v>
      </c>
      <c r="N32" s="119">
        <f t="shared" si="50"/>
        <v>0</v>
      </c>
      <c r="O32" s="119">
        <f t="shared" si="51"/>
        <v>0</v>
      </c>
      <c r="P32" s="119">
        <f t="shared" si="52"/>
        <v>0</v>
      </c>
      <c r="Q32" s="119">
        <f t="shared" si="53"/>
        <v>0</v>
      </c>
      <c r="R32" s="119">
        <f t="shared" si="54"/>
        <v>0</v>
      </c>
      <c r="S32" s="215">
        <f>IFERROR(__xludf.DUMMYFUNCTION("IFERROR(
    VARP(
        FILTER(
            INDIRECT(""'"" &amp; $B$17 &amp; ""'!"" &amp; $B32 &amp; "":"" &amp; $B32),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2" s="215">
        <f>IFERROR(__xludf.DUMMYFUNCTION("IFERROR(
    VARP(
        FILTER(
            INDIRECT(""'"" &amp; $B$17 &amp; ""'!"" &amp; $B32 &amp; "":"" &amp; $B32),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2" s="215">
        <f>IFERROR(__xludf.DUMMYFUNCTION("IFERROR(
    VARP(
        FILTER(
            INDIRECT(""'"" &amp; $B$17 &amp; ""'!"" &amp; $B32 &amp; "":"" &amp; $B32),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2" s="215">
        <f>IFERROR(__xludf.DUMMYFUNCTION("IFERROR(
    VARP(
        FILTER(
            INDIRECT(""'"" &amp; $B$17 &amp; ""'!"" &amp; $B32 &amp; "":"" &amp; $B32),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2" s="215">
        <f>IFERROR(__xludf.DUMMYFUNCTION("IFERROR(
    VARP(
        FILTER(
            INDIRECT(""'"" &amp; $B$17 &amp; ""'!"" &amp; $B32 &amp; "":"" &amp; $B32),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2" s="118">
        <f t="shared" ref="X32:AB32" si="71">sqrt(S32)</f>
        <v>0</v>
      </c>
      <c r="Y32" s="118">
        <f t="shared" si="71"/>
        <v>0</v>
      </c>
      <c r="Z32" s="118">
        <f t="shared" si="71"/>
        <v>0</v>
      </c>
      <c r="AA32" s="118">
        <f t="shared" si="71"/>
        <v>0</v>
      </c>
      <c r="AB32" s="118">
        <f t="shared" si="71"/>
        <v>0</v>
      </c>
      <c r="AC32" s="119">
        <f t="shared" si="56"/>
        <v>0</v>
      </c>
      <c r="AD32" s="119">
        <f t="shared" si="57"/>
        <v>0</v>
      </c>
      <c r="AE32" s="119">
        <f t="shared" si="58"/>
        <v>0</v>
      </c>
      <c r="AF32" s="119">
        <f t="shared" si="59"/>
        <v>0</v>
      </c>
      <c r="AG32" s="119">
        <f t="shared" si="60"/>
        <v>0</v>
      </c>
      <c r="AH32" s="119">
        <f t="shared" si="61"/>
        <v>0</v>
      </c>
      <c r="AI32" s="119">
        <f t="shared" si="62"/>
        <v>0</v>
      </c>
      <c r="AJ32" s="120">
        <f t="shared" si="63"/>
        <v>0</v>
      </c>
      <c r="AK32" s="121">
        <f t="shared" si="64"/>
        <v>0</v>
      </c>
      <c r="AL32" s="122">
        <f t="shared" si="65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7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72"/>
        <v>0</v>
      </c>
      <c r="E33" s="116">
        <f t="shared" si="72"/>
        <v>0</v>
      </c>
      <c r="F33" s="116">
        <f t="shared" si="72"/>
        <v>0</v>
      </c>
      <c r="G33" s="116">
        <f t="shared" si="72"/>
        <v>0</v>
      </c>
      <c r="H33" s="116">
        <f t="shared" si="44"/>
        <v>0</v>
      </c>
      <c r="I33" s="215">
        <f t="shared" si="45"/>
        <v>0</v>
      </c>
      <c r="J33" s="215">
        <f t="shared" si="46"/>
        <v>0</v>
      </c>
      <c r="K33" s="215">
        <f t="shared" si="47"/>
        <v>0</v>
      </c>
      <c r="L33" s="215">
        <f t="shared" si="48"/>
        <v>0</v>
      </c>
      <c r="M33" s="215">
        <f t="shared" si="49"/>
        <v>0</v>
      </c>
      <c r="N33" s="119">
        <f t="shared" si="50"/>
        <v>0</v>
      </c>
      <c r="O33" s="119">
        <f t="shared" si="51"/>
        <v>0</v>
      </c>
      <c r="P33" s="119">
        <f t="shared" si="52"/>
        <v>0</v>
      </c>
      <c r="Q33" s="119">
        <f t="shared" si="53"/>
        <v>0</v>
      </c>
      <c r="R33" s="119">
        <f t="shared" si="54"/>
        <v>0</v>
      </c>
      <c r="S33" s="215">
        <f>IFERROR(__xludf.DUMMYFUNCTION("IFERROR(
    VARP(
        FILTER(
            INDIRECT(""'"" &amp; $B$17 &amp; ""'!"" &amp; $B33 &amp; "":"" &amp; $B33),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3" s="215">
        <f>IFERROR(__xludf.DUMMYFUNCTION("IFERROR(
    VARP(
        FILTER(
            INDIRECT(""'"" &amp; $B$17 &amp; ""'!"" &amp; $B33 &amp; "":"" &amp; $B33),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3" s="215">
        <f>IFERROR(__xludf.DUMMYFUNCTION("IFERROR(
    VARP(
        FILTER(
            INDIRECT(""'"" &amp; $B$17 &amp; ""'!"" &amp; $B33 &amp; "":"" &amp; $B33),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3" s="215">
        <f>IFERROR(__xludf.DUMMYFUNCTION("IFERROR(
    VARP(
        FILTER(
            INDIRECT(""'"" &amp; $B$17 &amp; ""'!"" &amp; $B33 &amp; "":"" &amp; $B33),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3" s="215">
        <f>IFERROR(__xludf.DUMMYFUNCTION("IFERROR(
    VARP(
        FILTER(
            INDIRECT(""'"" &amp; $B$17 &amp; ""'!"" &amp; $B33 &amp; "":"" &amp; $B33),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3" s="118">
        <f t="shared" ref="X33:AB33" si="73">sqrt(S33)</f>
        <v>0</v>
      </c>
      <c r="Y33" s="118">
        <f t="shared" si="73"/>
        <v>0</v>
      </c>
      <c r="Z33" s="118">
        <f t="shared" si="73"/>
        <v>0</v>
      </c>
      <c r="AA33" s="118">
        <f t="shared" si="73"/>
        <v>0</v>
      </c>
      <c r="AB33" s="118">
        <f t="shared" si="73"/>
        <v>0</v>
      </c>
      <c r="AC33" s="119">
        <f t="shared" si="56"/>
        <v>0</v>
      </c>
      <c r="AD33" s="119">
        <f t="shared" si="57"/>
        <v>0</v>
      </c>
      <c r="AE33" s="119">
        <f t="shared" si="58"/>
        <v>0</v>
      </c>
      <c r="AF33" s="119">
        <f t="shared" si="59"/>
        <v>0</v>
      </c>
      <c r="AG33" s="119">
        <f t="shared" si="60"/>
        <v>0</v>
      </c>
      <c r="AH33" s="119">
        <f t="shared" si="61"/>
        <v>0</v>
      </c>
      <c r="AI33" s="119">
        <f t="shared" si="62"/>
        <v>0</v>
      </c>
      <c r="AJ33" s="120">
        <f t="shared" si="63"/>
        <v>0</v>
      </c>
      <c r="AK33" s="121">
        <f t="shared" si="64"/>
        <v>0</v>
      </c>
      <c r="AL33" s="122">
        <f t="shared" si="65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7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74"/>
        <v>0</v>
      </c>
      <c r="E34" s="116">
        <f t="shared" si="74"/>
        <v>0</v>
      </c>
      <c r="F34" s="116">
        <f t="shared" si="74"/>
        <v>0</v>
      </c>
      <c r="G34" s="116">
        <f t="shared" si="74"/>
        <v>0</v>
      </c>
      <c r="H34" s="116">
        <f t="shared" si="44"/>
        <v>0</v>
      </c>
      <c r="I34" s="215">
        <f t="shared" si="45"/>
        <v>0</v>
      </c>
      <c r="J34" s="215">
        <f t="shared" si="46"/>
        <v>0</v>
      </c>
      <c r="K34" s="215">
        <f t="shared" si="47"/>
        <v>0</v>
      </c>
      <c r="L34" s="215">
        <f t="shared" si="48"/>
        <v>0</v>
      </c>
      <c r="M34" s="215">
        <f t="shared" si="49"/>
        <v>0</v>
      </c>
      <c r="N34" s="119">
        <f t="shared" si="50"/>
        <v>0</v>
      </c>
      <c r="O34" s="119">
        <f t="shared" si="51"/>
        <v>0</v>
      </c>
      <c r="P34" s="119">
        <f t="shared" si="52"/>
        <v>0</v>
      </c>
      <c r="Q34" s="119">
        <f t="shared" si="53"/>
        <v>0</v>
      </c>
      <c r="R34" s="119">
        <f t="shared" si="54"/>
        <v>0</v>
      </c>
      <c r="S34" s="215">
        <f>IFERROR(__xludf.DUMMYFUNCTION("IFERROR(
    VARP(
        FILTER(
            INDIRECT(""'"" &amp; $B$17 &amp; ""'!"" &amp; $B34 &amp; "":"" &amp; $B34),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4" s="215">
        <f>IFERROR(__xludf.DUMMYFUNCTION("IFERROR(
    VARP(
        FILTER(
            INDIRECT(""'"" &amp; $B$17 &amp; ""'!"" &amp; $B34 &amp; "":"" &amp; $B34),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4" s="215">
        <f>IFERROR(__xludf.DUMMYFUNCTION("IFERROR(
    VARP(
        FILTER(
            INDIRECT(""'"" &amp; $B$17 &amp; ""'!"" &amp; $B34 &amp; "":"" &amp; $B34),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4" s="215">
        <f>IFERROR(__xludf.DUMMYFUNCTION("IFERROR(
    VARP(
        FILTER(
            INDIRECT(""'"" &amp; $B$17 &amp; ""'!"" &amp; $B34 &amp; "":"" &amp; $B34),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4" s="215">
        <f>IFERROR(__xludf.DUMMYFUNCTION("IFERROR(
    VARP(
        FILTER(
            INDIRECT(""'"" &amp; $B$17 &amp; ""'!"" &amp; $B34 &amp; "":"" &amp; $B34),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4" s="118">
        <f t="shared" ref="X34:AB34" si="75">sqrt(S34)</f>
        <v>0</v>
      </c>
      <c r="Y34" s="118">
        <f t="shared" si="75"/>
        <v>0</v>
      </c>
      <c r="Z34" s="118">
        <f t="shared" si="75"/>
        <v>0</v>
      </c>
      <c r="AA34" s="118">
        <f t="shared" si="75"/>
        <v>0</v>
      </c>
      <c r="AB34" s="118">
        <f t="shared" si="75"/>
        <v>0</v>
      </c>
      <c r="AC34" s="119">
        <f t="shared" si="56"/>
        <v>0</v>
      </c>
      <c r="AD34" s="119">
        <f t="shared" si="57"/>
        <v>0</v>
      </c>
      <c r="AE34" s="119">
        <f t="shared" si="58"/>
        <v>0</v>
      </c>
      <c r="AF34" s="119">
        <f t="shared" si="59"/>
        <v>0</v>
      </c>
      <c r="AG34" s="119">
        <f t="shared" si="60"/>
        <v>0</v>
      </c>
      <c r="AH34" s="119">
        <f t="shared" si="61"/>
        <v>0</v>
      </c>
      <c r="AI34" s="119">
        <f t="shared" si="62"/>
        <v>0</v>
      </c>
      <c r="AJ34" s="120">
        <f t="shared" si="63"/>
        <v>0</v>
      </c>
      <c r="AK34" s="121">
        <f t="shared" si="64"/>
        <v>0</v>
      </c>
      <c r="AL34" s="122">
        <f t="shared" si="65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85"/>
      <c r="AA35" s="85"/>
      <c r="AB35" s="29"/>
      <c r="AC35" s="112"/>
      <c r="AD35" s="112"/>
      <c r="AE35" s="112"/>
      <c r="AF35" s="112"/>
      <c r="AG35" s="112"/>
      <c r="AH35" s="29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Z36" s="59"/>
      <c r="AC36" s="56"/>
      <c r="AD36" s="56"/>
      <c r="AE36" s="56"/>
      <c r="AF36" s="56"/>
      <c r="AG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76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76"/>
        <v>0</v>
      </c>
      <c r="E37" s="125">
        <f t="shared" si="76"/>
        <v>0</v>
      </c>
      <c r="F37" s="125">
        <f t="shared" si="76"/>
        <v>0</v>
      </c>
      <c r="G37" s="125">
        <f t="shared" si="76"/>
        <v>0</v>
      </c>
      <c r="H37" s="125">
        <f t="shared" ref="H37:H38" si="79">SUM(C37:G37)</f>
        <v>0</v>
      </c>
      <c r="I37" s="218">
        <f t="shared" ref="I37:I38" si="80">IF($D$6 = 0, 0, C37 / $D$6)</f>
        <v>0</v>
      </c>
      <c r="J37" s="218">
        <f t="shared" ref="J37:J38" si="81">IF($D$7 = 0, 0, D37 / $D$7)</f>
        <v>0</v>
      </c>
      <c r="K37" s="218">
        <f t="shared" ref="K37:K38" si="82">IF($D$8 = 0, 0, E37 / $D$8)</f>
        <v>0</v>
      </c>
      <c r="L37" s="127">
        <f t="shared" ref="L37:L38" si="83">IF($D$9 = 0, 0, F37 / $D$9)</f>
        <v>0</v>
      </c>
      <c r="M37" s="127">
        <f t="shared" ref="M37:M38" si="84">IF($D$10 = 0, 0, G37 / $D$10)</f>
        <v>0</v>
      </c>
      <c r="N37" s="128">
        <f t="shared" ref="N37:N38" si="85">I37*B$6</f>
        <v>0</v>
      </c>
      <c r="O37" s="128">
        <f t="shared" ref="O37:O38" si="86">J37*B$7</f>
        <v>0</v>
      </c>
      <c r="P37" s="128">
        <f t="shared" ref="P37:P38" si="87">K37*B$8</f>
        <v>0</v>
      </c>
      <c r="Q37" s="128">
        <f t="shared" ref="Q37:Q38" si="88">L37*B$9</f>
        <v>0</v>
      </c>
      <c r="R37" s="128">
        <f t="shared" ref="R37:R38" si="89">M37*B$10</f>
        <v>0</v>
      </c>
      <c r="S37" s="126">
        <f>IFERROR(__xludf.DUMMYFUNCTION("IFERROR(
    VARP(
        FILTER(
            INDIRECT(""'"" &amp; $B$17 &amp; ""'!"" &amp; $B37 &amp; "":"" &amp; $B37),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7" s="126">
        <f>IFERROR(__xludf.DUMMYFUNCTION("IFERROR(
    VARP(
        FILTER(
            INDIRECT(""'"" &amp; $B$17 &amp; ""'!"" &amp; $B37 &amp; "":"" &amp; $B37),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7" s="126">
        <f>IFERROR(__xludf.DUMMYFUNCTION("IFERROR(
    VARP(
        FILTER(
            INDIRECT(""'"" &amp; $B$17 &amp; ""'!"" &amp; $B37 &amp; "":"" &amp; $B37),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7" s="126">
        <f>IFERROR(__xludf.DUMMYFUNCTION("IFERROR(
    VARP(
        FILTER(
            INDIRECT(""'"" &amp; $B$17 &amp; ""'!"" &amp; $B37 &amp; "":"" &amp; $B37),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7" s="126">
        <f>IFERROR(__xludf.DUMMYFUNCTION("IFERROR(
    VARP(
        FILTER(
            INDIRECT(""'"" &amp; $B$17 &amp; ""'!"" &amp; $B37 &amp; "":"" &amp; $B37),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7" s="127">
        <f t="shared" ref="X37:AB37" si="77">sqrt(S37)</f>
        <v>0</v>
      </c>
      <c r="Y37" s="127">
        <f t="shared" si="77"/>
        <v>0</v>
      </c>
      <c r="Z37" s="127">
        <f t="shared" si="77"/>
        <v>0</v>
      </c>
      <c r="AA37" s="127">
        <f t="shared" si="77"/>
        <v>0</v>
      </c>
      <c r="AB37" s="127">
        <f t="shared" si="77"/>
        <v>0</v>
      </c>
      <c r="AC37" s="128">
        <f t="shared" ref="AC37:AC38" si="91">IF($D$6=0,0, X37/sqrt($D$6)*$B$6)</f>
        <v>0</v>
      </c>
      <c r="AD37" s="128">
        <f t="shared" ref="AD37:AD38" si="92">IF($D$7=0,0, Y37/sqrt($D$7)*$B$7)</f>
        <v>0</v>
      </c>
      <c r="AE37" s="128">
        <f t="shared" ref="AE37:AE38" si="93">IF($D$8=0,0, Z37/sqrt($D$8)*$B$8)</f>
        <v>0</v>
      </c>
      <c r="AF37" s="128">
        <f t="shared" ref="AF37:AF38" si="94">IF($D$9=0,0, AA37/sqrt($D$9)*$B$9)</f>
        <v>0</v>
      </c>
      <c r="AG37" s="128">
        <f t="shared" ref="AG37:AG38" si="95">IF($D$10=0,0, AB37/sqrt($D$10)*$B$10)</f>
        <v>0</v>
      </c>
      <c r="AH37" s="128">
        <f t="shared" ref="AH37:AH38" si="96">AC37*AC37+AD37*AD37+AE37*AE37+AF37*AF37+AG37*AG37</f>
        <v>0</v>
      </c>
      <c r="AI37" s="128">
        <f t="shared" ref="AI37:AI38" si="97">$B$15*sqrt(AH37)</f>
        <v>0</v>
      </c>
      <c r="AJ37" s="129">
        <f t="shared" ref="AJ37:AJ38" si="98">SUM(N37:R37)</f>
        <v>0</v>
      </c>
      <c r="AK37" s="130">
        <f t="shared" ref="AK37:AK38" si="99">IF(AI37=0,0,AI37/AJ37)</f>
        <v>0</v>
      </c>
      <c r="AL37" s="131">
        <f t="shared" ref="AL37:AL38" si="100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78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78"/>
        <v>0</v>
      </c>
      <c r="E38" s="133">
        <f t="shared" si="78"/>
        <v>0</v>
      </c>
      <c r="F38" s="133">
        <f t="shared" si="78"/>
        <v>0</v>
      </c>
      <c r="G38" s="133">
        <f t="shared" si="78"/>
        <v>0</v>
      </c>
      <c r="H38" s="133">
        <f t="shared" si="79"/>
        <v>0</v>
      </c>
      <c r="I38" s="169">
        <f t="shared" si="80"/>
        <v>0</v>
      </c>
      <c r="J38" s="169">
        <f t="shared" si="81"/>
        <v>0</v>
      </c>
      <c r="K38" s="169">
        <f t="shared" si="82"/>
        <v>0</v>
      </c>
      <c r="L38" s="135">
        <f t="shared" si="83"/>
        <v>0</v>
      </c>
      <c r="M38" s="135">
        <f t="shared" si="84"/>
        <v>0</v>
      </c>
      <c r="N38" s="136">
        <f t="shared" si="85"/>
        <v>0</v>
      </c>
      <c r="O38" s="136">
        <f t="shared" si="86"/>
        <v>0</v>
      </c>
      <c r="P38" s="136">
        <f t="shared" si="87"/>
        <v>0</v>
      </c>
      <c r="Q38" s="136">
        <f t="shared" si="88"/>
        <v>0</v>
      </c>
      <c r="R38" s="136">
        <f t="shared" si="89"/>
        <v>0</v>
      </c>
      <c r="S38" s="134">
        <f>IFERROR(__xludf.DUMMYFUNCTION("IFERROR(
    VARP(
        FILTER(
            INDIRECT(""'"" &amp; $B$17 &amp; ""'!"" &amp; $B38 &amp; "":"" &amp; $B38),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38" s="134">
        <f>IFERROR(__xludf.DUMMYFUNCTION("IFERROR(
    VARP(
        FILTER(
            INDIRECT(""'"" &amp; $B$17 &amp; ""'!"" &amp; $B38 &amp; "":"" &amp; $B38),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38" s="134">
        <f>IFERROR(__xludf.DUMMYFUNCTION("IFERROR(
    VARP(
        FILTER(
            INDIRECT(""'"" &amp; $B$17 &amp; ""'!"" &amp; $B38 &amp; "":"" &amp; $B38),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38" s="134">
        <f>IFERROR(__xludf.DUMMYFUNCTION("IFERROR(
    VARP(
        FILTER(
            INDIRECT(""'"" &amp; $B$17 &amp; ""'!"" &amp; $B38 &amp; "":"" &amp; $B38),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38" s="134">
        <f>IFERROR(__xludf.DUMMYFUNCTION("IFERROR(
    VARP(
        FILTER(
            INDIRECT(""'"" &amp; $B$17 &amp; ""'!"" &amp; $B38 &amp; "":"" &amp; $B38),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38" s="135">
        <f t="shared" ref="X38:AB38" si="90">sqrt(S38)</f>
        <v>0</v>
      </c>
      <c r="Y38" s="135">
        <f t="shared" si="90"/>
        <v>0</v>
      </c>
      <c r="Z38" s="135">
        <f t="shared" si="90"/>
        <v>0</v>
      </c>
      <c r="AA38" s="135">
        <f t="shared" si="90"/>
        <v>0</v>
      </c>
      <c r="AB38" s="135">
        <f t="shared" si="90"/>
        <v>0</v>
      </c>
      <c r="AC38" s="136">
        <f t="shared" si="91"/>
        <v>0</v>
      </c>
      <c r="AD38" s="136">
        <f t="shared" si="92"/>
        <v>0</v>
      </c>
      <c r="AE38" s="136">
        <f t="shared" si="93"/>
        <v>0</v>
      </c>
      <c r="AF38" s="136">
        <f t="shared" si="94"/>
        <v>0</v>
      </c>
      <c r="AG38" s="136">
        <f t="shared" si="95"/>
        <v>0</v>
      </c>
      <c r="AH38" s="136">
        <f t="shared" si="96"/>
        <v>0</v>
      </c>
      <c r="AI38" s="136">
        <f t="shared" si="97"/>
        <v>0</v>
      </c>
      <c r="AJ38" s="137">
        <f t="shared" si="98"/>
        <v>0</v>
      </c>
      <c r="AK38" s="138">
        <f t="shared" si="99"/>
        <v>0</v>
      </c>
      <c r="AL38" s="139">
        <f t="shared" si="100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56"/>
      <c r="O39" s="56"/>
      <c r="P39" s="56"/>
      <c r="Q39" s="56"/>
      <c r="R39" s="56"/>
      <c r="S39" s="140"/>
      <c r="T39" s="56"/>
      <c r="U39" s="56"/>
      <c r="V39" s="56"/>
      <c r="W39" s="56"/>
      <c r="X39" s="56"/>
      <c r="Y39" s="68"/>
      <c r="Z39" s="68"/>
      <c r="AA39" s="68"/>
      <c r="AB39" s="68"/>
      <c r="AC39" s="68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10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101"/>
        <v>0</v>
      </c>
      <c r="E40" s="142">
        <f t="shared" si="101"/>
        <v>0</v>
      </c>
      <c r="F40" s="142">
        <f t="shared" si="101"/>
        <v>0</v>
      </c>
      <c r="G40" s="142">
        <f t="shared" si="101"/>
        <v>0</v>
      </c>
      <c r="H40" s="142">
        <f t="shared" ref="H40:H41" si="104">SUM(C40:G40)</f>
        <v>0</v>
      </c>
      <c r="I40" s="221">
        <f t="shared" ref="I40:I41" si="105">IF($D$6 = 0, 0, C40 / $D$6)</f>
        <v>0</v>
      </c>
      <c r="J40" s="221">
        <f t="shared" ref="J40:J41" si="106">IF($D$7 = 0, 0, D40 / $D$7)</f>
        <v>0</v>
      </c>
      <c r="K40" s="221">
        <f t="shared" ref="K40:K41" si="107">IF($D$8 = 0, 0, E40 / $D$8)</f>
        <v>0</v>
      </c>
      <c r="L40" s="144">
        <f t="shared" ref="L40:L41" si="108">IF($D$9 = 0, 0, F40 / $D$9)</f>
        <v>0</v>
      </c>
      <c r="M40" s="144">
        <f t="shared" ref="M40:M41" si="109">IF($D$10 = 0, 0, G40 / $D$10)</f>
        <v>0</v>
      </c>
      <c r="N40" s="142">
        <f t="shared" ref="N40:N41" si="110">I40*B$6</f>
        <v>0</v>
      </c>
      <c r="O40" s="142">
        <f t="shared" ref="O40:O41" si="111">J40*B$7</f>
        <v>0</v>
      </c>
      <c r="P40" s="142">
        <f t="shared" ref="P40:P41" si="112">K40*B$8</f>
        <v>0</v>
      </c>
      <c r="Q40" s="142">
        <f t="shared" ref="Q40:Q41" si="113">L40*B$9</f>
        <v>0</v>
      </c>
      <c r="R40" s="142">
        <f t="shared" ref="R40:R41" si="114">M40*B$10</f>
        <v>0</v>
      </c>
      <c r="S40" s="143">
        <f>IFERROR(__xludf.DUMMYFUNCTION("IFERROR(
    VARP(
        FILTER(
            INDIRECT(""'"" &amp; $B$17 &amp; ""'!"" &amp; $B40 &amp; "":"" &amp; $B40),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40" s="143">
        <f>IFERROR(__xludf.DUMMYFUNCTION("IFERROR(
    VAR.S(
        FILTER(
            INDIRECT(""'"" &amp; $B$17 &amp; ""'!"" &amp; $B40 &amp; "":"" &amp; $B40), 
            (INDIRECT(""'"" &amp; $B$17 &amp; ""'!"" &amp; $B$18 &amp; "":"" &amp; $B$18) = T$19)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U40" s="143">
        <f>IFERROR(__xludf.DUMMYFUNCTION("IFERROR(
    VAR.S(
        FILTER(
            INDIRECT(""'"" &amp; $B$17 &amp; ""'!"" &amp; $B40 &amp; "":"" &amp; $B40), 
            (INDIRECT(""'"" &amp; $B$17 &amp; ""'!"" &amp; $B$18 &amp; "":"" &amp; $B$18) = U$19)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V40" s="143">
        <f>IFERROR(__xludf.DUMMYFUNCTION("IFERROR(
    VAR.S(
        FILTER(
            INDIRECT(""'"" &amp; $B$17 &amp; ""'!"" &amp; $B40 &amp; "":"" &amp; $B40), 
            (INDIRECT(""'"" &amp; $B$17 &amp; ""'!"" &amp; $B$18 &amp; "":"" &amp; $B$18) = V$19)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W40" s="143">
        <f>IFERROR(__xludf.DUMMYFUNCTION("IFERROR(
    VAR.S(
        FILTER(
            INDIRECT(""'"" &amp; $B$17 &amp; ""'!"" &amp; $B40 &amp; "":"" &amp; $B40), 
            (INDIRECT(""'"" &amp; $B$17 &amp; ""'!"" &amp; $B$18 &amp; "":"" &amp; $B$18) = W$19) *
            (ISNUMBER(SEARCH($B$4, INDIRECT(""'"" &amp; $B$17 &amp; ""'!"" &amp; $"&amp;"B$12 &amp; "":"" &amp; $B$12)))) *
            (INDIRECT(""'"" &amp; $B$17 &amp; ""'!"" &amp; $B$13 &amp; "":"" &amp; $B$13) = $A$1)
        )
    ), 
    0
)
"),0.0)</f>
        <v>0</v>
      </c>
      <c r="X40" s="144">
        <f t="shared" ref="X40:AB40" si="102">sqrt(S40)</f>
        <v>0</v>
      </c>
      <c r="Y40" s="144">
        <f t="shared" si="102"/>
        <v>0</v>
      </c>
      <c r="Z40" s="144">
        <f t="shared" si="102"/>
        <v>0</v>
      </c>
      <c r="AA40" s="144">
        <f t="shared" si="102"/>
        <v>0</v>
      </c>
      <c r="AB40" s="144">
        <f t="shared" si="102"/>
        <v>0</v>
      </c>
      <c r="AC40" s="142">
        <f t="shared" ref="AC40:AC41" si="116">IF($D$6=0,0, X40/sqrt($D$6)*$B$6)</f>
        <v>0</v>
      </c>
      <c r="AD40" s="142">
        <f t="shared" ref="AD40:AD41" si="117">IF($D$7=0,0, Y40/sqrt($D$7)*$B$7)</f>
        <v>0</v>
      </c>
      <c r="AE40" s="142">
        <f t="shared" ref="AE40:AE41" si="118">IF($D$8=0,0, Z40/sqrt($D$8)*$B$8)</f>
        <v>0</v>
      </c>
      <c r="AF40" s="142">
        <f t="shared" ref="AF40:AF41" si="119">IF($D$9=0,0, AA40/sqrt($D$9)*$B$9)</f>
        <v>0</v>
      </c>
      <c r="AG40" s="142">
        <f t="shared" ref="AG40:AG41" si="120">IF($D$10=0,0, AB40/sqrt($D$10)*$B$10)</f>
        <v>0</v>
      </c>
      <c r="AH40" s="142">
        <f t="shared" ref="AH40:AH41" si="121">AC40*AC40+AD40*AD40+AE40*AE40+AF40*AF40+AG40*AG40</f>
        <v>0</v>
      </c>
      <c r="AI40" s="142">
        <f t="shared" ref="AI40:AI41" si="122">$B$15*sqrt(AH40)</f>
        <v>0</v>
      </c>
      <c r="AJ40" s="145">
        <f t="shared" ref="AJ40:AJ41" si="123">SUM(N40:R40)</f>
        <v>0</v>
      </c>
      <c r="AK40" s="146">
        <f t="shared" ref="AK40:AK41" si="124">IF(AI40=0,0,AI40/AJ40)</f>
        <v>0</v>
      </c>
      <c r="AL40" s="147">
        <f t="shared" ref="AL40:AL41" si="125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10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103"/>
        <v>0</v>
      </c>
      <c r="E41" s="149">
        <f t="shared" si="103"/>
        <v>0</v>
      </c>
      <c r="F41" s="149">
        <f t="shared" si="103"/>
        <v>0</v>
      </c>
      <c r="G41" s="149">
        <f t="shared" si="103"/>
        <v>0</v>
      </c>
      <c r="H41" s="149">
        <f t="shared" si="104"/>
        <v>0</v>
      </c>
      <c r="I41" s="223">
        <f t="shared" si="105"/>
        <v>0</v>
      </c>
      <c r="J41" s="223">
        <f t="shared" si="106"/>
        <v>0</v>
      </c>
      <c r="K41" s="223">
        <f t="shared" si="107"/>
        <v>0</v>
      </c>
      <c r="L41" s="151">
        <f t="shared" si="108"/>
        <v>0</v>
      </c>
      <c r="M41" s="151">
        <f t="shared" si="109"/>
        <v>0</v>
      </c>
      <c r="N41" s="149">
        <f t="shared" si="110"/>
        <v>0</v>
      </c>
      <c r="O41" s="149">
        <f t="shared" si="111"/>
        <v>0</v>
      </c>
      <c r="P41" s="149">
        <f t="shared" si="112"/>
        <v>0</v>
      </c>
      <c r="Q41" s="149">
        <f t="shared" si="113"/>
        <v>0</v>
      </c>
      <c r="R41" s="149">
        <f t="shared" si="114"/>
        <v>0</v>
      </c>
      <c r="S41" s="150">
        <f>IFERROR(__xludf.DUMMYFUNCTION("IFERROR(
    VARP(
        FILTER(
            INDIRECT(""'"" &amp; $B$17 &amp; ""'!"" &amp; $B41 &amp; "":"" &amp; $B41), 
            (INDIRECT(""'"" &amp; $B$17 &amp; ""'!"" &amp; $B$18 &amp; "":"" &amp; $B$18) = S$19)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T41" s="150">
        <f>IFERROR(__xludf.DUMMYFUNCTION("IFERROR(
    VARP(
        FILTER(
            INDIRECT(""'"" &amp; $B$17 &amp; ""'!"" &amp; $B41 &amp; "":"" &amp; $B41), 
            (INDIRECT(""'"" &amp; $B$17 &amp; ""'!"" &amp; $B$18 &amp; "":"" &amp; $B$18) = T$19)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U41" s="150">
        <f>IFERROR(__xludf.DUMMYFUNCTION("IFERROR(
    VARP(
        FILTER(
            INDIRECT(""'"" &amp; $B$17 &amp; ""'!"" &amp; $B41 &amp; "":"" &amp; $B41), 
            (INDIRECT(""'"" &amp; $B$17 &amp; ""'!"" &amp; $B$18 &amp; "":"" &amp; $B$18) = U$19)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V41" s="150">
        <f>IFERROR(__xludf.DUMMYFUNCTION("IFERROR(
    VARP(
        FILTER(
            INDIRECT(""'"" &amp; $B$17 &amp; ""'!"" &amp; $B41 &amp; "":"" &amp; $B41), 
            (INDIRECT(""'"" &amp; $B$17 &amp; ""'!"" &amp; $B$18 &amp; "":"" &amp; $B$18) = V$19)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W41" s="150">
        <f>IFERROR(__xludf.DUMMYFUNCTION("IFERROR(
    VARP(
        FILTER(
            INDIRECT(""'"" &amp; $B$17 &amp; ""'!"" &amp; $B41 &amp; "":"" &amp; $B41), 
            (INDIRECT(""'"" &amp; $B$17 &amp; ""'!"" &amp; $B$18 &amp; "":"" &amp; $B$18) = W$19) *
            (ISNUMBER(SEARCH($B$4, INDIRECT(""'"" &amp; $B$17 &amp; ""'!"" &amp; $B"&amp;"$12 &amp; "":"" &amp; $B$12)))) *
            (INDIRECT(""'"" &amp; $B$17 &amp; ""'!"" &amp; $B$13 &amp; "":"" &amp; $B$13) = $A$1)
        )
    ), 
    0
)
"),0.0)</f>
        <v>0</v>
      </c>
      <c r="X41" s="151">
        <f t="shared" ref="X41:AB41" si="115">sqrt(S41)</f>
        <v>0</v>
      </c>
      <c r="Y41" s="151">
        <f t="shared" si="115"/>
        <v>0</v>
      </c>
      <c r="Z41" s="151">
        <f t="shared" si="115"/>
        <v>0</v>
      </c>
      <c r="AA41" s="151">
        <f t="shared" si="115"/>
        <v>0</v>
      </c>
      <c r="AB41" s="151">
        <f t="shared" si="115"/>
        <v>0</v>
      </c>
      <c r="AC41" s="149">
        <f t="shared" si="116"/>
        <v>0</v>
      </c>
      <c r="AD41" s="149">
        <f t="shared" si="117"/>
        <v>0</v>
      </c>
      <c r="AE41" s="149">
        <f t="shared" si="118"/>
        <v>0</v>
      </c>
      <c r="AF41" s="149">
        <f t="shared" si="119"/>
        <v>0</v>
      </c>
      <c r="AG41" s="149">
        <f t="shared" si="120"/>
        <v>0</v>
      </c>
      <c r="AH41" s="149">
        <f t="shared" si="121"/>
        <v>0</v>
      </c>
      <c r="AI41" s="149">
        <f t="shared" si="122"/>
        <v>0</v>
      </c>
      <c r="AJ41" s="152">
        <f t="shared" si="123"/>
        <v>0</v>
      </c>
      <c r="AK41" s="153">
        <f t="shared" si="124"/>
        <v>0</v>
      </c>
      <c r="AL41" s="154">
        <f t="shared" si="125"/>
        <v>0</v>
      </c>
      <c r="AM41" s="123"/>
      <c r="AN41" s="123"/>
      <c r="AO41" s="123"/>
      <c r="AP41" s="123"/>
      <c r="AQ41" s="123"/>
    </row>
    <row r="42" ht="15.75" customHeight="1">
      <c r="A42" s="155"/>
      <c r="H42" s="59">
        <f>SUM(H37:H41)</f>
        <v>0</v>
      </c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  <c r="AI43" s="59" t="s">
        <v>500</v>
      </c>
      <c r="AJ43" s="55">
        <f>SUM(AJ37:AJ41)</f>
        <v>0</v>
      </c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H27">
    <cfRule type="notContainsBlanks" dxfId="0" priority="1">
      <formula>LEN(TRIM(H27))&gt;0</formula>
    </cfRule>
  </conditionalFormatting>
  <conditionalFormatting sqref="AJ35">
    <cfRule type="expression" dxfId="0" priority="2">
      <formula>AJ35=AJ38</formula>
    </cfRule>
  </conditionalFormatting>
  <conditionalFormatting sqref="AJ35">
    <cfRule type="expression" dxfId="2" priority="3">
      <formula>"AJ35&lt;&gt;AJ38"</formula>
    </cfRule>
  </conditionalFormatting>
  <conditionalFormatting sqref="AJ27">
    <cfRule type="expression" dxfId="0" priority="4">
      <formula>"AJ27=AJ37"</formula>
    </cfRule>
  </conditionalFormatting>
  <conditionalFormatting sqref="AJ27">
    <cfRule type="expression" dxfId="2" priority="5">
      <formula>AJ27&lt;&gt;AJ37</formula>
    </cfRule>
  </conditionalFormatting>
  <conditionalFormatting sqref="H42">
    <cfRule type="expression" dxfId="0" priority="6">
      <formula>H42=D11</formula>
    </cfRule>
  </conditionalFormatting>
  <conditionalFormatting sqref="H42">
    <cfRule type="expression" dxfId="2" priority="7">
      <formula>H42&lt;&gt;D11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207" t="s">
        <v>528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5269759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09">
        <f>VLOOKUP($A$1,'Prefecture Summary 2015-2023'!$A$1:$G$18,(A6+2),FALSE)</f>
        <v>4340109</v>
      </c>
      <c r="C6" s="73">
        <f t="shared" ref="C6:C10" si="3">B6/$B$11</f>
        <v>0.823587758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09">
        <f>VLOOKUP($A$1,'Prefecture Summary 2015-2023'!$A$1:$G$18,(A7+2),FALSE)</f>
        <v>349189</v>
      </c>
      <c r="C7" s="73">
        <f t="shared" si="3"/>
        <v>0.06626280253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09">
        <f>VLOOKUP($A$1,'Prefecture Summary 2015-2023'!$A$1:$G$18,(A8+2),FALSE)</f>
        <v>295449</v>
      </c>
      <c r="C8" s="73">
        <f t="shared" si="3"/>
        <v>0.05606499273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09">
        <f>VLOOKUP($A$1,'Prefecture Summary 2015-2023'!$A$1:$G$18,(A9+2),FALSE)</f>
        <v>184467</v>
      </c>
      <c r="C9" s="73">
        <f t="shared" si="3"/>
        <v>0.0350048266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09">
        <f>VLOOKUP($A$1,'Prefecture Summary 2015-2023'!$A$1:$G$18,(A10+2),FALSE)</f>
        <v>100545</v>
      </c>
      <c r="C10" s="73">
        <f t="shared" si="3"/>
        <v>0.01907962015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210">
        <f t="shared" ref="B11:D11" si="5">SUM(B6:B10)</f>
        <v>5269759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211" t="s">
        <v>525</v>
      </c>
      <c r="B12" s="164" t="str">
        <f t="shared" ref="B12:B13" si="6">IFERROR("$" &amp; SUBSTITUTE(ADDRESS(1, MATCH(A12, INDIRECT("'" &amp; $B$17 &amp; "'!1:1"), 0), 4), "1", ""), "Not Found")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211" t="s">
        <v>469</v>
      </c>
      <c r="B13" s="83" t="str">
        <f t="shared" si="6"/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7"/>
        <v>0</v>
      </c>
      <c r="E20" s="103">
        <f t="shared" si="7"/>
        <v>0</v>
      </c>
      <c r="F20" s="103">
        <f t="shared" si="7"/>
        <v>0</v>
      </c>
      <c r="G20" s="103">
        <f t="shared" si="7"/>
        <v>0</v>
      </c>
      <c r="H20" s="103">
        <f t="shared" ref="H20:H26" si="9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10">($B$6^2*I20)^0.5</f>
        <v>0</v>
      </c>
      <c r="T20" s="106">
        <f t="shared" ref="T20:T26" si="11">($B$7^2*J20)^0.5</f>
        <v>0</v>
      </c>
      <c r="U20" s="106">
        <f t="shared" ref="U20:U26" si="12">($B$8^2*K20)^0.5</f>
        <v>0</v>
      </c>
      <c r="V20" s="106">
        <f t="shared" ref="V20:V26" si="13">($B$9^2*L20)^0.5</f>
        <v>0</v>
      </c>
      <c r="W20" s="106">
        <f t="shared" ref="W20:W26" si="14">($B$10^2*M20)^0.5</f>
        <v>0</v>
      </c>
      <c r="X20" s="106">
        <f t="shared" ref="X20:X26" si="15">N20*$B$6</f>
        <v>0</v>
      </c>
      <c r="Y20" s="106">
        <f t="shared" ref="Y20:Y26" si="16">O20*$B$7</f>
        <v>0</v>
      </c>
      <c r="Z20" s="106">
        <f t="shared" ref="Z20:Z26" si="17">P20*$B$8</f>
        <v>0</v>
      </c>
      <c r="AA20" s="106">
        <f t="shared" ref="AA20:AA26" si="18">Q20*$B$9</f>
        <v>0</v>
      </c>
      <c r="AB20" s="106">
        <f t="shared" ref="AB20:AB26" si="19">R20*$B$10</f>
        <v>0</v>
      </c>
      <c r="AC20" s="107">
        <f t="shared" ref="AC20:AC26" si="20">N20*$C$6</f>
        <v>0</v>
      </c>
      <c r="AD20" s="107">
        <f t="shared" ref="AD20:AD26" si="21">O20*$C$7</f>
        <v>0</v>
      </c>
      <c r="AE20" s="107">
        <f t="shared" ref="AE20:AE26" si="22">P20*$C$8</f>
        <v>0</v>
      </c>
      <c r="AF20" s="107">
        <f t="shared" ref="AF20:AF26" si="23">Q20*$C$9</f>
        <v>0</v>
      </c>
      <c r="AG20" s="107">
        <f t="shared" ref="AG20:AG26" si="24">R20*$C$10</f>
        <v>0</v>
      </c>
      <c r="AH20" s="106">
        <f t="shared" ref="AH20:AH26" si="25">(S20*S20+T20*T20+U20*U20+V20*V20+W20*W20)^0.5</f>
        <v>0</v>
      </c>
      <c r="AI20" s="106">
        <f t="shared" ref="AI20:AI26" si="26">AH20*$B$15</f>
        <v>0</v>
      </c>
      <c r="AJ20" s="108">
        <f t="shared" ref="AJ20:AJ26" si="27">SUM(X20:AB20)</f>
        <v>0</v>
      </c>
      <c r="AK20" s="109">
        <f t="shared" ref="AK20:AK26" si="28">IF(AI20=0,0,AI20/AJ20)</f>
        <v>0</v>
      </c>
      <c r="AL20" s="110">
        <f t="shared" ref="AL20:AL26" si="29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8"/>
        <v>0</v>
      </c>
      <c r="E21" s="103">
        <f t="shared" si="8"/>
        <v>0</v>
      </c>
      <c r="F21" s="103">
        <f t="shared" si="8"/>
        <v>0</v>
      </c>
      <c r="G21" s="103">
        <f t="shared" si="8"/>
        <v>0</v>
      </c>
      <c r="H21" s="103">
        <f t="shared" si="9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10"/>
        <v>0</v>
      </c>
      <c r="T21" s="106">
        <f t="shared" si="11"/>
        <v>0</v>
      </c>
      <c r="U21" s="106">
        <f t="shared" si="12"/>
        <v>0</v>
      </c>
      <c r="V21" s="106">
        <f t="shared" si="13"/>
        <v>0</v>
      </c>
      <c r="W21" s="106">
        <f t="shared" si="14"/>
        <v>0</v>
      </c>
      <c r="X21" s="106">
        <f t="shared" si="15"/>
        <v>0</v>
      </c>
      <c r="Y21" s="106">
        <f t="shared" si="16"/>
        <v>0</v>
      </c>
      <c r="Z21" s="106">
        <f t="shared" si="17"/>
        <v>0</v>
      </c>
      <c r="AA21" s="106">
        <f t="shared" si="18"/>
        <v>0</v>
      </c>
      <c r="AB21" s="106">
        <f t="shared" si="19"/>
        <v>0</v>
      </c>
      <c r="AC21" s="107">
        <f t="shared" si="20"/>
        <v>0</v>
      </c>
      <c r="AD21" s="107">
        <f t="shared" si="21"/>
        <v>0</v>
      </c>
      <c r="AE21" s="107">
        <f t="shared" si="22"/>
        <v>0</v>
      </c>
      <c r="AF21" s="107">
        <f t="shared" si="23"/>
        <v>0</v>
      </c>
      <c r="AG21" s="107">
        <f t="shared" si="24"/>
        <v>0</v>
      </c>
      <c r="AH21" s="106">
        <f t="shared" si="25"/>
        <v>0</v>
      </c>
      <c r="AI21" s="106">
        <f t="shared" si="26"/>
        <v>0</v>
      </c>
      <c r="AJ21" s="108">
        <f t="shared" si="27"/>
        <v>0</v>
      </c>
      <c r="AK21" s="109">
        <f t="shared" si="28"/>
        <v>0</v>
      </c>
      <c r="AL21" s="110">
        <f t="shared" si="29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30"/>
        <v>0</v>
      </c>
      <c r="E22" s="103">
        <f t="shared" si="30"/>
        <v>0</v>
      </c>
      <c r="F22" s="103">
        <f t="shared" si="30"/>
        <v>0</v>
      </c>
      <c r="G22" s="103">
        <f t="shared" si="30"/>
        <v>0</v>
      </c>
      <c r="H22" s="103">
        <f t="shared" si="9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10"/>
        <v>0</v>
      </c>
      <c r="T22" s="106">
        <f t="shared" si="11"/>
        <v>0</v>
      </c>
      <c r="U22" s="106">
        <f t="shared" si="12"/>
        <v>0</v>
      </c>
      <c r="V22" s="106">
        <f t="shared" si="13"/>
        <v>0</v>
      </c>
      <c r="W22" s="106">
        <f t="shared" si="14"/>
        <v>0</v>
      </c>
      <c r="X22" s="106">
        <f t="shared" si="15"/>
        <v>0</v>
      </c>
      <c r="Y22" s="106">
        <f t="shared" si="16"/>
        <v>0</v>
      </c>
      <c r="Z22" s="106">
        <f t="shared" si="17"/>
        <v>0</v>
      </c>
      <c r="AA22" s="106">
        <f t="shared" si="18"/>
        <v>0</v>
      </c>
      <c r="AB22" s="106">
        <f t="shared" si="19"/>
        <v>0</v>
      </c>
      <c r="AC22" s="107">
        <f t="shared" si="20"/>
        <v>0</v>
      </c>
      <c r="AD22" s="107">
        <f t="shared" si="21"/>
        <v>0</v>
      </c>
      <c r="AE22" s="107">
        <f t="shared" si="22"/>
        <v>0</v>
      </c>
      <c r="AF22" s="107">
        <f t="shared" si="23"/>
        <v>0</v>
      </c>
      <c r="AG22" s="107">
        <f t="shared" si="24"/>
        <v>0</v>
      </c>
      <c r="AH22" s="106">
        <f t="shared" si="25"/>
        <v>0</v>
      </c>
      <c r="AI22" s="106">
        <f t="shared" si="26"/>
        <v>0</v>
      </c>
      <c r="AJ22" s="108">
        <f t="shared" si="27"/>
        <v>0</v>
      </c>
      <c r="AK22" s="109">
        <f t="shared" si="28"/>
        <v>0</v>
      </c>
      <c r="AL22" s="110">
        <f t="shared" si="29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1"/>
        <v>0</v>
      </c>
      <c r="E23" s="103">
        <f t="shared" si="31"/>
        <v>0</v>
      </c>
      <c r="F23" s="103">
        <f t="shared" si="31"/>
        <v>0</v>
      </c>
      <c r="G23" s="103">
        <f t="shared" si="31"/>
        <v>0</v>
      </c>
      <c r="H23" s="103">
        <f t="shared" si="9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10"/>
        <v>0</v>
      </c>
      <c r="T23" s="106">
        <f t="shared" si="11"/>
        <v>0</v>
      </c>
      <c r="U23" s="106">
        <f t="shared" si="12"/>
        <v>0</v>
      </c>
      <c r="V23" s="106">
        <f t="shared" si="13"/>
        <v>0</v>
      </c>
      <c r="W23" s="106">
        <f t="shared" si="14"/>
        <v>0</v>
      </c>
      <c r="X23" s="106">
        <f t="shared" si="15"/>
        <v>0</v>
      </c>
      <c r="Y23" s="106">
        <f t="shared" si="16"/>
        <v>0</v>
      </c>
      <c r="Z23" s="106">
        <f t="shared" si="17"/>
        <v>0</v>
      </c>
      <c r="AA23" s="106">
        <f t="shared" si="18"/>
        <v>0</v>
      </c>
      <c r="AB23" s="106">
        <f t="shared" si="19"/>
        <v>0</v>
      </c>
      <c r="AC23" s="107">
        <f t="shared" si="20"/>
        <v>0</v>
      </c>
      <c r="AD23" s="107">
        <f t="shared" si="21"/>
        <v>0</v>
      </c>
      <c r="AE23" s="107">
        <f t="shared" si="22"/>
        <v>0</v>
      </c>
      <c r="AF23" s="107">
        <f t="shared" si="23"/>
        <v>0</v>
      </c>
      <c r="AG23" s="107">
        <f t="shared" si="24"/>
        <v>0</v>
      </c>
      <c r="AH23" s="106">
        <f t="shared" si="25"/>
        <v>0</v>
      </c>
      <c r="AI23" s="106">
        <f t="shared" si="26"/>
        <v>0</v>
      </c>
      <c r="AJ23" s="108">
        <f t="shared" si="27"/>
        <v>0</v>
      </c>
      <c r="AK23" s="109">
        <f t="shared" si="28"/>
        <v>0</v>
      </c>
      <c r="AL23" s="110">
        <f t="shared" si="29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2"/>
        <v>0</v>
      </c>
      <c r="E24" s="103">
        <f t="shared" si="32"/>
        <v>0</v>
      </c>
      <c r="F24" s="103">
        <f t="shared" si="32"/>
        <v>0</v>
      </c>
      <c r="G24" s="103">
        <f t="shared" si="32"/>
        <v>0</v>
      </c>
      <c r="H24" s="103">
        <f t="shared" si="9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10"/>
        <v>0</v>
      </c>
      <c r="T24" s="106">
        <f t="shared" si="11"/>
        <v>0</v>
      </c>
      <c r="U24" s="106">
        <f t="shared" si="12"/>
        <v>0</v>
      </c>
      <c r="V24" s="106">
        <f t="shared" si="13"/>
        <v>0</v>
      </c>
      <c r="W24" s="106">
        <f t="shared" si="14"/>
        <v>0</v>
      </c>
      <c r="X24" s="106">
        <f t="shared" si="15"/>
        <v>0</v>
      </c>
      <c r="Y24" s="106">
        <f t="shared" si="16"/>
        <v>0</v>
      </c>
      <c r="Z24" s="106">
        <f t="shared" si="17"/>
        <v>0</v>
      </c>
      <c r="AA24" s="106">
        <f t="shared" si="18"/>
        <v>0</v>
      </c>
      <c r="AB24" s="106">
        <f t="shared" si="19"/>
        <v>0</v>
      </c>
      <c r="AC24" s="107">
        <f t="shared" si="20"/>
        <v>0</v>
      </c>
      <c r="AD24" s="107">
        <f t="shared" si="21"/>
        <v>0</v>
      </c>
      <c r="AE24" s="107">
        <f t="shared" si="22"/>
        <v>0</v>
      </c>
      <c r="AF24" s="107">
        <f t="shared" si="23"/>
        <v>0</v>
      </c>
      <c r="AG24" s="107">
        <f t="shared" si="24"/>
        <v>0</v>
      </c>
      <c r="AH24" s="106">
        <f t="shared" si="25"/>
        <v>0</v>
      </c>
      <c r="AI24" s="106">
        <f t="shared" si="26"/>
        <v>0</v>
      </c>
      <c r="AJ24" s="108">
        <f t="shared" si="27"/>
        <v>0</v>
      </c>
      <c r="AK24" s="109">
        <f t="shared" si="28"/>
        <v>0</v>
      </c>
      <c r="AL24" s="110">
        <f t="shared" si="29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3"/>
        <v>0</v>
      </c>
      <c r="E25" s="103">
        <f t="shared" si="33"/>
        <v>0</v>
      </c>
      <c r="F25" s="103">
        <f t="shared" si="33"/>
        <v>0</v>
      </c>
      <c r="G25" s="103">
        <f t="shared" si="33"/>
        <v>0</v>
      </c>
      <c r="H25" s="103">
        <f t="shared" si="9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10"/>
        <v>0</v>
      </c>
      <c r="T25" s="106">
        <f t="shared" si="11"/>
        <v>0</v>
      </c>
      <c r="U25" s="106">
        <f t="shared" si="12"/>
        <v>0</v>
      </c>
      <c r="V25" s="106">
        <f t="shared" si="13"/>
        <v>0</v>
      </c>
      <c r="W25" s="106">
        <f t="shared" si="14"/>
        <v>0</v>
      </c>
      <c r="X25" s="106">
        <f t="shared" si="15"/>
        <v>0</v>
      </c>
      <c r="Y25" s="106">
        <f t="shared" si="16"/>
        <v>0</v>
      </c>
      <c r="Z25" s="106">
        <f t="shared" si="17"/>
        <v>0</v>
      </c>
      <c r="AA25" s="106">
        <f t="shared" si="18"/>
        <v>0</v>
      </c>
      <c r="AB25" s="106">
        <f t="shared" si="19"/>
        <v>0</v>
      </c>
      <c r="AC25" s="107">
        <f t="shared" si="20"/>
        <v>0</v>
      </c>
      <c r="AD25" s="107">
        <f t="shared" si="21"/>
        <v>0</v>
      </c>
      <c r="AE25" s="107">
        <f t="shared" si="22"/>
        <v>0</v>
      </c>
      <c r="AF25" s="107">
        <f t="shared" si="23"/>
        <v>0</v>
      </c>
      <c r="AG25" s="107">
        <f t="shared" si="24"/>
        <v>0</v>
      </c>
      <c r="AH25" s="106">
        <f t="shared" si="25"/>
        <v>0</v>
      </c>
      <c r="AI25" s="106">
        <f t="shared" si="26"/>
        <v>0</v>
      </c>
      <c r="AJ25" s="108">
        <f t="shared" si="27"/>
        <v>0</v>
      </c>
      <c r="AK25" s="109">
        <f t="shared" si="28"/>
        <v>0</v>
      </c>
      <c r="AL25" s="110">
        <f t="shared" si="29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4"/>
        <v>0</v>
      </c>
      <c r="E26" s="103">
        <f t="shared" si="34"/>
        <v>0</v>
      </c>
      <c r="F26" s="103">
        <f t="shared" si="34"/>
        <v>0</v>
      </c>
      <c r="G26" s="103">
        <f t="shared" si="34"/>
        <v>0</v>
      </c>
      <c r="H26" s="103">
        <f t="shared" si="9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10"/>
        <v>0</v>
      </c>
      <c r="T26" s="106">
        <f t="shared" si="11"/>
        <v>0</v>
      </c>
      <c r="U26" s="106">
        <f t="shared" si="12"/>
        <v>0</v>
      </c>
      <c r="V26" s="106">
        <f t="shared" si="13"/>
        <v>0</v>
      </c>
      <c r="W26" s="106">
        <f t="shared" si="14"/>
        <v>0</v>
      </c>
      <c r="X26" s="106">
        <f t="shared" si="15"/>
        <v>0</v>
      </c>
      <c r="Y26" s="106">
        <f t="shared" si="16"/>
        <v>0</v>
      </c>
      <c r="Z26" s="106">
        <f t="shared" si="17"/>
        <v>0</v>
      </c>
      <c r="AA26" s="106">
        <f t="shared" si="18"/>
        <v>0</v>
      </c>
      <c r="AB26" s="106">
        <f t="shared" si="19"/>
        <v>0</v>
      </c>
      <c r="AC26" s="107">
        <f t="shared" si="20"/>
        <v>0</v>
      </c>
      <c r="AD26" s="107">
        <f t="shared" si="21"/>
        <v>0</v>
      </c>
      <c r="AE26" s="107">
        <f t="shared" si="22"/>
        <v>0</v>
      </c>
      <c r="AF26" s="107">
        <f t="shared" si="23"/>
        <v>0</v>
      </c>
      <c r="AG26" s="107">
        <f t="shared" si="24"/>
        <v>0</v>
      </c>
      <c r="AH26" s="106">
        <f t="shared" si="25"/>
        <v>0</v>
      </c>
      <c r="AI26" s="106">
        <f t="shared" si="26"/>
        <v>0</v>
      </c>
      <c r="AJ26" s="108">
        <f t="shared" si="27"/>
        <v>0</v>
      </c>
      <c r="AK26" s="109">
        <f t="shared" si="28"/>
        <v>0</v>
      </c>
      <c r="AL26" s="110">
        <f t="shared" si="29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5"/>
        <v>0</v>
      </c>
      <c r="E28" s="116">
        <f t="shared" si="35"/>
        <v>0</v>
      </c>
      <c r="F28" s="116">
        <f t="shared" si="35"/>
        <v>0</v>
      </c>
      <c r="G28" s="116">
        <f t="shared" si="35"/>
        <v>0</v>
      </c>
      <c r="H28" s="116">
        <f t="shared" ref="H28:H34" si="37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8">($B$6^2*I28)^0.5</f>
        <v>0</v>
      </c>
      <c r="T28" s="119">
        <f t="shared" ref="T28:T34" si="39">($B$7^2*J28)^0.5</f>
        <v>0</v>
      </c>
      <c r="U28" s="119">
        <f t="shared" ref="U28:U34" si="40">($B$8^2*K28)^0.5</f>
        <v>0</v>
      </c>
      <c r="V28" s="119">
        <f t="shared" ref="V28:V34" si="41">($B$9^2*L28)^0.5</f>
        <v>0</v>
      </c>
      <c r="W28" s="119">
        <f t="shared" ref="W28:W34" si="42">($B$10^2*M28)^0.5</f>
        <v>0</v>
      </c>
      <c r="X28" s="119">
        <f t="shared" ref="X28:X34" si="43">N28*$B$6</f>
        <v>0</v>
      </c>
      <c r="Y28" s="119">
        <f t="shared" ref="Y28:Y34" si="44">O28*$B$7</f>
        <v>0</v>
      </c>
      <c r="Z28" s="119">
        <f t="shared" ref="Z28:Z34" si="45">P28*$B$8</f>
        <v>0</v>
      </c>
      <c r="AA28" s="119">
        <f t="shared" ref="AA28:AA34" si="46">Q28*$B$9</f>
        <v>0</v>
      </c>
      <c r="AB28" s="119">
        <f t="shared" ref="AB28:AB34" si="47">R28*$B$10</f>
        <v>0</v>
      </c>
      <c r="AC28" s="117">
        <f t="shared" ref="AC28:AC34" si="48">N28*$C$6</f>
        <v>0</v>
      </c>
      <c r="AD28" s="117">
        <f t="shared" ref="AD28:AD34" si="49">O28*$C$7</f>
        <v>0</v>
      </c>
      <c r="AE28" s="117">
        <f t="shared" ref="AE28:AE34" si="50">P28*$C$8</f>
        <v>0</v>
      </c>
      <c r="AF28" s="117">
        <f t="shared" ref="AF28:AF34" si="51">Q28*$C$9</f>
        <v>0</v>
      </c>
      <c r="AG28" s="117">
        <f t="shared" ref="AG28:AG34" si="52">R28*$C$10</f>
        <v>0</v>
      </c>
      <c r="AH28" s="119">
        <f t="shared" ref="AH28:AH34" si="53">(S28*S28+T28*T28+U28*U28+V28*V28+W28*W28)^0.5</f>
        <v>0</v>
      </c>
      <c r="AI28" s="119">
        <f t="shared" ref="AI28:AI34" si="54">AH28*$B$15</f>
        <v>0</v>
      </c>
      <c r="AJ28" s="120">
        <f t="shared" ref="AJ28:AJ34" si="55">SUM(X28:AB28)</f>
        <v>0</v>
      </c>
      <c r="AK28" s="121">
        <f t="shared" ref="AK28:AK34" si="56">IF(AI28=0,0,AI28/AJ28)</f>
        <v>0</v>
      </c>
      <c r="AL28" s="122">
        <f t="shared" ref="AL28:AL34" si="57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6"/>
        <v>0</v>
      </c>
      <c r="E29" s="116">
        <f t="shared" si="36"/>
        <v>0</v>
      </c>
      <c r="F29" s="116">
        <f t="shared" si="36"/>
        <v>0</v>
      </c>
      <c r="G29" s="116">
        <f t="shared" si="36"/>
        <v>0</v>
      </c>
      <c r="H29" s="116">
        <f t="shared" si="37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8"/>
        <v>0</v>
      </c>
      <c r="T29" s="119">
        <f t="shared" si="39"/>
        <v>0</v>
      </c>
      <c r="U29" s="119">
        <f t="shared" si="40"/>
        <v>0</v>
      </c>
      <c r="V29" s="119">
        <f t="shared" si="41"/>
        <v>0</v>
      </c>
      <c r="W29" s="119">
        <f t="shared" si="42"/>
        <v>0</v>
      </c>
      <c r="X29" s="119">
        <f t="shared" si="43"/>
        <v>0</v>
      </c>
      <c r="Y29" s="119">
        <f t="shared" si="44"/>
        <v>0</v>
      </c>
      <c r="Z29" s="119">
        <f t="shared" si="45"/>
        <v>0</v>
      </c>
      <c r="AA29" s="119">
        <f t="shared" si="46"/>
        <v>0</v>
      </c>
      <c r="AB29" s="119">
        <f t="shared" si="47"/>
        <v>0</v>
      </c>
      <c r="AC29" s="117">
        <f t="shared" si="48"/>
        <v>0</v>
      </c>
      <c r="AD29" s="117">
        <f t="shared" si="49"/>
        <v>0</v>
      </c>
      <c r="AE29" s="117">
        <f t="shared" si="50"/>
        <v>0</v>
      </c>
      <c r="AF29" s="117">
        <f t="shared" si="51"/>
        <v>0</v>
      </c>
      <c r="AG29" s="117">
        <f t="shared" si="52"/>
        <v>0</v>
      </c>
      <c r="AH29" s="119">
        <f t="shared" si="53"/>
        <v>0</v>
      </c>
      <c r="AI29" s="119">
        <f t="shared" si="54"/>
        <v>0</v>
      </c>
      <c r="AJ29" s="120">
        <f t="shared" si="55"/>
        <v>0</v>
      </c>
      <c r="AK29" s="121">
        <f t="shared" si="56"/>
        <v>0</v>
      </c>
      <c r="AL29" s="122">
        <f t="shared" si="57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8"/>
        <v>0</v>
      </c>
      <c r="E30" s="116">
        <f t="shared" si="58"/>
        <v>0</v>
      </c>
      <c r="F30" s="116">
        <f t="shared" si="58"/>
        <v>0</v>
      </c>
      <c r="G30" s="116">
        <f t="shared" si="58"/>
        <v>0</v>
      </c>
      <c r="H30" s="116">
        <f t="shared" si="37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8"/>
        <v>0</v>
      </c>
      <c r="T30" s="119">
        <f t="shared" si="39"/>
        <v>0</v>
      </c>
      <c r="U30" s="119">
        <f t="shared" si="40"/>
        <v>0</v>
      </c>
      <c r="V30" s="119">
        <f t="shared" si="41"/>
        <v>0</v>
      </c>
      <c r="W30" s="119">
        <f t="shared" si="42"/>
        <v>0</v>
      </c>
      <c r="X30" s="119">
        <f t="shared" si="43"/>
        <v>0</v>
      </c>
      <c r="Y30" s="119">
        <f t="shared" si="44"/>
        <v>0</v>
      </c>
      <c r="Z30" s="119">
        <f t="shared" si="45"/>
        <v>0</v>
      </c>
      <c r="AA30" s="119">
        <f t="shared" si="46"/>
        <v>0</v>
      </c>
      <c r="AB30" s="119">
        <f t="shared" si="47"/>
        <v>0</v>
      </c>
      <c r="AC30" s="117">
        <f t="shared" si="48"/>
        <v>0</v>
      </c>
      <c r="AD30" s="117">
        <f t="shared" si="49"/>
        <v>0</v>
      </c>
      <c r="AE30" s="117">
        <f t="shared" si="50"/>
        <v>0</v>
      </c>
      <c r="AF30" s="117">
        <f t="shared" si="51"/>
        <v>0</v>
      </c>
      <c r="AG30" s="117">
        <f t="shared" si="52"/>
        <v>0</v>
      </c>
      <c r="AH30" s="119">
        <f t="shared" si="53"/>
        <v>0</v>
      </c>
      <c r="AI30" s="119">
        <f t="shared" si="54"/>
        <v>0</v>
      </c>
      <c r="AJ30" s="120">
        <f t="shared" si="55"/>
        <v>0</v>
      </c>
      <c r="AK30" s="121">
        <f t="shared" si="56"/>
        <v>0</v>
      </c>
      <c r="AL30" s="122">
        <f t="shared" si="57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9"/>
        <v>0</v>
      </c>
      <c r="E31" s="116">
        <f t="shared" si="59"/>
        <v>0</v>
      </c>
      <c r="F31" s="116">
        <f t="shared" si="59"/>
        <v>0</v>
      </c>
      <c r="G31" s="116">
        <f t="shared" si="59"/>
        <v>0</v>
      </c>
      <c r="H31" s="116">
        <f t="shared" si="37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8"/>
        <v>0</v>
      </c>
      <c r="T31" s="119">
        <f t="shared" si="39"/>
        <v>0</v>
      </c>
      <c r="U31" s="119">
        <f t="shared" si="40"/>
        <v>0</v>
      </c>
      <c r="V31" s="119">
        <f t="shared" si="41"/>
        <v>0</v>
      </c>
      <c r="W31" s="119">
        <f t="shared" si="42"/>
        <v>0</v>
      </c>
      <c r="X31" s="119">
        <f t="shared" si="43"/>
        <v>0</v>
      </c>
      <c r="Y31" s="119">
        <f t="shared" si="44"/>
        <v>0</v>
      </c>
      <c r="Z31" s="119">
        <f t="shared" si="45"/>
        <v>0</v>
      </c>
      <c r="AA31" s="119">
        <f t="shared" si="46"/>
        <v>0</v>
      </c>
      <c r="AB31" s="119">
        <f t="shared" si="47"/>
        <v>0</v>
      </c>
      <c r="AC31" s="117">
        <f t="shared" si="48"/>
        <v>0</v>
      </c>
      <c r="AD31" s="117">
        <f t="shared" si="49"/>
        <v>0</v>
      </c>
      <c r="AE31" s="117">
        <f t="shared" si="50"/>
        <v>0</v>
      </c>
      <c r="AF31" s="117">
        <f t="shared" si="51"/>
        <v>0</v>
      </c>
      <c r="AG31" s="117">
        <f t="shared" si="52"/>
        <v>0</v>
      </c>
      <c r="AH31" s="119">
        <f t="shared" si="53"/>
        <v>0</v>
      </c>
      <c r="AI31" s="119">
        <f t="shared" si="54"/>
        <v>0</v>
      </c>
      <c r="AJ31" s="120">
        <f t="shared" si="55"/>
        <v>0</v>
      </c>
      <c r="AK31" s="121">
        <f t="shared" si="56"/>
        <v>0</v>
      </c>
      <c r="AL31" s="122">
        <f t="shared" si="57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60"/>
        <v>0</v>
      </c>
      <c r="E32" s="116">
        <f t="shared" si="60"/>
        <v>0</v>
      </c>
      <c r="F32" s="116">
        <f t="shared" si="60"/>
        <v>0</v>
      </c>
      <c r="G32" s="116">
        <f t="shared" si="60"/>
        <v>0</v>
      </c>
      <c r="H32" s="116">
        <f t="shared" si="37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8"/>
        <v>0</v>
      </c>
      <c r="T32" s="119">
        <f t="shared" si="39"/>
        <v>0</v>
      </c>
      <c r="U32" s="119">
        <f t="shared" si="40"/>
        <v>0</v>
      </c>
      <c r="V32" s="119">
        <f t="shared" si="41"/>
        <v>0</v>
      </c>
      <c r="W32" s="119">
        <f t="shared" si="42"/>
        <v>0</v>
      </c>
      <c r="X32" s="119">
        <f t="shared" si="43"/>
        <v>0</v>
      </c>
      <c r="Y32" s="119">
        <f t="shared" si="44"/>
        <v>0</v>
      </c>
      <c r="Z32" s="119">
        <f t="shared" si="45"/>
        <v>0</v>
      </c>
      <c r="AA32" s="119">
        <f t="shared" si="46"/>
        <v>0</v>
      </c>
      <c r="AB32" s="119">
        <f t="shared" si="47"/>
        <v>0</v>
      </c>
      <c r="AC32" s="117">
        <f t="shared" si="48"/>
        <v>0</v>
      </c>
      <c r="AD32" s="117">
        <f t="shared" si="49"/>
        <v>0</v>
      </c>
      <c r="AE32" s="117">
        <f t="shared" si="50"/>
        <v>0</v>
      </c>
      <c r="AF32" s="117">
        <f t="shared" si="51"/>
        <v>0</v>
      </c>
      <c r="AG32" s="117">
        <f t="shared" si="52"/>
        <v>0</v>
      </c>
      <c r="AH32" s="119">
        <f t="shared" si="53"/>
        <v>0</v>
      </c>
      <c r="AI32" s="119">
        <f t="shared" si="54"/>
        <v>0</v>
      </c>
      <c r="AJ32" s="120">
        <f t="shared" si="55"/>
        <v>0</v>
      </c>
      <c r="AK32" s="121">
        <f t="shared" si="56"/>
        <v>0</v>
      </c>
      <c r="AL32" s="122">
        <f t="shared" si="57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1"/>
        <v>0</v>
      </c>
      <c r="E33" s="116">
        <f t="shared" si="61"/>
        <v>0</v>
      </c>
      <c r="F33" s="116">
        <f t="shared" si="61"/>
        <v>0</v>
      </c>
      <c r="G33" s="116">
        <f t="shared" si="61"/>
        <v>0</v>
      </c>
      <c r="H33" s="116">
        <f t="shared" si="37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8"/>
        <v>0</v>
      </c>
      <c r="T33" s="119">
        <f t="shared" si="39"/>
        <v>0</v>
      </c>
      <c r="U33" s="119">
        <f t="shared" si="40"/>
        <v>0</v>
      </c>
      <c r="V33" s="119">
        <f t="shared" si="41"/>
        <v>0</v>
      </c>
      <c r="W33" s="119">
        <f t="shared" si="42"/>
        <v>0</v>
      </c>
      <c r="X33" s="119">
        <f t="shared" si="43"/>
        <v>0</v>
      </c>
      <c r="Y33" s="119">
        <f t="shared" si="44"/>
        <v>0</v>
      </c>
      <c r="Z33" s="119">
        <f t="shared" si="45"/>
        <v>0</v>
      </c>
      <c r="AA33" s="119">
        <f t="shared" si="46"/>
        <v>0</v>
      </c>
      <c r="AB33" s="119">
        <f t="shared" si="47"/>
        <v>0</v>
      </c>
      <c r="AC33" s="117">
        <f t="shared" si="48"/>
        <v>0</v>
      </c>
      <c r="AD33" s="117">
        <f t="shared" si="49"/>
        <v>0</v>
      </c>
      <c r="AE33" s="117">
        <f t="shared" si="50"/>
        <v>0</v>
      </c>
      <c r="AF33" s="117">
        <f t="shared" si="51"/>
        <v>0</v>
      </c>
      <c r="AG33" s="117">
        <f t="shared" si="52"/>
        <v>0</v>
      </c>
      <c r="AH33" s="119">
        <f t="shared" si="53"/>
        <v>0</v>
      </c>
      <c r="AI33" s="119">
        <f t="shared" si="54"/>
        <v>0</v>
      </c>
      <c r="AJ33" s="120">
        <f t="shared" si="55"/>
        <v>0</v>
      </c>
      <c r="AK33" s="121">
        <f t="shared" si="56"/>
        <v>0</v>
      </c>
      <c r="AL33" s="122">
        <f t="shared" si="57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2"/>
        <v>0</v>
      </c>
      <c r="E34" s="116">
        <f t="shared" si="62"/>
        <v>0</v>
      </c>
      <c r="F34" s="116">
        <f t="shared" si="62"/>
        <v>0</v>
      </c>
      <c r="G34" s="116">
        <f t="shared" si="62"/>
        <v>0</v>
      </c>
      <c r="H34" s="116">
        <f t="shared" si="37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8"/>
        <v>0</v>
      </c>
      <c r="T34" s="119">
        <f t="shared" si="39"/>
        <v>0</v>
      </c>
      <c r="U34" s="119">
        <f t="shared" si="40"/>
        <v>0</v>
      </c>
      <c r="V34" s="119">
        <f t="shared" si="41"/>
        <v>0</v>
      </c>
      <c r="W34" s="119">
        <f t="shared" si="42"/>
        <v>0</v>
      </c>
      <c r="X34" s="119">
        <f t="shared" si="43"/>
        <v>0</v>
      </c>
      <c r="Y34" s="119">
        <f t="shared" si="44"/>
        <v>0</v>
      </c>
      <c r="Z34" s="119">
        <f t="shared" si="45"/>
        <v>0</v>
      </c>
      <c r="AA34" s="119">
        <f t="shared" si="46"/>
        <v>0</v>
      </c>
      <c r="AB34" s="119">
        <f t="shared" si="47"/>
        <v>0</v>
      </c>
      <c r="AC34" s="117">
        <f t="shared" si="48"/>
        <v>0</v>
      </c>
      <c r="AD34" s="117">
        <f t="shared" si="49"/>
        <v>0</v>
      </c>
      <c r="AE34" s="117">
        <f t="shared" si="50"/>
        <v>0</v>
      </c>
      <c r="AF34" s="117">
        <f t="shared" si="51"/>
        <v>0</v>
      </c>
      <c r="AG34" s="117">
        <f t="shared" si="52"/>
        <v>0</v>
      </c>
      <c r="AH34" s="119">
        <f t="shared" si="53"/>
        <v>0</v>
      </c>
      <c r="AI34" s="119">
        <f t="shared" si="54"/>
        <v>0</v>
      </c>
      <c r="AJ34" s="120">
        <f t="shared" si="55"/>
        <v>0</v>
      </c>
      <c r="AK34" s="121">
        <f t="shared" si="56"/>
        <v>0</v>
      </c>
      <c r="AL34" s="122">
        <f t="shared" si="57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3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3"/>
        <v>0</v>
      </c>
      <c r="E37" s="125">
        <f t="shared" si="63"/>
        <v>0</v>
      </c>
      <c r="F37" s="125">
        <f t="shared" si="63"/>
        <v>0</v>
      </c>
      <c r="G37" s="125">
        <f t="shared" si="63"/>
        <v>0</v>
      </c>
      <c r="H37" s="125">
        <f t="shared" ref="H37:H38" si="65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6">($B$6^2*I37)^0.5</f>
        <v>0</v>
      </c>
      <c r="T37" s="128">
        <f t="shared" ref="T37:T38" si="67">($B$7^2*J37)^0.5</f>
        <v>0</v>
      </c>
      <c r="U37" s="128">
        <f t="shared" ref="U37:U38" si="68">($B$8^2*K37)^0.5</f>
        <v>0</v>
      </c>
      <c r="V37" s="128">
        <f t="shared" ref="V37:V38" si="69">($B$9^2*L37)^0.5</f>
        <v>0</v>
      </c>
      <c r="W37" s="128">
        <f t="shared" ref="W37:W38" si="70">($B$10^2*M37)^0.5</f>
        <v>0</v>
      </c>
      <c r="X37" s="128">
        <f t="shared" ref="X37:X38" si="71">N37*$B$6</f>
        <v>0</v>
      </c>
      <c r="Y37" s="128">
        <f t="shared" ref="Y37:Y38" si="72">O37*$B$7</f>
        <v>0</v>
      </c>
      <c r="Z37" s="128">
        <f t="shared" ref="Z37:Z38" si="73">P37*$B$8</f>
        <v>0</v>
      </c>
      <c r="AA37" s="128">
        <f t="shared" ref="AA37:AA38" si="74">Q37*$B$9</f>
        <v>0</v>
      </c>
      <c r="AB37" s="128">
        <f t="shared" ref="AB37:AB38" si="75">R37*$B$10</f>
        <v>0</v>
      </c>
      <c r="AC37" s="126">
        <f t="shared" ref="AC37:AC38" si="76">N37*$C$6</f>
        <v>0</v>
      </c>
      <c r="AD37" s="126">
        <f t="shared" ref="AD37:AD38" si="77">O37*$C$7</f>
        <v>0</v>
      </c>
      <c r="AE37" s="126">
        <f t="shared" ref="AE37:AE38" si="78">P37*$C$8</f>
        <v>0</v>
      </c>
      <c r="AF37" s="126">
        <f t="shared" ref="AF37:AF38" si="79">Q37*$C$9</f>
        <v>0</v>
      </c>
      <c r="AG37" s="126">
        <f t="shared" ref="AG37:AG38" si="80">R37*$C$10</f>
        <v>0</v>
      </c>
      <c r="AH37" s="128">
        <f t="shared" ref="AH37:AH38" si="81">(S37*S37+T37*T37+U37*U37+V37*V37+W37*W37)^0.5</f>
        <v>0</v>
      </c>
      <c r="AI37" s="128">
        <f t="shared" ref="AI37:AI38" si="82">AH37*$B$15</f>
        <v>0</v>
      </c>
      <c r="AJ37" s="129">
        <f t="shared" ref="AJ37:AJ38" si="83">SUM(X37:AB37)</f>
        <v>0</v>
      </c>
      <c r="AK37" s="130">
        <f t="shared" ref="AK37:AK38" si="84">IF(AI37=0,0,AI37/AJ37)</f>
        <v>0</v>
      </c>
      <c r="AL37" s="131">
        <f t="shared" ref="AL37:AL38" si="85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4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4"/>
        <v>0</v>
      </c>
      <c r="E38" s="133">
        <f t="shared" si="64"/>
        <v>0</v>
      </c>
      <c r="F38" s="133">
        <f t="shared" si="64"/>
        <v>0</v>
      </c>
      <c r="G38" s="133">
        <f t="shared" si="64"/>
        <v>0</v>
      </c>
      <c r="H38" s="133">
        <f t="shared" si="65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6"/>
        <v>0</v>
      </c>
      <c r="T38" s="136">
        <f t="shared" si="67"/>
        <v>0</v>
      </c>
      <c r="U38" s="136">
        <f t="shared" si="68"/>
        <v>0</v>
      </c>
      <c r="V38" s="136">
        <f t="shared" si="69"/>
        <v>0</v>
      </c>
      <c r="W38" s="136">
        <f t="shared" si="70"/>
        <v>0</v>
      </c>
      <c r="X38" s="136">
        <f t="shared" si="71"/>
        <v>0</v>
      </c>
      <c r="Y38" s="136">
        <f t="shared" si="72"/>
        <v>0</v>
      </c>
      <c r="Z38" s="136">
        <f t="shared" si="73"/>
        <v>0</v>
      </c>
      <c r="AA38" s="136">
        <f t="shared" si="74"/>
        <v>0</v>
      </c>
      <c r="AB38" s="136">
        <f t="shared" si="75"/>
        <v>0</v>
      </c>
      <c r="AC38" s="134">
        <f t="shared" si="76"/>
        <v>0</v>
      </c>
      <c r="AD38" s="134">
        <f t="shared" si="77"/>
        <v>0</v>
      </c>
      <c r="AE38" s="134">
        <f t="shared" si="78"/>
        <v>0</v>
      </c>
      <c r="AF38" s="134">
        <f t="shared" si="79"/>
        <v>0</v>
      </c>
      <c r="AG38" s="134">
        <f t="shared" si="80"/>
        <v>0</v>
      </c>
      <c r="AH38" s="136">
        <f t="shared" si="81"/>
        <v>0</v>
      </c>
      <c r="AI38" s="136">
        <f t="shared" si="82"/>
        <v>0</v>
      </c>
      <c r="AJ38" s="137">
        <f t="shared" si="83"/>
        <v>0</v>
      </c>
      <c r="AK38" s="138">
        <f t="shared" si="84"/>
        <v>0</v>
      </c>
      <c r="AL38" s="139">
        <f t="shared" si="85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6"/>
        <v>0</v>
      </c>
      <c r="E40" s="142">
        <f t="shared" si="86"/>
        <v>0</v>
      </c>
      <c r="F40" s="142">
        <f t="shared" si="86"/>
        <v>0</v>
      </c>
      <c r="G40" s="142">
        <f t="shared" si="86"/>
        <v>0</v>
      </c>
      <c r="H40" s="142">
        <f t="shared" ref="H40:H41" si="88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9">($B$6^2*I40)^0.5</f>
        <v>0</v>
      </c>
      <c r="T40" s="142">
        <f t="shared" ref="T40:T41" si="90">($B$7^2*J40)^0.5</f>
        <v>0</v>
      </c>
      <c r="U40" s="142">
        <f t="shared" ref="U40:U41" si="91">($B$8^2*K40)^0.5</f>
        <v>0</v>
      </c>
      <c r="V40" s="142">
        <f t="shared" ref="V40:V41" si="92">($B$9^2*L40)^0.5</f>
        <v>0</v>
      </c>
      <c r="W40" s="142">
        <f t="shared" ref="W40:W41" si="93">($B$10^2*M40)^0.5</f>
        <v>0</v>
      </c>
      <c r="X40" s="142">
        <f t="shared" ref="X40:X41" si="94">N40*$B$6</f>
        <v>0</v>
      </c>
      <c r="Y40" s="142">
        <f t="shared" ref="Y40:Y41" si="95">O40*$B$7</f>
        <v>0</v>
      </c>
      <c r="Z40" s="142">
        <f t="shared" ref="Z40:Z41" si="96">P40*$B$8</f>
        <v>0</v>
      </c>
      <c r="AA40" s="142">
        <f t="shared" ref="AA40:AA41" si="97">Q40*$B$9</f>
        <v>0</v>
      </c>
      <c r="AB40" s="142">
        <f t="shared" ref="AB40:AB41" si="98">R40*$B$10</f>
        <v>0</v>
      </c>
      <c r="AC40" s="143">
        <f t="shared" ref="AC40:AC41" si="99">N40*$C$6</f>
        <v>0</v>
      </c>
      <c r="AD40" s="143">
        <f t="shared" ref="AD40:AD41" si="100">O40*$C$7</f>
        <v>0</v>
      </c>
      <c r="AE40" s="143">
        <f t="shared" ref="AE40:AE41" si="101">P40*$C$8</f>
        <v>0</v>
      </c>
      <c r="AF40" s="143">
        <f t="shared" ref="AF40:AF41" si="102">Q40*$C$9</f>
        <v>0</v>
      </c>
      <c r="AG40" s="143">
        <f t="shared" ref="AG40:AG41" si="103">R40*$C$10</f>
        <v>0</v>
      </c>
      <c r="AH40" s="142">
        <f t="shared" ref="AH40:AH41" si="104">(S40*S40+T40*T40+U40*U40+V40*V40+W40*W40)^0.5</f>
        <v>0</v>
      </c>
      <c r="AI40" s="142">
        <f t="shared" ref="AI40:AI41" si="105">AH40*$B$15</f>
        <v>0</v>
      </c>
      <c r="AJ40" s="145">
        <f t="shared" ref="AJ40:AJ41" si="106">SUM(X40:AB40)</f>
        <v>0</v>
      </c>
      <c r="AK40" s="146">
        <f t="shared" ref="AK40:AK41" si="107">IF(AI40=0,0,AI40/AJ40)</f>
        <v>0</v>
      </c>
      <c r="AL40" s="147">
        <f t="shared" ref="AL40:AL41" si="108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7"/>
        <v>0</v>
      </c>
      <c r="E41" s="149">
        <f t="shared" si="87"/>
        <v>0</v>
      </c>
      <c r="F41" s="149">
        <f t="shared" si="87"/>
        <v>0</v>
      </c>
      <c r="G41" s="149">
        <f t="shared" si="87"/>
        <v>0</v>
      </c>
      <c r="H41" s="149">
        <f t="shared" si="88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9"/>
        <v>0</v>
      </c>
      <c r="T41" s="149">
        <f t="shared" si="90"/>
        <v>0</v>
      </c>
      <c r="U41" s="149">
        <f t="shared" si="91"/>
        <v>0</v>
      </c>
      <c r="V41" s="149">
        <f t="shared" si="92"/>
        <v>0</v>
      </c>
      <c r="W41" s="149">
        <f t="shared" si="93"/>
        <v>0</v>
      </c>
      <c r="X41" s="149">
        <f t="shared" si="94"/>
        <v>0</v>
      </c>
      <c r="Y41" s="149">
        <f t="shared" si="95"/>
        <v>0</v>
      </c>
      <c r="Z41" s="149">
        <f t="shared" si="96"/>
        <v>0</v>
      </c>
      <c r="AA41" s="149">
        <f t="shared" si="97"/>
        <v>0</v>
      </c>
      <c r="AB41" s="149">
        <f t="shared" si="98"/>
        <v>0</v>
      </c>
      <c r="AC41" s="150">
        <f t="shared" si="99"/>
        <v>0</v>
      </c>
      <c r="AD41" s="150">
        <f t="shared" si="100"/>
        <v>0</v>
      </c>
      <c r="AE41" s="150">
        <f t="shared" si="101"/>
        <v>0</v>
      </c>
      <c r="AF41" s="150">
        <f t="shared" si="102"/>
        <v>0</v>
      </c>
      <c r="AG41" s="150">
        <f t="shared" si="103"/>
        <v>0</v>
      </c>
      <c r="AH41" s="149">
        <f t="shared" si="104"/>
        <v>0</v>
      </c>
      <c r="AI41" s="149">
        <f t="shared" si="105"/>
        <v>0</v>
      </c>
      <c r="AJ41" s="152">
        <f t="shared" si="106"/>
        <v>0</v>
      </c>
      <c r="AK41" s="153">
        <f t="shared" si="107"/>
        <v>0</v>
      </c>
      <c r="AL41" s="154">
        <f t="shared" si="108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  <c r="AI43" s="59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H42">
    <cfRule type="expression" dxfId="2" priority="1">
      <formula>H42&lt;&gt;D11</formula>
    </cfRule>
  </conditionalFormatting>
  <conditionalFormatting sqref="AJ35">
    <cfRule type="expression" dxfId="0" priority="2">
      <formula>H35=H38</formula>
    </cfRule>
  </conditionalFormatting>
  <conditionalFormatting sqref="AJ35">
    <cfRule type="expression" dxfId="2" priority="3">
      <formula>H35&lt;&gt;H38</formula>
    </cfRule>
  </conditionalFormatting>
  <conditionalFormatting sqref="AJ27">
    <cfRule type="expression" dxfId="0" priority="4">
      <formula>H27=H37</formula>
    </cfRule>
  </conditionalFormatting>
  <conditionalFormatting sqref="AJ27">
    <cfRule type="expression" dxfId="2" priority="5">
      <formula>H27&lt;&gt;H37</formula>
    </cfRule>
  </conditionalFormatting>
  <conditionalFormatting sqref="H27">
    <cfRule type="notContainsBlanks" dxfId="0" priority="6">
      <formula>LEN(TRIM(H27))&gt;0</formula>
    </cfRule>
  </conditionalFormatting>
  <conditionalFormatting sqref="AJ35">
    <cfRule type="expression" dxfId="0" priority="7">
      <formula>AJ35=AJ38</formula>
    </cfRule>
  </conditionalFormatting>
  <conditionalFormatting sqref="AJ35">
    <cfRule type="expression" dxfId="2" priority="8">
      <formula>"AJ35&lt;&gt;AJ38"</formula>
    </cfRule>
  </conditionalFormatting>
  <conditionalFormatting sqref="AJ27">
    <cfRule type="expression" dxfId="0" priority="9">
      <formula>"AJ27=AJ37"</formula>
    </cfRule>
  </conditionalFormatting>
  <conditionalFormatting sqref="AJ27">
    <cfRule type="expression" dxfId="2" priority="10">
      <formula>AJ27&lt;&gt;AJ37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1" priority="13">
      <formula>H42&lt;&gt;D11</formula>
    </cfRule>
  </conditionalFormatting>
  <conditionalFormatting sqref="H42">
    <cfRule type="expression" dxfId="0" priority="14">
      <formula>H42=D11</formula>
    </cfRule>
  </conditionalFormatting>
  <dataValidations>
    <dataValidation type="list" allowBlank="1" showErrorMessage="1" sqref="A1">
      <formula1>'Prefecture Summary 2015-2023'!$A$2:$A$18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$A$1))"),1836082.0)</f>
        <v>1836082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1672930</v>
      </c>
      <c r="C6" s="73">
        <f t="shared" ref="C6:C10" si="3">B6/$B$11</f>
        <v>0.9111412235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110170</v>
      </c>
      <c r="C7" s="73">
        <f t="shared" si="3"/>
        <v>0.06000276676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32656</v>
      </c>
      <c r="C8" s="73">
        <f t="shared" si="3"/>
        <v>0.01778569802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13128</v>
      </c>
      <c r="C9" s="73">
        <f t="shared" si="3"/>
        <v>0.007150007462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7198</v>
      </c>
      <c r="C10" s="73">
        <f t="shared" si="3"/>
        <v>0.003920304213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1836082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">
    <cfRule type="expression" dxfId="0" priority="6">
      <formula>AJ35=AJ38</formula>
    </cfRule>
  </conditionalFormatting>
  <conditionalFormatting sqref="AJ35">
    <cfRule type="expression" dxfId="2" priority="7">
      <formula>"AJ35&lt;&gt;AJ38"</formula>
    </cfRule>
  </conditionalFormatting>
  <conditionalFormatting sqref="AJ27">
    <cfRule type="expression" dxfId="0" priority="8">
      <formula>"AJ27=AJ37"</formula>
    </cfRule>
  </conditionalFormatting>
  <conditionalFormatting sqref="AJ27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551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$A$1))"),2941666.0)</f>
        <v>2941666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2281507</v>
      </c>
      <c r="C6" s="73">
        <f t="shared" ref="C6:C10" si="3">B6/$B$11</f>
        <v>0.7755832919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270972</v>
      </c>
      <c r="C7" s="73">
        <f t="shared" si="3"/>
        <v>0.09211514835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209845</v>
      </c>
      <c r="C8" s="73">
        <f t="shared" si="3"/>
        <v>0.07133542693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127188</v>
      </c>
      <c r="C9" s="73">
        <f t="shared" si="3"/>
        <v>0.04323672368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52154</v>
      </c>
      <c r="C10" s="73">
        <f t="shared" si="3"/>
        <v>0.01772940912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2941666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">
    <cfRule type="expression" dxfId="0" priority="6">
      <formula>AJ35=AJ38</formula>
    </cfRule>
  </conditionalFormatting>
  <conditionalFormatting sqref="AJ35">
    <cfRule type="expression" dxfId="2" priority="7">
      <formula>"AJ35&lt;&gt;AJ38"</formula>
    </cfRule>
  </conditionalFormatting>
  <conditionalFormatting sqref="AJ27">
    <cfRule type="expression" dxfId="0" priority="8">
      <formula>"AJ27=AJ37"</formula>
    </cfRule>
  </conditionalFormatting>
  <conditionalFormatting sqref="AJ27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552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$A$1))"),2717985.0)</f>
        <v>2717985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2089882</v>
      </c>
      <c r="C6" s="73">
        <f t="shared" ref="C6:C10" si="3">B6/$B$11</f>
        <v>0.7689085849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260173</v>
      </c>
      <c r="C7" s="73">
        <f t="shared" si="3"/>
        <v>0.09572275049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198047</v>
      </c>
      <c r="C8" s="73">
        <f t="shared" si="3"/>
        <v>0.07286537637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118573</v>
      </c>
      <c r="C9" s="73">
        <f t="shared" si="3"/>
        <v>0.04362533274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51310</v>
      </c>
      <c r="C10" s="73">
        <f t="shared" si="3"/>
        <v>0.01887795554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2717985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  <c r="AI43" s="59" t="s">
        <v>500</v>
      </c>
      <c r="AJ43" s="55">
        <f>SUM(AJ37:AJ41)</f>
        <v>0</v>
      </c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1" priority="5">
      <formula>H42&lt;&gt;D11</formula>
    </cfRule>
  </conditionalFormatting>
  <conditionalFormatting sqref="AJ42">
    <cfRule type="expression" dxfId="0" priority="6">
      <formula>AJ42=B2</formula>
    </cfRule>
  </conditionalFormatting>
  <conditionalFormatting sqref="AJ42">
    <cfRule type="expression" dxfId="1" priority="7">
      <formula>AJ42&lt;&gt;B2</formula>
    </cfRule>
  </conditionalFormatting>
  <conditionalFormatting sqref="H27">
    <cfRule type="notContainsBlanks" dxfId="0" priority="8">
      <formula>LEN(TRIM(H27))&gt;0</formula>
    </cfRule>
  </conditionalFormatting>
  <conditionalFormatting sqref="AJ35">
    <cfRule type="expression" dxfId="0" priority="9">
      <formula>AJ35=AJ38</formula>
    </cfRule>
  </conditionalFormatting>
  <conditionalFormatting sqref="AJ35">
    <cfRule type="expression" dxfId="2" priority="10">
      <formula>"AJ35&lt;&gt;AJ38"</formula>
    </cfRule>
  </conditionalFormatting>
  <conditionalFormatting sqref="AJ27">
    <cfRule type="expression" dxfId="0" priority="11">
      <formula>"AJ27=AJ37"</formula>
    </cfRule>
  </conditionalFormatting>
  <conditionalFormatting sqref="AJ27">
    <cfRule type="expression" dxfId="2" priority="12">
      <formula>AJ27&lt;&gt;AJ37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480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$A$1))"),8595816.0)</f>
        <v>8595816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7294478</v>
      </c>
      <c r="C6" s="73">
        <f t="shared" ref="C6:C10" si="3">B6/$B$11</f>
        <v>0.8486079739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2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713518</v>
      </c>
      <c r="C7" s="73">
        <f t="shared" si="3"/>
        <v>0.08300759346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406535</v>
      </c>
      <c r="C8" s="73">
        <f t="shared" si="3"/>
        <v>0.04729452096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151083</v>
      </c>
      <c r="C9" s="73">
        <f t="shared" si="3"/>
        <v>0.01757634179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30202</v>
      </c>
      <c r="C10" s="73">
        <f t="shared" si="3"/>
        <v>0.003513569858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8595816</v>
      </c>
      <c r="C11" s="79">
        <f t="shared" si="5"/>
        <v>1</v>
      </c>
      <c r="D11" s="79">
        <f t="shared" si="5"/>
        <v>2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J36" s="219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2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2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)"),1.0)</f>
        <v>1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7294478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0.8486079739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7294478</v>
      </c>
      <c r="AK41" s="153">
        <f t="shared" si="106"/>
        <v>0</v>
      </c>
      <c r="AL41" s="154">
        <f t="shared" si="107"/>
        <v>0.8486079739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2</v>
      </c>
      <c r="S42" s="56"/>
      <c r="T42" s="56"/>
      <c r="U42" s="56"/>
      <c r="V42" s="56"/>
      <c r="W42" s="56"/>
      <c r="AJ42" s="55">
        <f>SUM(AJ37:AJ41)</f>
        <v>7294478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1" priority="5">
      <formula>H42&lt;&gt;D11</formula>
    </cfRule>
  </conditionalFormatting>
  <conditionalFormatting sqref="AJ42">
    <cfRule type="expression" dxfId="0" priority="6">
      <formula>AJ42=B2</formula>
    </cfRule>
  </conditionalFormatting>
  <conditionalFormatting sqref="AJ42">
    <cfRule type="expression" dxfId="1" priority="7">
      <formula>AJ42&lt;&gt;B2</formula>
    </cfRule>
  </conditionalFormatting>
  <conditionalFormatting sqref="H42">
    <cfRule type="expression" dxfId="0" priority="8">
      <formula>H42=D11</formula>
    </cfRule>
  </conditionalFormatting>
  <conditionalFormatting sqref="H42">
    <cfRule type="expression" dxfId="2" priority="9">
      <formula>H42&lt;&gt;D11</formula>
    </cfRule>
  </conditionalFormatting>
  <conditionalFormatting sqref="H27">
    <cfRule type="notContainsBlanks" dxfId="0" priority="10">
      <formula>LEN(TRIM(H27))&gt;0</formula>
    </cfRule>
  </conditionalFormatting>
  <conditionalFormatting sqref="AJ35:AJ36">
    <cfRule type="expression" dxfId="0" priority="11">
      <formula>AJ35=AJ38</formula>
    </cfRule>
  </conditionalFormatting>
  <conditionalFormatting sqref="AJ35:AJ36">
    <cfRule type="expression" dxfId="2" priority="12">
      <formula>"AJ35&lt;&gt;AJ38"</formula>
    </cfRule>
  </conditionalFormatting>
  <conditionalFormatting sqref="AJ27">
    <cfRule type="expression" dxfId="0" priority="13">
      <formula>"AJ27=AJ37"</formula>
    </cfRule>
  </conditionalFormatting>
  <conditionalFormatting sqref="AJ27">
    <cfRule type="expression" dxfId="2" priority="14">
      <formula>AJ27&lt;&gt;AJ37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557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$A$1))"),5610553.0)</f>
        <v>5610553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4569311</v>
      </c>
      <c r="C6" s="73">
        <f t="shared" ref="C6:C10" si="3">B6/$B$11</f>
        <v>0.8144136594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511727</v>
      </c>
      <c r="C7" s="73">
        <f t="shared" si="3"/>
        <v>0.09120794332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341102</v>
      </c>
      <c r="C8" s="73">
        <f t="shared" si="3"/>
        <v>0.06079650259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153230</v>
      </c>
      <c r="C9" s="73">
        <f t="shared" si="3"/>
        <v>0.02731103333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35183</v>
      </c>
      <c r="C10" s="73">
        <f t="shared" si="3"/>
        <v>0.006270861357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5610553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J36" s="219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:AJ36">
    <cfRule type="expression" dxfId="0" priority="6">
      <formula>AJ35=AJ38</formula>
    </cfRule>
  </conditionalFormatting>
  <conditionalFormatting sqref="AJ35:AJ36">
    <cfRule type="expression" dxfId="2" priority="7">
      <formula>"AJ35&lt;&gt;AJ38"</formula>
    </cfRule>
  </conditionalFormatting>
  <conditionalFormatting sqref="AJ27">
    <cfRule type="expression" dxfId="0" priority="8">
      <formula>"AJ27=AJ37"</formula>
    </cfRule>
  </conditionalFormatting>
  <conditionalFormatting sqref="AJ27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$A$1))"),5979164.0)</f>
        <v>5979164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5065506</v>
      </c>
      <c r="C6" s="73">
        <f t="shared" ref="C6:C10" si="3">B6/$B$11</f>
        <v>0.847193019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359498</v>
      </c>
      <c r="C7" s="73">
        <f t="shared" si="3"/>
        <v>0.06012512786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299335</v>
      </c>
      <c r="C8" s="73">
        <f t="shared" si="3"/>
        <v>0.05006301884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192012</v>
      </c>
      <c r="C9" s="73">
        <f t="shared" si="3"/>
        <v>0.03211351955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62813</v>
      </c>
      <c r="C10" s="73">
        <f t="shared" si="3"/>
        <v>0.01050531479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5979164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">
    <cfRule type="expression" dxfId="0" priority="6">
      <formula>AJ35=AJ38</formula>
    </cfRule>
  </conditionalFormatting>
  <conditionalFormatting sqref="AJ35">
    <cfRule type="expression" dxfId="2" priority="7">
      <formula>"AJ35&lt;&gt;AJ38"</formula>
    </cfRule>
  </conditionalFormatting>
  <conditionalFormatting sqref="AJ27">
    <cfRule type="expression" dxfId="0" priority="8">
      <formula>"AJ27=AJ37"</formula>
    </cfRule>
  </conditionalFormatting>
  <conditionalFormatting sqref="AJ27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$A$1))"),4899323.0)</f>
        <v>4899323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4356905</v>
      </c>
      <c r="C6" s="73">
        <f t="shared" ref="C6:C10" si="3">B6/$B$11</f>
        <v>0.8892871525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235008</v>
      </c>
      <c r="C7" s="73">
        <f t="shared" si="3"/>
        <v>0.04796744367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177926</v>
      </c>
      <c r="C8" s="73">
        <f t="shared" si="3"/>
        <v>0.03631644617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100030</v>
      </c>
      <c r="C9" s="73">
        <f t="shared" si="3"/>
        <v>0.02041710661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29454</v>
      </c>
      <c r="C10" s="73">
        <f t="shared" si="3"/>
        <v>0.006011851025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4899323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J36" s="219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:AJ36">
    <cfRule type="expression" dxfId="0" priority="6">
      <formula>AJ35=AJ38</formula>
    </cfRule>
  </conditionalFormatting>
  <conditionalFormatting sqref="AJ35:AJ36">
    <cfRule type="expression" dxfId="2" priority="7">
      <formula>"AJ35&lt;&gt;AJ38"</formula>
    </cfRule>
  </conditionalFormatting>
  <conditionalFormatting sqref="AJ27:AJ28">
    <cfRule type="expression" dxfId="0" priority="8">
      <formula>"AJ27=AJ37"</formula>
    </cfRule>
  </conditionalFormatting>
  <conditionalFormatting sqref="AJ27:AJ28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198" t="s">
        <v>555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$A$1))"),4661808.0)</f>
        <v>4661808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3035526</v>
      </c>
      <c r="C6" s="73">
        <f t="shared" ref="C6:C10" si="3">B6/$B$11</f>
        <v>0.651147795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814316</v>
      </c>
      <c r="C7" s="73">
        <f t="shared" si="3"/>
        <v>0.1746781506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631916</v>
      </c>
      <c r="C8" s="73">
        <f t="shared" si="3"/>
        <v>0.1355517001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167578</v>
      </c>
      <c r="C9" s="73">
        <f t="shared" si="3"/>
        <v>0.03594699739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12472</v>
      </c>
      <c r="C10" s="73">
        <f t="shared" si="3"/>
        <v>0.002675356857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4661808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J36" s="219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:AJ36">
    <cfRule type="expression" dxfId="0" priority="6">
      <formula>AJ35=AJ38</formula>
    </cfRule>
  </conditionalFormatting>
  <conditionalFormatting sqref="AJ35:AJ36">
    <cfRule type="expression" dxfId="2" priority="7">
      <formula>"AJ35&lt;&gt;AJ38"</formula>
    </cfRule>
  </conditionalFormatting>
  <conditionalFormatting sqref="AJ27:AJ28">
    <cfRule type="expression" dxfId="0" priority="8">
      <formula>"AJ27=AJ37"</formula>
    </cfRule>
  </conditionalFormatting>
  <conditionalFormatting sqref="AJ27:AJ28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556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$A$1))"),5838082.0)</f>
        <v>5838082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4527465</v>
      </c>
      <c r="C6" s="73">
        <f t="shared" ref="C6:C10" si="3">B6/$B$11</f>
        <v>0.7755055513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610433</v>
      </c>
      <c r="C7" s="73">
        <f t="shared" si="3"/>
        <v>0.1045605389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489688</v>
      </c>
      <c r="C8" s="73">
        <f t="shared" si="3"/>
        <v>0.08387823261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185232</v>
      </c>
      <c r="C9" s="73">
        <f t="shared" si="3"/>
        <v>0.03172822855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25264</v>
      </c>
      <c r="C10" s="73">
        <f t="shared" si="3"/>
        <v>0.004327448638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5838082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J36" s="219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:AJ36">
    <cfRule type="expression" dxfId="0" priority="6">
      <formula>AJ35=AJ38</formula>
    </cfRule>
  </conditionalFormatting>
  <conditionalFormatting sqref="AJ35:AJ36">
    <cfRule type="expression" dxfId="2" priority="7">
      <formula>"AJ35&lt;&gt;AJ38"</formula>
    </cfRule>
  </conditionalFormatting>
  <conditionalFormatting sqref="AJ27:AJ28">
    <cfRule type="expression" dxfId="0" priority="8">
      <formula>"AJ27=AJ37"</formula>
    </cfRule>
  </conditionalFormatting>
  <conditionalFormatting sqref="AJ27:AJ28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559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$A$1))"),3171622.0)</f>
        <v>3171622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2584356</v>
      </c>
      <c r="C6" s="73">
        <f t="shared" ref="C6:C10" si="3">B6/$B$11</f>
        <v>0.8148373293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235447</v>
      </c>
      <c r="C7" s="73">
        <f t="shared" si="3"/>
        <v>0.07423551735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200684</v>
      </c>
      <c r="C8" s="73">
        <f t="shared" si="3"/>
        <v>0.06327487954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112621</v>
      </c>
      <c r="C9" s="73">
        <f t="shared" si="3"/>
        <v>0.0355089604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38514</v>
      </c>
      <c r="C10" s="73">
        <f t="shared" si="3"/>
        <v>0.01214331342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3171622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2" priority="5">
      <formula>H42&lt;&gt;D11</formula>
    </cfRule>
  </conditionalFormatting>
  <conditionalFormatting sqref="H27">
    <cfRule type="notContainsBlanks" dxfId="0" priority="6">
      <formula>LEN(TRIM(H27))&gt;0</formula>
    </cfRule>
  </conditionalFormatting>
  <conditionalFormatting sqref="AJ35">
    <cfRule type="expression" dxfId="0" priority="7">
      <formula>AJ35=AJ38</formula>
    </cfRule>
  </conditionalFormatting>
  <conditionalFormatting sqref="AJ35">
    <cfRule type="expression" dxfId="2" priority="8">
      <formula>"AJ35&lt;&gt;AJ38"</formula>
    </cfRule>
  </conditionalFormatting>
  <conditionalFormatting sqref="AJ27">
    <cfRule type="expression" dxfId="0" priority="9">
      <formula>"AJ27=AJ37"</formula>
    </cfRule>
  </conditionalFormatting>
  <conditionalFormatting sqref="AJ27">
    <cfRule type="expression" dxfId="2" priority="10">
      <formula>AJ27&lt;&gt;AJ37</formula>
    </cfRule>
  </conditionalFormatting>
  <conditionalFormatting sqref="H42">
    <cfRule type="expression" dxfId="1" priority="11">
      <formula>H42&lt;&gt;D11</formula>
    </cfRule>
  </conditionalFormatting>
  <conditionalFormatting sqref="AJ42">
    <cfRule type="expression" dxfId="0" priority="12">
      <formula>AJ42=B2</formula>
    </cfRule>
  </conditionalFormatting>
  <conditionalFormatting sqref="AJ42">
    <cfRule type="expression" dxfId="1" priority="13">
      <formula>AJ42&lt;&gt;B2</formula>
    </cfRule>
  </conditionalFormatting>
  <conditionalFormatting sqref="H42">
    <cfRule type="expression" dxfId="0" priority="14">
      <formula>H42=D11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561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$A$1))"),1662825.0)</f>
        <v>1662825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1483010</v>
      </c>
      <c r="C6" s="73">
        <f t="shared" ref="C6:C10" si="3">B6/$B$11</f>
        <v>0.8918617413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77057</v>
      </c>
      <c r="C7" s="73">
        <f t="shared" si="3"/>
        <v>0.04634101604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62601</v>
      </c>
      <c r="C8" s="73">
        <f t="shared" si="3"/>
        <v>0.0376473772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32227</v>
      </c>
      <c r="C9" s="73">
        <f t="shared" si="3"/>
        <v>0.01938087291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7930</v>
      </c>
      <c r="C10" s="73">
        <f t="shared" si="3"/>
        <v>0.004768992528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1662825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27">
    <cfRule type="notContainsBlanks" dxfId="0" priority="5">
      <formula>LEN(TRIM(H27))&gt;0</formula>
    </cfRule>
  </conditionalFormatting>
  <conditionalFormatting sqref="AJ35">
    <cfRule type="expression" dxfId="0" priority="6">
      <formula>AJ35=AJ38</formula>
    </cfRule>
  </conditionalFormatting>
  <conditionalFormatting sqref="AJ35">
    <cfRule type="expression" dxfId="2" priority="7">
      <formula>"AJ35&lt;&gt;AJ38"</formula>
    </cfRule>
  </conditionalFormatting>
  <conditionalFormatting sqref="AJ27">
    <cfRule type="expression" dxfId="0" priority="8">
      <formula>"AJ27=AJ37"</formula>
    </cfRule>
  </conditionalFormatting>
  <conditionalFormatting sqref="AJ27">
    <cfRule type="expression" dxfId="2" priority="9">
      <formula>AJ27&lt;&gt;AJ37</formula>
    </cfRule>
  </conditionalFormatting>
  <conditionalFormatting sqref="H42">
    <cfRule type="expression" dxfId="1" priority="10">
      <formula>H42&lt;&gt;D11</formula>
    </cfRule>
  </conditionalFormatting>
  <conditionalFormatting sqref="AJ42">
    <cfRule type="expression" dxfId="0" priority="11">
      <formula>AJ42=B2</formula>
    </cfRule>
  </conditionalFormatting>
  <conditionalFormatting sqref="AJ42">
    <cfRule type="expression" dxfId="1" priority="12">
      <formula>AJ42&lt;&gt;B2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562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IFERROR(__xludf.DUMMYFUNCTION("SUM(FILTER('Prefecture Summary 2015-2023'!C:G, 'Prefecture Summary 2015-2023'!A:A = $A$1))"),6247.0)</f>
        <v>6247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1522.0</v>
      </c>
      <c r="C4" s="65"/>
      <c r="D4" s="66"/>
      <c r="E4" s="67"/>
      <c r="I4" s="63">
        <v>2016.0</v>
      </c>
      <c r="J4" s="68">
        <f t="shared" ref="J4:J10" si="1">AJ20</f>
        <v>0</v>
      </c>
      <c r="K4" s="63">
        <v>2016.0</v>
      </c>
      <c r="L4" s="68">
        <f t="shared" ref="L4:L10" si="2">AJ28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I5" s="63">
        <v>2017.0</v>
      </c>
      <c r="J5" s="68">
        <f t="shared" si="1"/>
        <v>0</v>
      </c>
      <c r="K5" s="63">
        <v>2017.0</v>
      </c>
      <c r="L5" s="68">
        <f t="shared" si="2"/>
        <v>0</v>
      </c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2015-2023'!$A$1:$G$18,(A6+2),FALSE)</f>
        <v>4953</v>
      </c>
      <c r="C6" s="73">
        <f t="shared" ref="C6:C10" si="3">B6/$B$11</f>
        <v>0.7928605731</v>
      </c>
      <c r="D6" s="74">
        <f t="shared" ref="D6:D10" si="4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63">
        <v>2018.0</v>
      </c>
      <c r="J6" s="68">
        <f t="shared" si="1"/>
        <v>0</v>
      </c>
      <c r="K6" s="63">
        <v>2018.0</v>
      </c>
      <c r="L6" s="68">
        <f t="shared" si="2"/>
        <v>0</v>
      </c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2015-2023'!$A$1:$G$18,(A7+2),FALSE)</f>
        <v>843</v>
      </c>
      <c r="C7" s="73">
        <f t="shared" si="3"/>
        <v>0.1349447735</v>
      </c>
      <c r="D7" s="74">
        <f t="shared" si="4"/>
        <v>0</v>
      </c>
      <c r="E7" s="75"/>
      <c r="F7" s="76"/>
      <c r="G7" s="77"/>
      <c r="I7" s="63">
        <v>2019.0</v>
      </c>
      <c r="J7" s="68">
        <f t="shared" si="1"/>
        <v>0</v>
      </c>
      <c r="K7" s="63">
        <v>2019.0</v>
      </c>
      <c r="L7" s="68">
        <f t="shared" si="2"/>
        <v>0</v>
      </c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2015-2023'!$A$1:$G$18,(A8+2),FALSE)</f>
        <v>350</v>
      </c>
      <c r="C8" s="73">
        <f t="shared" si="3"/>
        <v>0.05602689291</v>
      </c>
      <c r="D8" s="74">
        <f t="shared" si="4"/>
        <v>0</v>
      </c>
      <c r="E8" s="75"/>
      <c r="F8" s="76"/>
      <c r="G8" s="77"/>
      <c r="I8" s="63">
        <v>2020.0</v>
      </c>
      <c r="J8" s="68">
        <f t="shared" si="1"/>
        <v>0</v>
      </c>
      <c r="K8" s="63">
        <v>2020.0</v>
      </c>
      <c r="L8" s="68">
        <f t="shared" si="2"/>
        <v>0</v>
      </c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2015-2023'!$A$1:$G$18,(A9+2),FALSE)</f>
        <v>97</v>
      </c>
      <c r="C9" s="73">
        <f t="shared" si="3"/>
        <v>0.01552745318</v>
      </c>
      <c r="D9" s="74">
        <f t="shared" si="4"/>
        <v>0</v>
      </c>
      <c r="E9" s="75"/>
      <c r="F9" s="76"/>
      <c r="G9" s="77"/>
      <c r="I9" s="63">
        <v>2021.0</v>
      </c>
      <c r="J9" s="68">
        <f t="shared" si="1"/>
        <v>0</v>
      </c>
      <c r="K9" s="63">
        <v>2021.0</v>
      </c>
      <c r="L9" s="68">
        <f t="shared" si="2"/>
        <v>0</v>
      </c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2015-2023'!$A$1:$G$18,(A10+2),FALSE)</f>
        <v>4</v>
      </c>
      <c r="C10" s="73">
        <f t="shared" si="3"/>
        <v>0.0006403073475</v>
      </c>
      <c r="D10" s="74">
        <f t="shared" si="4"/>
        <v>0</v>
      </c>
      <c r="E10" s="75"/>
      <c r="F10" s="76"/>
      <c r="G10" s="77"/>
      <c r="I10" s="63">
        <v>2022.0</v>
      </c>
      <c r="J10" s="68">
        <f t="shared" si="1"/>
        <v>0</v>
      </c>
      <c r="K10" s="63">
        <v>2022.0</v>
      </c>
      <c r="L10" s="68">
        <f t="shared" si="2"/>
        <v>0</v>
      </c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5">SUM(B6:B10)</f>
        <v>6247</v>
      </c>
      <c r="C11" s="79">
        <f t="shared" si="5"/>
        <v>1</v>
      </c>
      <c r="D11" s="79">
        <f t="shared" si="5"/>
        <v>0</v>
      </c>
      <c r="E11" s="80"/>
      <c r="F11" s="80"/>
      <c r="G11" s="80"/>
      <c r="I11" s="63">
        <v>2023.0</v>
      </c>
      <c r="J11" s="81" t="str">
        <f>#REF!</f>
        <v>#REF!</v>
      </c>
      <c r="K11" s="63">
        <v>2023.0</v>
      </c>
      <c r="L11" s="81" t="str">
        <f>#REF!</f>
        <v>#REF!</v>
      </c>
      <c r="AC11" s="56"/>
      <c r="AD11" s="56"/>
      <c r="AE11" s="56"/>
      <c r="AF11" s="56"/>
      <c r="AG11" s="56"/>
    </row>
    <row r="12" ht="15.75" customHeight="1">
      <c r="A12" s="59" t="s">
        <v>574</v>
      </c>
      <c r="B12" s="213" t="str">
        <f>'TNT 2015-2022'!B12</f>
        <v>$AB</v>
      </c>
      <c r="E12" s="84"/>
      <c r="I12" s="63"/>
      <c r="J12" s="81"/>
      <c r="K12" s="63"/>
      <c r="L12" s="81"/>
      <c r="AC12" s="56"/>
      <c r="AD12" s="56"/>
      <c r="AE12" s="56"/>
      <c r="AF12" s="56"/>
      <c r="AG12" s="56"/>
    </row>
    <row r="13" ht="15.75" customHeight="1">
      <c r="A13" s="59" t="s">
        <v>578</v>
      </c>
      <c r="B13" s="213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52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212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63" t="s">
        <v>8</v>
      </c>
      <c r="B17" s="212" t="str">
        <f>'TNT 2015-2022'!B16</f>
        <v>CEO 2015-2023</v>
      </c>
      <c r="M17" s="52"/>
      <c r="N17" s="52"/>
      <c r="O17" s="52"/>
      <c r="AC17" s="56"/>
      <c r="AD17" s="56"/>
      <c r="AE17" s="56"/>
      <c r="AF17" s="56"/>
      <c r="AG17" s="56"/>
    </row>
    <row r="18" ht="15.75" customHeight="1">
      <c r="A18" s="59" t="s">
        <v>526</v>
      </c>
      <c r="B18" s="213" t="str">
        <f>'TNT 2015-2022'!B17</f>
        <v>$C</v>
      </c>
      <c r="C18" s="93" t="s">
        <v>494</v>
      </c>
      <c r="D18" s="65"/>
      <c r="E18" s="65"/>
      <c r="F18" s="65"/>
      <c r="G18" s="65"/>
      <c r="H18" s="66"/>
      <c r="I18" s="97" t="s">
        <v>495</v>
      </c>
      <c r="J18" s="65"/>
      <c r="K18" s="65"/>
      <c r="L18" s="65"/>
      <c r="M18" s="66"/>
      <c r="N18" s="97" t="s">
        <v>496</v>
      </c>
      <c r="O18" s="65"/>
      <c r="P18" s="65"/>
      <c r="Q18" s="65"/>
      <c r="R18" s="65"/>
      <c r="S18" s="98" t="s">
        <v>497</v>
      </c>
      <c r="T18" s="65"/>
      <c r="U18" s="65"/>
      <c r="V18" s="65"/>
      <c r="W18" s="65"/>
      <c r="X18" s="98" t="s">
        <v>498</v>
      </c>
      <c r="Y18" s="65"/>
      <c r="Z18" s="65"/>
      <c r="AA18" s="65"/>
      <c r="AB18" s="65"/>
      <c r="AC18" s="98" t="s">
        <v>499</v>
      </c>
      <c r="AD18" s="65"/>
      <c r="AE18" s="65"/>
      <c r="AF18" s="65"/>
      <c r="AG18" s="66"/>
    </row>
    <row r="19" ht="15.75" customHeight="1">
      <c r="A19" s="63" t="s">
        <v>527</v>
      </c>
      <c r="B19" s="213" t="str">
        <f>'TNT 2015-2022'!B18</f>
        <v>$DD</v>
      </c>
      <c r="C19" s="63">
        <v>1.0</v>
      </c>
      <c r="D19" s="59">
        <v>2.0</v>
      </c>
      <c r="E19" s="63">
        <v>3.0</v>
      </c>
      <c r="F19" s="63">
        <v>4.0</v>
      </c>
      <c r="G19" s="63">
        <v>5.0</v>
      </c>
      <c r="H19" s="63" t="s">
        <v>500</v>
      </c>
      <c r="I19" s="63">
        <v>1.0</v>
      </c>
      <c r="J19" s="63">
        <v>2.0</v>
      </c>
      <c r="K19" s="63">
        <v>3.0</v>
      </c>
      <c r="L19" s="63">
        <v>4.0</v>
      </c>
      <c r="M19" s="63">
        <v>5.0</v>
      </c>
      <c r="N19" s="63">
        <v>1.0</v>
      </c>
      <c r="O19" s="63">
        <v>2.0</v>
      </c>
      <c r="P19" s="63">
        <v>3.0</v>
      </c>
      <c r="Q19" s="63">
        <v>4.0</v>
      </c>
      <c r="R19" s="63">
        <v>5.0</v>
      </c>
      <c r="S19" s="99">
        <v>1.0</v>
      </c>
      <c r="T19" s="99">
        <v>2.0</v>
      </c>
      <c r="U19" s="99">
        <v>3.0</v>
      </c>
      <c r="V19" s="99">
        <v>4.0</v>
      </c>
      <c r="W19" s="99">
        <v>5.0</v>
      </c>
      <c r="X19" s="100">
        <v>1.0</v>
      </c>
      <c r="Y19" s="100">
        <v>2.0</v>
      </c>
      <c r="Z19" s="100">
        <v>3.0</v>
      </c>
      <c r="AA19" s="100">
        <v>4.0</v>
      </c>
      <c r="AB19" s="100">
        <v>5.0</v>
      </c>
      <c r="AC19" s="101">
        <v>1.0</v>
      </c>
      <c r="AD19" s="101">
        <v>2.0</v>
      </c>
      <c r="AE19" s="101">
        <v>3.0</v>
      </c>
      <c r="AF19" s="101">
        <v>4.0</v>
      </c>
      <c r="AG19" s="101">
        <v>5.0</v>
      </c>
      <c r="AH19" s="97" t="s">
        <v>501</v>
      </c>
      <c r="AI19" s="97" t="s">
        <v>502</v>
      </c>
      <c r="AJ19" s="63" t="s">
        <v>503</v>
      </c>
      <c r="AK19" s="89" t="s">
        <v>504</v>
      </c>
      <c r="AL19" s="89" t="s">
        <v>505</v>
      </c>
    </row>
    <row r="20" ht="15.75" customHeight="1">
      <c r="A20" s="103" t="s">
        <v>262</v>
      </c>
      <c r="B20" s="213" t="str">
        <f>'TNT 2015-2022'!B19</f>
        <v>$AG</v>
      </c>
      <c r="C20" s="103">
        <f t="shared" ref="C20:G20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103">
        <f t="shared" si="6"/>
        <v>0</v>
      </c>
      <c r="E20" s="103">
        <f t="shared" si="6"/>
        <v>0</v>
      </c>
      <c r="F20" s="103">
        <f t="shared" si="6"/>
        <v>0</v>
      </c>
      <c r="G20" s="103">
        <f t="shared" si="6"/>
        <v>0</v>
      </c>
      <c r="H20" s="103">
        <f t="shared" ref="H20:H26" si="8">SUM(C20:G20)</f>
        <v>0</v>
      </c>
      <c r="I20" s="214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14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14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14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14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105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0" s="105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0" s="105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0" s="105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0" s="105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0" s="106">
        <f t="shared" ref="S20:S26" si="9">($B$6^2*I20)^0.5</f>
        <v>0</v>
      </c>
      <c r="T20" s="106">
        <f t="shared" ref="T20:T26" si="10">($B$7^2*J20)^0.5</f>
        <v>0</v>
      </c>
      <c r="U20" s="106">
        <f t="shared" ref="U20:U26" si="11">($B$8^2*K20)^0.5</f>
        <v>0</v>
      </c>
      <c r="V20" s="106">
        <f t="shared" ref="V20:V26" si="12">($B$9^2*L20)^0.5</f>
        <v>0</v>
      </c>
      <c r="W20" s="106">
        <f t="shared" ref="W20:W26" si="13">($B$10^2*M20)^0.5</f>
        <v>0</v>
      </c>
      <c r="X20" s="106">
        <f t="shared" ref="X20:X26" si="14">N20*$B$6</f>
        <v>0</v>
      </c>
      <c r="Y20" s="106">
        <f t="shared" ref="Y20:Y26" si="15">O20*$B$7</f>
        <v>0</v>
      </c>
      <c r="Z20" s="106">
        <f t="shared" ref="Z20:Z26" si="16">P20*$B$8</f>
        <v>0</v>
      </c>
      <c r="AA20" s="106">
        <f t="shared" ref="AA20:AA26" si="17">Q20*$B$9</f>
        <v>0</v>
      </c>
      <c r="AB20" s="106">
        <f t="shared" ref="AB20:AB26" si="18">R20*$B$10</f>
        <v>0</v>
      </c>
      <c r="AC20" s="107">
        <f t="shared" ref="AC20:AC26" si="19">N20*$C$6</f>
        <v>0</v>
      </c>
      <c r="AD20" s="107">
        <f t="shared" ref="AD20:AD26" si="20">O20*$C$7</f>
        <v>0</v>
      </c>
      <c r="AE20" s="107">
        <f t="shared" ref="AE20:AE26" si="21">P20*$C$8</f>
        <v>0</v>
      </c>
      <c r="AF20" s="107">
        <f t="shared" ref="AF20:AF26" si="22">Q20*$C$9</f>
        <v>0</v>
      </c>
      <c r="AG20" s="107">
        <f t="shared" ref="AG20:AG26" si="23">R20*$C$10</f>
        <v>0</v>
      </c>
      <c r="AH20" s="106">
        <f t="shared" ref="AH20:AH26" si="24">(S20*S20+T20*T20+U20*U20+V20*V20+W20*W20)^0.5</f>
        <v>0</v>
      </c>
      <c r="AI20" s="106">
        <f t="shared" ref="AI20:AI26" si="25">AH20*$B$15</f>
        <v>0</v>
      </c>
      <c r="AJ20" s="108">
        <f t="shared" ref="AJ20:AJ26" si="26">SUM(X20:AB20)</f>
        <v>0</v>
      </c>
      <c r="AK20" s="109">
        <f t="shared" ref="AK20:AK26" si="27">IF(AI20=0,0,AI20/AJ20)</f>
        <v>0</v>
      </c>
      <c r="AL20" s="110">
        <f t="shared" ref="AL20:AL26" si="28">AJ20/$B$2</f>
        <v>0</v>
      </c>
    </row>
    <row r="21" ht="15.75" customHeight="1">
      <c r="A21" s="103" t="s">
        <v>265</v>
      </c>
      <c r="B21" s="213" t="str">
        <f>'TNT 2015-2022'!B20</f>
        <v>$AH</v>
      </c>
      <c r="C21" s="103">
        <f t="shared" ref="C21:G21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$A21
)</f>
        <v>0</v>
      </c>
      <c r="D21" s="103">
        <f t="shared" si="7"/>
        <v>0</v>
      </c>
      <c r="E21" s="103">
        <f t="shared" si="7"/>
        <v>0</v>
      </c>
      <c r="F21" s="103">
        <f t="shared" si="7"/>
        <v>0</v>
      </c>
      <c r="G21" s="103">
        <f t="shared" si="7"/>
        <v>0</v>
      </c>
      <c r="H21" s="103">
        <f t="shared" si="8"/>
        <v>0</v>
      </c>
      <c r="I21" s="214">
        <f>IFERROR(__xludf.DUMMYFUNCTION("IFERROR(
    VAR.S(
        FILTER(
            INDIRECT(""'"" &amp; $B$17 &amp; ""'!"" &amp; $B21 &amp; "":"" &amp; $B21),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1" s="214">
        <f>IFERROR(__xludf.DUMMYFUNCTION("IFERROR(
    VAR.S(
        FILTER(
            INDIRECT(""'"" &amp; $B$17 &amp; ""'!"" &amp; $B21 &amp; "":"" &amp; $B21),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1" s="214">
        <f>IFERROR(__xludf.DUMMYFUNCTION("IFERROR(
    VAR.S(
        FILTER(
            INDIRECT(""'"" &amp; $B$17 &amp; ""'!"" &amp; $B21 &amp; "":"" &amp; $B21),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1" s="214">
        <f>IFERROR(__xludf.DUMMYFUNCTION("IFERROR(
    VAR.S(
        FILTER(
            INDIRECT(""'"" &amp; $B$17 &amp; ""'!"" &amp; $B21 &amp; "":"" &amp; $B21),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1" s="214">
        <f>IFERROR(__xludf.DUMMYFUNCTION("IFERROR(
    VAR.S(
        FILTER(
            INDIRECT(""'"" &amp; $B$17 &amp; ""'!"" &amp; $B21 &amp; "":"" &amp; $B21),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1" s="105">
        <f>IFERROR(__xludf.DUMMYFUNCTION("IFERROR(
    AVERAGE(
        FILTER(
            INDIRECT(""'"" &amp; $B$17 &amp; ""'!"" &amp; $B21 &amp; "":"" &amp; $B21),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1" s="105">
        <f>IFERROR(__xludf.DUMMYFUNCTION("IFERROR(
    AVERAGE(
        FILTER(
            INDIRECT(""'"" &amp; $B$17 &amp; ""'!"" &amp; $B21 &amp; "":"" &amp; $B21),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1" s="105">
        <f>IFERROR(__xludf.DUMMYFUNCTION("IFERROR(
    AVERAGE(
        FILTER(
            INDIRECT(""'"" &amp; $B$17 &amp; ""'!"" &amp; $B21 &amp; "":"" &amp; $B21),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1" s="105">
        <f>IFERROR(__xludf.DUMMYFUNCTION("IFERROR(
    AVERAGE(
        FILTER(
            INDIRECT(""'"" &amp; $B$17 &amp; ""'!"" &amp; $B21 &amp; "":"" &amp; $B21),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1" s="105">
        <f>IFERROR(__xludf.DUMMYFUNCTION("IFERROR(
    AVERAGE(
        FILTER(
            INDIRECT(""'"" &amp; $B$17 &amp; ""'!"" &amp; $B21 &amp; "":"" &amp; $B21),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1" s="106">
        <f t="shared" si="9"/>
        <v>0</v>
      </c>
      <c r="T21" s="106">
        <f t="shared" si="10"/>
        <v>0</v>
      </c>
      <c r="U21" s="106">
        <f t="shared" si="11"/>
        <v>0</v>
      </c>
      <c r="V21" s="106">
        <f t="shared" si="12"/>
        <v>0</v>
      </c>
      <c r="W21" s="106">
        <f t="shared" si="13"/>
        <v>0</v>
      </c>
      <c r="X21" s="106">
        <f t="shared" si="14"/>
        <v>0</v>
      </c>
      <c r="Y21" s="106">
        <f t="shared" si="15"/>
        <v>0</v>
      </c>
      <c r="Z21" s="106">
        <f t="shared" si="16"/>
        <v>0</v>
      </c>
      <c r="AA21" s="106">
        <f t="shared" si="17"/>
        <v>0</v>
      </c>
      <c r="AB21" s="106">
        <f t="shared" si="18"/>
        <v>0</v>
      </c>
      <c r="AC21" s="107">
        <f t="shared" si="19"/>
        <v>0</v>
      </c>
      <c r="AD21" s="107">
        <f t="shared" si="20"/>
        <v>0</v>
      </c>
      <c r="AE21" s="107">
        <f t="shared" si="21"/>
        <v>0</v>
      </c>
      <c r="AF21" s="107">
        <f t="shared" si="22"/>
        <v>0</v>
      </c>
      <c r="AG21" s="107">
        <f t="shared" si="23"/>
        <v>0</v>
      </c>
      <c r="AH21" s="106">
        <f t="shared" si="24"/>
        <v>0</v>
      </c>
      <c r="AI21" s="106">
        <f t="shared" si="25"/>
        <v>0</v>
      </c>
      <c r="AJ21" s="108">
        <f t="shared" si="26"/>
        <v>0</v>
      </c>
      <c r="AK21" s="109">
        <f t="shared" si="27"/>
        <v>0</v>
      </c>
      <c r="AL21" s="110">
        <f t="shared" si="28"/>
        <v>0</v>
      </c>
    </row>
    <row r="22" ht="15.75" customHeight="1">
      <c r="A22" s="103" t="s">
        <v>267</v>
      </c>
      <c r="B22" s="213" t="str">
        <f>'TNT 2015-2022'!B21</f>
        <v>$AI</v>
      </c>
      <c r="C22" s="103">
        <f t="shared" ref="C22:G22" si="2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103">
        <f t="shared" si="29"/>
        <v>0</v>
      </c>
      <c r="E22" s="103">
        <f t="shared" si="29"/>
        <v>0</v>
      </c>
      <c r="F22" s="103">
        <f t="shared" si="29"/>
        <v>0</v>
      </c>
      <c r="G22" s="103">
        <f t="shared" si="29"/>
        <v>0</v>
      </c>
      <c r="H22" s="103">
        <f t="shared" si="8"/>
        <v>0</v>
      </c>
      <c r="I22" s="214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14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14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1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1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105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2" s="105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2" s="105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2" s="105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2" s="105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2" s="106">
        <f t="shared" si="9"/>
        <v>0</v>
      </c>
      <c r="T22" s="106">
        <f t="shared" si="10"/>
        <v>0</v>
      </c>
      <c r="U22" s="106">
        <f t="shared" si="11"/>
        <v>0</v>
      </c>
      <c r="V22" s="106">
        <f t="shared" si="12"/>
        <v>0</v>
      </c>
      <c r="W22" s="106">
        <f t="shared" si="13"/>
        <v>0</v>
      </c>
      <c r="X22" s="106">
        <f t="shared" si="14"/>
        <v>0</v>
      </c>
      <c r="Y22" s="106">
        <f t="shared" si="15"/>
        <v>0</v>
      </c>
      <c r="Z22" s="106">
        <f t="shared" si="16"/>
        <v>0</v>
      </c>
      <c r="AA22" s="106">
        <f t="shared" si="17"/>
        <v>0</v>
      </c>
      <c r="AB22" s="106">
        <f t="shared" si="18"/>
        <v>0</v>
      </c>
      <c r="AC22" s="107">
        <f t="shared" si="19"/>
        <v>0</v>
      </c>
      <c r="AD22" s="107">
        <f t="shared" si="20"/>
        <v>0</v>
      </c>
      <c r="AE22" s="107">
        <f t="shared" si="21"/>
        <v>0</v>
      </c>
      <c r="AF22" s="107">
        <f t="shared" si="22"/>
        <v>0</v>
      </c>
      <c r="AG22" s="107">
        <f t="shared" si="23"/>
        <v>0</v>
      </c>
      <c r="AH22" s="106">
        <f t="shared" si="24"/>
        <v>0</v>
      </c>
      <c r="AI22" s="106">
        <f t="shared" si="25"/>
        <v>0</v>
      </c>
      <c r="AJ22" s="108">
        <f t="shared" si="26"/>
        <v>0</v>
      </c>
      <c r="AK22" s="109">
        <f t="shared" si="27"/>
        <v>0</v>
      </c>
      <c r="AL22" s="110">
        <f t="shared" si="28"/>
        <v>0</v>
      </c>
    </row>
    <row r="23" ht="15.75" customHeight="1">
      <c r="A23" s="103" t="s">
        <v>269</v>
      </c>
      <c r="B23" s="213" t="str">
        <f>'TNT 2015-2022'!B22</f>
        <v>$AJ</v>
      </c>
      <c r="C23" s="103">
        <f t="shared" ref="C23:G23" si="3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$A23
)</f>
        <v>0</v>
      </c>
      <c r="D23" s="103">
        <f t="shared" si="30"/>
        <v>0</v>
      </c>
      <c r="E23" s="103">
        <f t="shared" si="30"/>
        <v>0</v>
      </c>
      <c r="F23" s="103">
        <f t="shared" si="30"/>
        <v>0</v>
      </c>
      <c r="G23" s="103">
        <f t="shared" si="30"/>
        <v>0</v>
      </c>
      <c r="H23" s="103">
        <f t="shared" si="8"/>
        <v>0</v>
      </c>
      <c r="I23" s="214">
        <f>IFERROR(__xludf.DUMMYFUNCTION("IFERROR(
    VAR.S(
        FILTER(
            INDIRECT(""'"" &amp; $B$17 &amp; ""'!"" &amp; $B23 &amp; "":"" &amp; $B23),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3" s="214">
        <f>IFERROR(__xludf.DUMMYFUNCTION("IFERROR(
    VAR.S(
        FILTER(
            INDIRECT(""'"" &amp; $B$17 &amp; ""'!"" &amp; $B23 &amp; "":"" &amp; $B23),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3" s="214">
        <f>IFERROR(__xludf.DUMMYFUNCTION("IFERROR(
    VAR.S(
        FILTER(
            INDIRECT(""'"" &amp; $B$17 &amp; ""'!"" &amp; $B23 &amp; "":"" &amp; $B23),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3" s="214">
        <f>IFERROR(__xludf.DUMMYFUNCTION("IFERROR(
    VAR.S(
        FILTER(
            INDIRECT(""'"" &amp; $B$17 &amp; ""'!"" &amp; $B23 &amp; "":"" &amp; $B23),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3" s="214">
        <f>IFERROR(__xludf.DUMMYFUNCTION("IFERROR(
    VAR.S(
        FILTER(
            INDIRECT(""'"" &amp; $B$17 &amp; ""'!"" &amp; $B23 &amp; "":"" &amp; $B23),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3" s="105">
        <f>IFERROR(__xludf.DUMMYFUNCTION("IFERROR(
    AVERAGE(
        FILTER(
            INDIRECT(""'"" &amp; $B$17 &amp; ""'!"" &amp; $B23 &amp; "":"" &amp; $B23),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3" s="105">
        <f>IFERROR(__xludf.DUMMYFUNCTION("IFERROR(
    AVERAGE(
        FILTER(
            INDIRECT(""'"" &amp; $B$17 &amp; ""'!"" &amp; $B23 &amp; "":"" &amp; $B23),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3" s="105">
        <f>IFERROR(__xludf.DUMMYFUNCTION("IFERROR(
    AVERAGE(
        FILTER(
            INDIRECT(""'"" &amp; $B$17 &amp; ""'!"" &amp; $B23 &amp; "":"" &amp; $B23),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3" s="105">
        <f>IFERROR(__xludf.DUMMYFUNCTION("IFERROR(
    AVERAGE(
        FILTER(
            INDIRECT(""'"" &amp; $B$17 &amp; ""'!"" &amp; $B23 &amp; "":"" &amp; $B23),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3" s="105">
        <f>IFERROR(__xludf.DUMMYFUNCTION("IFERROR(
    AVERAGE(
        FILTER(
            INDIRECT(""'"" &amp; $B$17 &amp; ""'!"" &amp; $B23 &amp; "":"" &amp; $B23),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3" s="106">
        <f t="shared" si="9"/>
        <v>0</v>
      </c>
      <c r="T23" s="106">
        <f t="shared" si="10"/>
        <v>0</v>
      </c>
      <c r="U23" s="106">
        <f t="shared" si="11"/>
        <v>0</v>
      </c>
      <c r="V23" s="106">
        <f t="shared" si="12"/>
        <v>0</v>
      </c>
      <c r="W23" s="106">
        <f t="shared" si="13"/>
        <v>0</v>
      </c>
      <c r="X23" s="106">
        <f t="shared" si="14"/>
        <v>0</v>
      </c>
      <c r="Y23" s="106">
        <f t="shared" si="15"/>
        <v>0</v>
      </c>
      <c r="Z23" s="106">
        <f t="shared" si="16"/>
        <v>0</v>
      </c>
      <c r="AA23" s="106">
        <f t="shared" si="17"/>
        <v>0</v>
      </c>
      <c r="AB23" s="106">
        <f t="shared" si="18"/>
        <v>0</v>
      </c>
      <c r="AC23" s="107">
        <f t="shared" si="19"/>
        <v>0</v>
      </c>
      <c r="AD23" s="107">
        <f t="shared" si="20"/>
        <v>0</v>
      </c>
      <c r="AE23" s="107">
        <f t="shared" si="21"/>
        <v>0</v>
      </c>
      <c r="AF23" s="107">
        <f t="shared" si="22"/>
        <v>0</v>
      </c>
      <c r="AG23" s="107">
        <f t="shared" si="23"/>
        <v>0</v>
      </c>
      <c r="AH23" s="106">
        <f t="shared" si="24"/>
        <v>0</v>
      </c>
      <c r="AI23" s="106">
        <f t="shared" si="25"/>
        <v>0</v>
      </c>
      <c r="AJ23" s="108">
        <f t="shared" si="26"/>
        <v>0</v>
      </c>
      <c r="AK23" s="109">
        <f t="shared" si="27"/>
        <v>0</v>
      </c>
      <c r="AL23" s="110">
        <f t="shared" si="28"/>
        <v>0</v>
      </c>
    </row>
    <row r="24" ht="15.75" customHeight="1">
      <c r="A24" s="103" t="s">
        <v>271</v>
      </c>
      <c r="B24" s="213" t="str">
        <f>'TNT 2015-2022'!B23</f>
        <v>$AK</v>
      </c>
      <c r="C24" s="103">
        <f t="shared" ref="C24:G24" si="3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103">
        <f t="shared" si="31"/>
        <v>0</v>
      </c>
      <c r="E24" s="103">
        <f t="shared" si="31"/>
        <v>0</v>
      </c>
      <c r="F24" s="103">
        <f t="shared" si="31"/>
        <v>0</v>
      </c>
      <c r="G24" s="103">
        <f t="shared" si="31"/>
        <v>0</v>
      </c>
      <c r="H24" s="103">
        <f t="shared" si="8"/>
        <v>0</v>
      </c>
      <c r="I24" s="214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14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14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14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14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105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4" s="105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4" s="105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4" s="105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4" s="105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4" s="106">
        <f t="shared" si="9"/>
        <v>0</v>
      </c>
      <c r="T24" s="106">
        <f t="shared" si="10"/>
        <v>0</v>
      </c>
      <c r="U24" s="106">
        <f t="shared" si="11"/>
        <v>0</v>
      </c>
      <c r="V24" s="106">
        <f t="shared" si="12"/>
        <v>0</v>
      </c>
      <c r="W24" s="106">
        <f t="shared" si="13"/>
        <v>0</v>
      </c>
      <c r="X24" s="106">
        <f t="shared" si="14"/>
        <v>0</v>
      </c>
      <c r="Y24" s="106">
        <f t="shared" si="15"/>
        <v>0</v>
      </c>
      <c r="Z24" s="106">
        <f t="shared" si="16"/>
        <v>0</v>
      </c>
      <c r="AA24" s="106">
        <f t="shared" si="17"/>
        <v>0</v>
      </c>
      <c r="AB24" s="106">
        <f t="shared" si="18"/>
        <v>0</v>
      </c>
      <c r="AC24" s="107">
        <f t="shared" si="19"/>
        <v>0</v>
      </c>
      <c r="AD24" s="107">
        <f t="shared" si="20"/>
        <v>0</v>
      </c>
      <c r="AE24" s="107">
        <f t="shared" si="21"/>
        <v>0</v>
      </c>
      <c r="AF24" s="107">
        <f t="shared" si="22"/>
        <v>0</v>
      </c>
      <c r="AG24" s="107">
        <f t="shared" si="23"/>
        <v>0</v>
      </c>
      <c r="AH24" s="106">
        <f t="shared" si="24"/>
        <v>0</v>
      </c>
      <c r="AI24" s="106">
        <f t="shared" si="25"/>
        <v>0</v>
      </c>
      <c r="AJ24" s="108">
        <f t="shared" si="26"/>
        <v>0</v>
      </c>
      <c r="AK24" s="109">
        <f t="shared" si="27"/>
        <v>0</v>
      </c>
      <c r="AL24" s="110">
        <f t="shared" si="28"/>
        <v>0</v>
      </c>
    </row>
    <row r="25" ht="15.75" customHeight="1">
      <c r="A25" s="103" t="s">
        <v>273</v>
      </c>
      <c r="B25" s="213" t="str">
        <f>'TNT 2015-2022'!B24</f>
        <v>$AL</v>
      </c>
      <c r="C25" s="103">
        <f t="shared" ref="C25:G25" si="32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103">
        <f t="shared" si="32"/>
        <v>0</v>
      </c>
      <c r="E25" s="103">
        <f t="shared" si="32"/>
        <v>0</v>
      </c>
      <c r="F25" s="103">
        <f t="shared" si="32"/>
        <v>0</v>
      </c>
      <c r="G25" s="103">
        <f t="shared" si="32"/>
        <v>0</v>
      </c>
      <c r="H25" s="103">
        <f t="shared" si="8"/>
        <v>0</v>
      </c>
      <c r="I25" s="214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14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14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14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14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105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5" s="105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5" s="105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5" s="105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5" s="105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5" s="106">
        <f t="shared" si="9"/>
        <v>0</v>
      </c>
      <c r="T25" s="106">
        <f t="shared" si="10"/>
        <v>0</v>
      </c>
      <c r="U25" s="106">
        <f t="shared" si="11"/>
        <v>0</v>
      </c>
      <c r="V25" s="106">
        <f t="shared" si="12"/>
        <v>0</v>
      </c>
      <c r="W25" s="106">
        <f t="shared" si="13"/>
        <v>0</v>
      </c>
      <c r="X25" s="106">
        <f t="shared" si="14"/>
        <v>0</v>
      </c>
      <c r="Y25" s="106">
        <f t="shared" si="15"/>
        <v>0</v>
      </c>
      <c r="Z25" s="106">
        <f t="shared" si="16"/>
        <v>0</v>
      </c>
      <c r="AA25" s="106">
        <f t="shared" si="17"/>
        <v>0</v>
      </c>
      <c r="AB25" s="106">
        <f t="shared" si="18"/>
        <v>0</v>
      </c>
      <c r="AC25" s="107">
        <f t="shared" si="19"/>
        <v>0</v>
      </c>
      <c r="AD25" s="107">
        <f t="shared" si="20"/>
        <v>0</v>
      </c>
      <c r="AE25" s="107">
        <f t="shared" si="21"/>
        <v>0</v>
      </c>
      <c r="AF25" s="107">
        <f t="shared" si="22"/>
        <v>0</v>
      </c>
      <c r="AG25" s="107">
        <f t="shared" si="23"/>
        <v>0</v>
      </c>
      <c r="AH25" s="106">
        <f t="shared" si="24"/>
        <v>0</v>
      </c>
      <c r="AI25" s="106">
        <f t="shared" si="25"/>
        <v>0</v>
      </c>
      <c r="AJ25" s="108">
        <f t="shared" si="26"/>
        <v>0</v>
      </c>
      <c r="AK25" s="109">
        <f t="shared" si="27"/>
        <v>0</v>
      </c>
      <c r="AL25" s="110">
        <f t="shared" si="28"/>
        <v>0</v>
      </c>
    </row>
    <row r="26" ht="15.75" customHeight="1">
      <c r="A26" s="103" t="s">
        <v>275</v>
      </c>
      <c r="B26" s="213" t="str">
        <f>'TNT 2015-2022'!B25</f>
        <v>$AM</v>
      </c>
      <c r="C26" s="103">
        <f t="shared" ref="C26:G26" si="33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$A26
)</f>
        <v>0</v>
      </c>
      <c r="D26" s="103">
        <f t="shared" si="33"/>
        <v>0</v>
      </c>
      <c r="E26" s="103">
        <f t="shared" si="33"/>
        <v>0</v>
      </c>
      <c r="F26" s="103">
        <f t="shared" si="33"/>
        <v>0</v>
      </c>
      <c r="G26" s="103">
        <f t="shared" si="33"/>
        <v>0</v>
      </c>
      <c r="H26" s="103">
        <f t="shared" si="8"/>
        <v>0</v>
      </c>
      <c r="I26" s="214">
        <f>IFERROR(__xludf.DUMMYFUNCTION("IFERROR(
    VAR.S(
        FILTER(
            INDIRECT(""'"" &amp; $B$17 &amp; ""'!"" &amp; $B26 &amp; "":"" &amp; $B26),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6" s="214">
        <f>IFERROR(__xludf.DUMMYFUNCTION("IFERROR(
    VAR.S(
        FILTER(
            INDIRECT(""'"" &amp; $B$17 &amp; ""'!"" &amp; $B26 &amp; "":"" &amp; $B26),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6" s="214">
        <f>IFERROR(__xludf.DUMMYFUNCTION("IFERROR(
    VAR.S(
        FILTER(
            INDIRECT(""'"" &amp; $B$17 &amp; ""'!"" &amp; $B26 &amp; "":"" &amp; $B26),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6" s="214">
        <f>IFERROR(__xludf.DUMMYFUNCTION("IFERROR(
    VAR.S(
        FILTER(
            INDIRECT(""'"" &amp; $B$17 &amp; ""'!"" &amp; $B26 &amp; "":"" &amp; $B26),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6" s="214">
        <f>IFERROR(__xludf.DUMMYFUNCTION("IFERROR(
    VAR.S(
        FILTER(
            INDIRECT(""'"" &amp; $B$17 &amp; ""'!"" &amp; $B26 &amp; "":"" &amp; $B26),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6" s="105">
        <f>IFERROR(__xludf.DUMMYFUNCTION("IFERROR(
    AVERAGE(
        FILTER(
            INDIRECT(""'"" &amp; $B$17 &amp; ""'!"" &amp; $B26 &amp; "":"" &amp; $B26),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6" s="105">
        <f>IFERROR(__xludf.DUMMYFUNCTION("IFERROR(
    AVERAGE(
        FILTER(
            INDIRECT(""'"" &amp; $B$17 &amp; ""'!"" &amp; $B26 &amp; "":"" &amp; $B26),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6" s="105">
        <f>IFERROR(__xludf.DUMMYFUNCTION("IFERROR(
    AVERAGE(
        FILTER(
            INDIRECT(""'"" &amp; $B$17 &amp; ""'!"" &amp; $B26 &amp; "":"" &amp; $B26),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6" s="105">
        <f>IFERROR(__xludf.DUMMYFUNCTION("IFERROR(
    AVERAGE(
        FILTER(
            INDIRECT(""'"" &amp; $B$17 &amp; ""'!"" &amp; $B26 &amp; "":"" &amp; $B26),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6" s="105">
        <f>IFERROR(__xludf.DUMMYFUNCTION("IFERROR(
    AVERAGE(
        FILTER(
            INDIRECT(""'"" &amp; $B$17 &amp; ""'!"" &amp; $B26 &amp; "":"" &amp; $B26),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6" s="106">
        <f t="shared" si="9"/>
        <v>0</v>
      </c>
      <c r="T26" s="106">
        <f t="shared" si="10"/>
        <v>0</v>
      </c>
      <c r="U26" s="106">
        <f t="shared" si="11"/>
        <v>0</v>
      </c>
      <c r="V26" s="106">
        <f t="shared" si="12"/>
        <v>0</v>
      </c>
      <c r="W26" s="106">
        <f t="shared" si="13"/>
        <v>0</v>
      </c>
      <c r="X26" s="106">
        <f t="shared" si="14"/>
        <v>0</v>
      </c>
      <c r="Y26" s="106">
        <f t="shared" si="15"/>
        <v>0</v>
      </c>
      <c r="Z26" s="106">
        <f t="shared" si="16"/>
        <v>0</v>
      </c>
      <c r="AA26" s="106">
        <f t="shared" si="17"/>
        <v>0</v>
      </c>
      <c r="AB26" s="106">
        <f t="shared" si="18"/>
        <v>0</v>
      </c>
      <c r="AC26" s="107">
        <f t="shared" si="19"/>
        <v>0</v>
      </c>
      <c r="AD26" s="107">
        <f t="shared" si="20"/>
        <v>0</v>
      </c>
      <c r="AE26" s="107">
        <f t="shared" si="21"/>
        <v>0</v>
      </c>
      <c r="AF26" s="107">
        <f t="shared" si="22"/>
        <v>0</v>
      </c>
      <c r="AG26" s="107">
        <f t="shared" si="23"/>
        <v>0</v>
      </c>
      <c r="AH26" s="106">
        <f t="shared" si="24"/>
        <v>0</v>
      </c>
      <c r="AI26" s="106">
        <f t="shared" si="25"/>
        <v>0</v>
      </c>
      <c r="AJ26" s="108">
        <f t="shared" si="26"/>
        <v>0</v>
      </c>
      <c r="AK26" s="109">
        <f t="shared" si="27"/>
        <v>0</v>
      </c>
      <c r="AL26" s="110">
        <f t="shared" si="28"/>
        <v>0</v>
      </c>
    </row>
    <row r="27" ht="15.75" customHeight="1">
      <c r="A27" s="29"/>
      <c r="B27" s="29"/>
      <c r="C27" s="29"/>
      <c r="D27" s="29"/>
      <c r="E27" s="29"/>
      <c r="F27" s="29"/>
      <c r="G27" s="29"/>
      <c r="H27" s="111">
        <f>SUM(H20:H26)</f>
        <v>0</v>
      </c>
      <c r="I27" s="29"/>
      <c r="J27" s="112"/>
      <c r="K27" s="29"/>
      <c r="L27" s="112"/>
      <c r="M27" s="29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29"/>
      <c r="AD27" s="29"/>
      <c r="AE27" s="29"/>
      <c r="AF27" s="29"/>
      <c r="AG27" s="29"/>
      <c r="AH27" s="112"/>
      <c r="AI27" s="112"/>
      <c r="AJ27" s="113">
        <f>SUM(AJ20:AJ26)</f>
        <v>0</v>
      </c>
      <c r="AK27" s="114"/>
      <c r="AL27" s="29"/>
      <c r="AM27" s="29"/>
      <c r="AN27" s="29"/>
      <c r="AO27" s="29"/>
      <c r="AP27" s="29"/>
      <c r="AQ27" s="29"/>
    </row>
    <row r="28" ht="15.75" customHeight="1">
      <c r="A28" s="116" t="s">
        <v>277</v>
      </c>
      <c r="B28" s="213" t="str">
        <f>'TNT 2015-2022'!B27</f>
        <v>$AN</v>
      </c>
      <c r="C28" s="116">
        <f t="shared" ref="C28:G28" si="34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$A28
)</f>
        <v>0</v>
      </c>
      <c r="D28" s="116">
        <f t="shared" si="34"/>
        <v>0</v>
      </c>
      <c r="E28" s="116">
        <f t="shared" si="34"/>
        <v>0</v>
      </c>
      <c r="F28" s="116">
        <f t="shared" si="34"/>
        <v>0</v>
      </c>
      <c r="G28" s="116">
        <f t="shared" si="34"/>
        <v>0</v>
      </c>
      <c r="H28" s="116">
        <f t="shared" ref="H28:H34" si="36">SUM(C28:G28)</f>
        <v>0</v>
      </c>
      <c r="I28" s="215">
        <f>IFERROR(__xludf.DUMMYFUNCTION("IFERROR(
    VAR.S(
        FILTER(
            INDIRECT(""'"" &amp; $B$17 &amp; ""'!"" &amp; $B28 &amp; "":"" &amp; $B28),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8" s="215">
        <f>IFERROR(__xludf.DUMMYFUNCTION("IFERROR(
    VAR.S(
        FILTER(
            INDIRECT(""'"" &amp; $B$17 &amp; ""'!"" &amp; $B28 &amp; "":"" &amp; $B28),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8" s="215">
        <f>IFERROR(__xludf.DUMMYFUNCTION("IFERROR(
    VAR.S(
        FILTER(
            INDIRECT(""'"" &amp; $B$17 &amp; ""'!"" &amp; $B28 &amp; "":"" &amp; $B28),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8" s="215">
        <f>IFERROR(__xludf.DUMMYFUNCTION("IFERROR(
    VAR.S(
        FILTER(
            INDIRECT(""'"" &amp; $B$17 &amp; ""'!"" &amp; $B28 &amp; "":"" &amp; $B28),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8" s="215">
        <f>IFERROR(__xludf.DUMMYFUNCTION("IFERROR(
    VAR.S(
        FILTER(
            INDIRECT(""'"" &amp; $B$17 &amp; ""'!"" &amp; $B28 &amp; "":"" &amp; $B28),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8" s="118">
        <f>IFERROR(__xludf.DUMMYFUNCTION("IFERROR(
    AVERAGE(
        FILTER(
            INDIRECT(""'"" &amp; $B$17 &amp; ""'!"" &amp; $B28 &amp; "":"" &amp; $B28),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8" s="118">
        <f>IFERROR(__xludf.DUMMYFUNCTION("IFERROR(
    AVERAGE(
        FILTER(
            INDIRECT(""'"" &amp; $B$17 &amp; ""'!"" &amp; $B28 &amp; "":"" &amp; $B28),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8" s="118">
        <f>IFERROR(__xludf.DUMMYFUNCTION("IFERROR(
    AVERAGE(
        FILTER(
            INDIRECT(""'"" &amp; $B$17 &amp; ""'!"" &amp; $B28 &amp; "":"" &amp; $B28),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8" s="118">
        <f>IFERROR(__xludf.DUMMYFUNCTION("IFERROR(
    AVERAGE(
        FILTER(
            INDIRECT(""'"" &amp; $B$17 &amp; ""'!"" &amp; $B28 &amp; "":"" &amp; $B28),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8" s="118">
        <f>IFERROR(__xludf.DUMMYFUNCTION("IFERROR(
    AVERAGE(
        FILTER(
            INDIRECT(""'"" &amp; $B$17 &amp; ""'!"" &amp; $B28 &amp; "":"" &amp; $B28),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8" s="119">
        <f t="shared" ref="S28:S34" si="37">($B$6^2*I28)^0.5</f>
        <v>0</v>
      </c>
      <c r="T28" s="119">
        <f t="shared" ref="T28:T34" si="38">($B$7^2*J28)^0.5</f>
        <v>0</v>
      </c>
      <c r="U28" s="119">
        <f t="shared" ref="U28:U34" si="39">($B$8^2*K28)^0.5</f>
        <v>0</v>
      </c>
      <c r="V28" s="119">
        <f t="shared" ref="V28:V34" si="40">($B$9^2*L28)^0.5</f>
        <v>0</v>
      </c>
      <c r="W28" s="119">
        <f t="shared" ref="W28:W34" si="41">($B$10^2*M28)^0.5</f>
        <v>0</v>
      </c>
      <c r="X28" s="119">
        <f t="shared" ref="X28:X34" si="42">N28*$B$6</f>
        <v>0</v>
      </c>
      <c r="Y28" s="119">
        <f t="shared" ref="Y28:Y34" si="43">O28*$B$7</f>
        <v>0</v>
      </c>
      <c r="Z28" s="119">
        <f t="shared" ref="Z28:Z34" si="44">P28*$B$8</f>
        <v>0</v>
      </c>
      <c r="AA28" s="119">
        <f t="shared" ref="AA28:AA34" si="45">Q28*$B$9</f>
        <v>0</v>
      </c>
      <c r="AB28" s="119">
        <f t="shared" ref="AB28:AB34" si="46">R28*$B$10</f>
        <v>0</v>
      </c>
      <c r="AC28" s="117">
        <f t="shared" ref="AC28:AC34" si="47">N28*$C$6</f>
        <v>0</v>
      </c>
      <c r="AD28" s="117">
        <f t="shared" ref="AD28:AD34" si="48">O28*$C$7</f>
        <v>0</v>
      </c>
      <c r="AE28" s="117">
        <f t="shared" ref="AE28:AE34" si="49">P28*$C$8</f>
        <v>0</v>
      </c>
      <c r="AF28" s="117">
        <f t="shared" ref="AF28:AF34" si="50">Q28*$C$9</f>
        <v>0</v>
      </c>
      <c r="AG28" s="117">
        <f t="shared" ref="AG28:AG34" si="51">R28*$C$10</f>
        <v>0</v>
      </c>
      <c r="AH28" s="119">
        <f t="shared" ref="AH28:AH34" si="52">(S28*S28+T28*T28+U28*U28+V28*V28+W28*W28)^0.5</f>
        <v>0</v>
      </c>
      <c r="AI28" s="119">
        <f t="shared" ref="AI28:AI34" si="53">AH28*$B$15</f>
        <v>0</v>
      </c>
      <c r="AJ28" s="120">
        <f t="shared" ref="AJ28:AJ34" si="54">SUM(X28:AB28)</f>
        <v>0</v>
      </c>
      <c r="AK28" s="121">
        <f t="shared" ref="AK28:AK34" si="55">IF(AI28=0,0,AI28/AJ28)</f>
        <v>0</v>
      </c>
      <c r="AL28" s="122">
        <f t="shared" ref="AL28:AL34" si="56">AJ28/$B$2</f>
        <v>0</v>
      </c>
      <c r="AM28" s="123"/>
      <c r="AN28" s="123"/>
      <c r="AO28" s="123"/>
      <c r="AP28" s="123"/>
      <c r="AQ28" s="123"/>
    </row>
    <row r="29" ht="15.75" customHeight="1">
      <c r="A29" s="116" t="s">
        <v>280</v>
      </c>
      <c r="B29" s="212" t="str">
        <f>'TNT 2015-2022'!B28</f>
        <v>$AO</v>
      </c>
      <c r="C29" s="116">
        <f t="shared" ref="C29:G29" si="3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$A29
)</f>
        <v>0</v>
      </c>
      <c r="D29" s="116">
        <f t="shared" si="35"/>
        <v>0</v>
      </c>
      <c r="E29" s="116">
        <f t="shared" si="35"/>
        <v>0</v>
      </c>
      <c r="F29" s="116">
        <f t="shared" si="35"/>
        <v>0</v>
      </c>
      <c r="G29" s="116">
        <f t="shared" si="35"/>
        <v>0</v>
      </c>
      <c r="H29" s="116">
        <f t="shared" si="36"/>
        <v>0</v>
      </c>
      <c r="I29" s="215">
        <f>IFERROR(__xludf.DUMMYFUNCTION("IFERROR(
    VAR.S(
        FILTER(
            INDIRECT(""'"" &amp; $B$17 &amp; ""'!"" &amp; $B29 &amp; "":"" &amp; $B29),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9" s="215">
        <f>IFERROR(__xludf.DUMMYFUNCTION("IFERROR(
    VAR.S(
        FILTER(
            INDIRECT(""'"" &amp; $B$17 &amp; ""'!"" &amp; $B29 &amp; "":"" &amp; $B29),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9" s="215">
        <f>IFERROR(__xludf.DUMMYFUNCTION("IFERROR(
    VAR.S(
        FILTER(
            INDIRECT(""'"" &amp; $B$17 &amp; ""'!"" &amp; $B29 &amp; "":"" &amp; $B29),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9" s="215">
        <f>IFERROR(__xludf.DUMMYFUNCTION("IFERROR(
    VAR.S(
        FILTER(
            INDIRECT(""'"" &amp; $B$17 &amp; ""'!"" &amp; $B29 &amp; "":"" &amp; $B29),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9" s="215">
        <f>IFERROR(__xludf.DUMMYFUNCTION("IFERROR(
    VAR.S(
        FILTER(
            INDIRECT(""'"" &amp; $B$17 &amp; ""'!"" &amp; $B29 &amp; "":"" &amp; $B29),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9" s="118">
        <f>IFERROR(__xludf.DUMMYFUNCTION("IFERROR(
    AVERAGE(
        FILTER(
            INDIRECT(""'"" &amp; $B$17 &amp; ""'!"" &amp; $B29 &amp; "":"" &amp; $B29),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29" s="118">
        <f>IFERROR(__xludf.DUMMYFUNCTION("IFERROR(
    AVERAGE(
        FILTER(
            INDIRECT(""'"" &amp; $B$17 &amp; ""'!"" &amp; $B29 &amp; "":"" &amp; $B29),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29" s="118">
        <f>IFERROR(__xludf.DUMMYFUNCTION("IFERROR(
    AVERAGE(
        FILTER(
            INDIRECT(""'"" &amp; $B$17 &amp; ""'!"" &amp; $B29 &amp; "":"" &amp; $B29),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29" s="118">
        <f>IFERROR(__xludf.DUMMYFUNCTION("IFERROR(
    AVERAGE(
        FILTER(
            INDIRECT(""'"" &amp; $B$17 &amp; ""'!"" &amp; $B29 &amp; "":"" &amp; $B29),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29" s="118">
        <f>IFERROR(__xludf.DUMMYFUNCTION("IFERROR(
    AVERAGE(
        FILTER(
            INDIRECT(""'"" &amp; $B$17 &amp; ""'!"" &amp; $B29 &amp; "":"" &amp; $B29),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29" s="119">
        <f t="shared" si="37"/>
        <v>0</v>
      </c>
      <c r="T29" s="119">
        <f t="shared" si="38"/>
        <v>0</v>
      </c>
      <c r="U29" s="119">
        <f t="shared" si="39"/>
        <v>0</v>
      </c>
      <c r="V29" s="119">
        <f t="shared" si="40"/>
        <v>0</v>
      </c>
      <c r="W29" s="119">
        <f t="shared" si="41"/>
        <v>0</v>
      </c>
      <c r="X29" s="119">
        <f t="shared" si="42"/>
        <v>0</v>
      </c>
      <c r="Y29" s="119">
        <f t="shared" si="43"/>
        <v>0</v>
      </c>
      <c r="Z29" s="119">
        <f t="shared" si="44"/>
        <v>0</v>
      </c>
      <c r="AA29" s="119">
        <f t="shared" si="45"/>
        <v>0</v>
      </c>
      <c r="AB29" s="119">
        <f t="shared" si="46"/>
        <v>0</v>
      </c>
      <c r="AC29" s="117">
        <f t="shared" si="47"/>
        <v>0</v>
      </c>
      <c r="AD29" s="117">
        <f t="shared" si="48"/>
        <v>0</v>
      </c>
      <c r="AE29" s="117">
        <f t="shared" si="49"/>
        <v>0</v>
      </c>
      <c r="AF29" s="117">
        <f t="shared" si="50"/>
        <v>0</v>
      </c>
      <c r="AG29" s="117">
        <f t="shared" si="51"/>
        <v>0</v>
      </c>
      <c r="AH29" s="119">
        <f t="shared" si="52"/>
        <v>0</v>
      </c>
      <c r="AI29" s="119">
        <f t="shared" si="53"/>
        <v>0</v>
      </c>
      <c r="AJ29" s="120">
        <f t="shared" si="54"/>
        <v>0</v>
      </c>
      <c r="AK29" s="121">
        <f t="shared" si="55"/>
        <v>0</v>
      </c>
      <c r="AL29" s="122">
        <f t="shared" si="56"/>
        <v>0</v>
      </c>
      <c r="AM29" s="123"/>
      <c r="AN29" s="123"/>
      <c r="AO29" s="123"/>
      <c r="AP29" s="123"/>
      <c r="AQ29" s="123"/>
    </row>
    <row r="30" ht="15.75" customHeight="1">
      <c r="A30" s="116" t="s">
        <v>282</v>
      </c>
      <c r="B30" s="212" t="str">
        <f>'TNT 2015-2022'!B29</f>
        <v>$AP</v>
      </c>
      <c r="C30" s="116">
        <f t="shared" ref="C30:G30" si="5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$A30
)</f>
        <v>0</v>
      </c>
      <c r="D30" s="116">
        <f t="shared" si="57"/>
        <v>0</v>
      </c>
      <c r="E30" s="116">
        <f t="shared" si="57"/>
        <v>0</v>
      </c>
      <c r="F30" s="116">
        <f t="shared" si="57"/>
        <v>0</v>
      </c>
      <c r="G30" s="116">
        <f t="shared" si="57"/>
        <v>0</v>
      </c>
      <c r="H30" s="116">
        <f t="shared" si="36"/>
        <v>0</v>
      </c>
      <c r="I30" s="215">
        <f>IFERROR(__xludf.DUMMYFUNCTION("IFERROR(
    VAR.S(
        FILTER(
            INDIRECT(""'"" &amp; $B$17 &amp; ""'!"" &amp; $B30 &amp; "":"" &amp; $B30),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0" s="215">
        <f>IFERROR(__xludf.DUMMYFUNCTION("IFERROR(
    VAR.S(
        FILTER(
            INDIRECT(""'"" &amp; $B$17 &amp; ""'!"" &amp; $B30 &amp; "":"" &amp; $B30),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0" s="215">
        <f>IFERROR(__xludf.DUMMYFUNCTION("IFERROR(
    VAR.S(
        FILTER(
            INDIRECT(""'"" &amp; $B$17 &amp; ""'!"" &amp; $B30 &amp; "":"" &amp; $B30),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0" s="215">
        <f>IFERROR(__xludf.DUMMYFUNCTION("IFERROR(
    VAR.S(
        FILTER(
            INDIRECT(""'"" &amp; $B$17 &amp; ""'!"" &amp; $B30 &amp; "":"" &amp; $B30),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0" s="215">
        <f>IFERROR(__xludf.DUMMYFUNCTION("IFERROR(
    VAR.S(
        FILTER(
            INDIRECT(""'"" &amp; $B$17 &amp; ""'!"" &amp; $B30 &amp; "":"" &amp; $B30),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0" s="118">
        <f>IFERROR(__xludf.DUMMYFUNCTION("IFERROR(
    AVERAGE(
        FILTER(
            INDIRECT(""'"" &amp; $B$17 &amp; ""'!"" &amp; $B30 &amp; "":"" &amp; $B30),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0" s="118">
        <f>IFERROR(__xludf.DUMMYFUNCTION("IFERROR(
    AVERAGE(
        FILTER(
            INDIRECT(""'"" &amp; $B$17 &amp; ""'!"" &amp; $B30 &amp; "":"" &amp; $B30),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0" s="118">
        <f>IFERROR(__xludf.DUMMYFUNCTION("IFERROR(
    AVERAGE(
        FILTER(
            INDIRECT(""'"" &amp; $B$17 &amp; ""'!"" &amp; $B30 &amp; "":"" &amp; $B30),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0" s="118">
        <f>IFERROR(__xludf.DUMMYFUNCTION("IFERROR(
    AVERAGE(
        FILTER(
            INDIRECT(""'"" &amp; $B$17 &amp; ""'!"" &amp; $B30 &amp; "":"" &amp; $B30),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0" s="118">
        <f>IFERROR(__xludf.DUMMYFUNCTION("IFERROR(
    AVERAGE(
        FILTER(
            INDIRECT(""'"" &amp; $B$17 &amp; ""'!"" &amp; $B30 &amp; "":"" &amp; $B30),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0" s="119">
        <f t="shared" si="37"/>
        <v>0</v>
      </c>
      <c r="T30" s="119">
        <f t="shared" si="38"/>
        <v>0</v>
      </c>
      <c r="U30" s="119">
        <f t="shared" si="39"/>
        <v>0</v>
      </c>
      <c r="V30" s="119">
        <f t="shared" si="40"/>
        <v>0</v>
      </c>
      <c r="W30" s="119">
        <f t="shared" si="41"/>
        <v>0</v>
      </c>
      <c r="X30" s="119">
        <f t="shared" si="42"/>
        <v>0</v>
      </c>
      <c r="Y30" s="119">
        <f t="shared" si="43"/>
        <v>0</v>
      </c>
      <c r="Z30" s="119">
        <f t="shared" si="44"/>
        <v>0</v>
      </c>
      <c r="AA30" s="119">
        <f t="shared" si="45"/>
        <v>0</v>
      </c>
      <c r="AB30" s="119">
        <f t="shared" si="46"/>
        <v>0</v>
      </c>
      <c r="AC30" s="117">
        <f t="shared" si="47"/>
        <v>0</v>
      </c>
      <c r="AD30" s="117">
        <f t="shared" si="48"/>
        <v>0</v>
      </c>
      <c r="AE30" s="117">
        <f t="shared" si="49"/>
        <v>0</v>
      </c>
      <c r="AF30" s="117">
        <f t="shared" si="50"/>
        <v>0</v>
      </c>
      <c r="AG30" s="117">
        <f t="shared" si="51"/>
        <v>0</v>
      </c>
      <c r="AH30" s="119">
        <f t="shared" si="52"/>
        <v>0</v>
      </c>
      <c r="AI30" s="119">
        <f t="shared" si="53"/>
        <v>0</v>
      </c>
      <c r="AJ30" s="120">
        <f t="shared" si="54"/>
        <v>0</v>
      </c>
      <c r="AK30" s="121">
        <f t="shared" si="55"/>
        <v>0</v>
      </c>
      <c r="AL30" s="122">
        <f t="shared" si="56"/>
        <v>0</v>
      </c>
      <c r="AM30" s="123"/>
      <c r="AN30" s="123"/>
      <c r="AO30" s="123"/>
      <c r="AP30" s="123"/>
      <c r="AQ30" s="123"/>
    </row>
    <row r="31" ht="15.75" customHeight="1">
      <c r="A31" s="116" t="s">
        <v>284</v>
      </c>
      <c r="B31" s="212" t="str">
        <f>'TNT 2015-2022'!B30</f>
        <v>$AQ</v>
      </c>
      <c r="C31" s="116">
        <f t="shared" ref="C31:G31" si="5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$A31
)</f>
        <v>0</v>
      </c>
      <c r="D31" s="116">
        <f t="shared" si="58"/>
        <v>0</v>
      </c>
      <c r="E31" s="116">
        <f t="shared" si="58"/>
        <v>0</v>
      </c>
      <c r="F31" s="116">
        <f t="shared" si="58"/>
        <v>0</v>
      </c>
      <c r="G31" s="116">
        <f t="shared" si="58"/>
        <v>0</v>
      </c>
      <c r="H31" s="116">
        <f t="shared" si="36"/>
        <v>0</v>
      </c>
      <c r="I31" s="215">
        <f>IFERROR(__xludf.DUMMYFUNCTION("IFERROR(
    VAR.S(
        FILTER(
            INDIRECT(""'"" &amp; $B$17 &amp; ""'!"" &amp; $B31 &amp; "":"" &amp; $B31),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1" s="215">
        <f>IFERROR(__xludf.DUMMYFUNCTION("IFERROR(
    VAR.S(
        FILTER(
            INDIRECT(""'"" &amp; $B$17 &amp; ""'!"" &amp; $B31 &amp; "":"" &amp; $B31),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1" s="215">
        <f>IFERROR(__xludf.DUMMYFUNCTION("IFERROR(
    VAR.S(
        FILTER(
            INDIRECT(""'"" &amp; $B$17 &amp; ""'!"" &amp; $B31 &amp; "":"" &amp; $B31),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1" s="215">
        <f>IFERROR(__xludf.DUMMYFUNCTION("IFERROR(
    VAR.S(
        FILTER(
            INDIRECT(""'"" &amp; $B$17 &amp; ""'!"" &amp; $B31 &amp; "":"" &amp; $B31),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1" s="215">
        <f>IFERROR(__xludf.DUMMYFUNCTION("IFERROR(
    VAR.S(
        FILTER(
            INDIRECT(""'"" &amp; $B$17 &amp; ""'!"" &amp; $B31 &amp; "":"" &amp; $B31),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1" s="118">
        <f>IFERROR(__xludf.DUMMYFUNCTION("IFERROR(
    AVERAGE(
        FILTER(
            INDIRECT(""'"" &amp; $B$17 &amp; ""'!"" &amp; $B31 &amp; "":"" &amp; $B31),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1" s="118">
        <f>IFERROR(__xludf.DUMMYFUNCTION("IFERROR(
    AVERAGE(
        FILTER(
            INDIRECT(""'"" &amp; $B$17 &amp; ""'!"" &amp; $B31 &amp; "":"" &amp; $B31),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1" s="118">
        <f>IFERROR(__xludf.DUMMYFUNCTION("IFERROR(
    AVERAGE(
        FILTER(
            INDIRECT(""'"" &amp; $B$17 &amp; ""'!"" &amp; $B31 &amp; "":"" &amp; $B31),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1" s="118">
        <f>IFERROR(__xludf.DUMMYFUNCTION("IFERROR(
    AVERAGE(
        FILTER(
            INDIRECT(""'"" &amp; $B$17 &amp; ""'!"" &amp; $B31 &amp; "":"" &amp; $B31),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1" s="118">
        <f>IFERROR(__xludf.DUMMYFUNCTION("IFERROR(
    AVERAGE(
        FILTER(
            INDIRECT(""'"" &amp; $B$17 &amp; ""'!"" &amp; $B31 &amp; "":"" &amp; $B31),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1" s="119">
        <f t="shared" si="37"/>
        <v>0</v>
      </c>
      <c r="T31" s="119">
        <f t="shared" si="38"/>
        <v>0</v>
      </c>
      <c r="U31" s="119">
        <f t="shared" si="39"/>
        <v>0</v>
      </c>
      <c r="V31" s="119">
        <f t="shared" si="40"/>
        <v>0</v>
      </c>
      <c r="W31" s="119">
        <f t="shared" si="41"/>
        <v>0</v>
      </c>
      <c r="X31" s="119">
        <f t="shared" si="42"/>
        <v>0</v>
      </c>
      <c r="Y31" s="119">
        <f t="shared" si="43"/>
        <v>0</v>
      </c>
      <c r="Z31" s="119">
        <f t="shared" si="44"/>
        <v>0</v>
      </c>
      <c r="AA31" s="119">
        <f t="shared" si="45"/>
        <v>0</v>
      </c>
      <c r="AB31" s="119">
        <f t="shared" si="46"/>
        <v>0</v>
      </c>
      <c r="AC31" s="117">
        <f t="shared" si="47"/>
        <v>0</v>
      </c>
      <c r="AD31" s="117">
        <f t="shared" si="48"/>
        <v>0</v>
      </c>
      <c r="AE31" s="117">
        <f t="shared" si="49"/>
        <v>0</v>
      </c>
      <c r="AF31" s="117">
        <f t="shared" si="50"/>
        <v>0</v>
      </c>
      <c r="AG31" s="117">
        <f t="shared" si="51"/>
        <v>0</v>
      </c>
      <c r="AH31" s="119">
        <f t="shared" si="52"/>
        <v>0</v>
      </c>
      <c r="AI31" s="119">
        <f t="shared" si="53"/>
        <v>0</v>
      </c>
      <c r="AJ31" s="120">
        <f t="shared" si="54"/>
        <v>0</v>
      </c>
      <c r="AK31" s="121">
        <f t="shared" si="55"/>
        <v>0</v>
      </c>
      <c r="AL31" s="122">
        <f t="shared" si="56"/>
        <v>0</v>
      </c>
      <c r="AM31" s="123"/>
      <c r="AN31" s="123"/>
      <c r="AO31" s="123"/>
      <c r="AP31" s="123"/>
      <c r="AQ31" s="123"/>
    </row>
    <row r="32" ht="15.75" customHeight="1">
      <c r="A32" s="116" t="s">
        <v>286</v>
      </c>
      <c r="B32" s="212" t="str">
        <f>'TNT 2015-2022'!B31</f>
        <v>$AR</v>
      </c>
      <c r="C32" s="116">
        <f t="shared" ref="C32:G32" si="59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$A32
)</f>
        <v>0</v>
      </c>
      <c r="D32" s="116">
        <f t="shared" si="59"/>
        <v>0</v>
      </c>
      <c r="E32" s="116">
        <f t="shared" si="59"/>
        <v>0</v>
      </c>
      <c r="F32" s="116">
        <f t="shared" si="59"/>
        <v>0</v>
      </c>
      <c r="G32" s="116">
        <f t="shared" si="59"/>
        <v>0</v>
      </c>
      <c r="H32" s="116">
        <f t="shared" si="36"/>
        <v>0</v>
      </c>
      <c r="I32" s="215">
        <f>IFERROR(__xludf.DUMMYFUNCTION("IFERROR(
    VAR.S(
        FILTER(
            INDIRECT(""'"" &amp; $B$17 &amp; ""'!"" &amp; $B32 &amp; "":"" &amp; $B32),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2" s="215">
        <f>IFERROR(__xludf.DUMMYFUNCTION("IFERROR(
    VAR.S(
        FILTER(
            INDIRECT(""'"" &amp; $B$17 &amp; ""'!"" &amp; $B32 &amp; "":"" &amp; $B32),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2" s="215">
        <f>IFERROR(__xludf.DUMMYFUNCTION("IFERROR(
    VAR.S(
        FILTER(
            INDIRECT(""'"" &amp; $B$17 &amp; ""'!"" &amp; $B32 &amp; "":"" &amp; $B32),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2" s="215">
        <f>IFERROR(__xludf.DUMMYFUNCTION("IFERROR(
    VAR.S(
        FILTER(
            INDIRECT(""'"" &amp; $B$17 &amp; ""'!"" &amp; $B32 &amp; "":"" &amp; $B32),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2" s="215">
        <f>IFERROR(__xludf.DUMMYFUNCTION("IFERROR(
    VAR.S(
        FILTER(
            INDIRECT(""'"" &amp; $B$17 &amp; ""'!"" &amp; $B32 &amp; "":"" &amp; $B32),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2" s="118">
        <f>IFERROR(__xludf.DUMMYFUNCTION("IFERROR(
    AVERAGE(
        FILTER(
            INDIRECT(""'"" &amp; $B$17 &amp; ""'!"" &amp; $B32 &amp; "":"" &amp; $B32),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2" s="118">
        <f>IFERROR(__xludf.DUMMYFUNCTION("IFERROR(
    AVERAGE(
        FILTER(
            INDIRECT(""'"" &amp; $B$17 &amp; ""'!"" &amp; $B32 &amp; "":"" &amp; $B32),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2" s="118">
        <f>IFERROR(__xludf.DUMMYFUNCTION("IFERROR(
    AVERAGE(
        FILTER(
            INDIRECT(""'"" &amp; $B$17 &amp; ""'!"" &amp; $B32 &amp; "":"" &amp; $B32),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2" s="118">
        <f>IFERROR(__xludf.DUMMYFUNCTION("IFERROR(
    AVERAGE(
        FILTER(
            INDIRECT(""'"" &amp; $B$17 &amp; ""'!"" &amp; $B32 &amp; "":"" &amp; $B32),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2" s="118">
        <f>IFERROR(__xludf.DUMMYFUNCTION("IFERROR(
    AVERAGE(
        FILTER(
            INDIRECT(""'"" &amp; $B$17 &amp; ""'!"" &amp; $B32 &amp; "":"" &amp; $B32),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2" s="119">
        <f t="shared" si="37"/>
        <v>0</v>
      </c>
      <c r="T32" s="119">
        <f t="shared" si="38"/>
        <v>0</v>
      </c>
      <c r="U32" s="119">
        <f t="shared" si="39"/>
        <v>0</v>
      </c>
      <c r="V32" s="119">
        <f t="shared" si="40"/>
        <v>0</v>
      </c>
      <c r="W32" s="119">
        <f t="shared" si="41"/>
        <v>0</v>
      </c>
      <c r="X32" s="119">
        <f t="shared" si="42"/>
        <v>0</v>
      </c>
      <c r="Y32" s="119">
        <f t="shared" si="43"/>
        <v>0</v>
      </c>
      <c r="Z32" s="119">
        <f t="shared" si="44"/>
        <v>0</v>
      </c>
      <c r="AA32" s="119">
        <f t="shared" si="45"/>
        <v>0</v>
      </c>
      <c r="AB32" s="119">
        <f t="shared" si="46"/>
        <v>0</v>
      </c>
      <c r="AC32" s="117">
        <f t="shared" si="47"/>
        <v>0</v>
      </c>
      <c r="AD32" s="117">
        <f t="shared" si="48"/>
        <v>0</v>
      </c>
      <c r="AE32" s="117">
        <f t="shared" si="49"/>
        <v>0</v>
      </c>
      <c r="AF32" s="117">
        <f t="shared" si="50"/>
        <v>0</v>
      </c>
      <c r="AG32" s="117">
        <f t="shared" si="51"/>
        <v>0</v>
      </c>
      <c r="AH32" s="119">
        <f t="shared" si="52"/>
        <v>0</v>
      </c>
      <c r="AI32" s="119">
        <f t="shared" si="53"/>
        <v>0</v>
      </c>
      <c r="AJ32" s="120">
        <f t="shared" si="54"/>
        <v>0</v>
      </c>
      <c r="AK32" s="121">
        <f t="shared" si="55"/>
        <v>0</v>
      </c>
      <c r="AL32" s="122">
        <f t="shared" si="56"/>
        <v>0</v>
      </c>
      <c r="AM32" s="123"/>
      <c r="AN32" s="123"/>
      <c r="AO32" s="123"/>
      <c r="AP32" s="123"/>
      <c r="AQ32" s="123"/>
    </row>
    <row r="33" ht="15.75" customHeight="1">
      <c r="A33" s="116" t="s">
        <v>288</v>
      </c>
      <c r="B33" s="212" t="str">
        <f>'TNT 2015-2022'!B32</f>
        <v>$AS</v>
      </c>
      <c r="C33" s="116">
        <f t="shared" ref="C33:G33" si="60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$A33
)</f>
        <v>0</v>
      </c>
      <c r="D33" s="116">
        <f t="shared" si="60"/>
        <v>0</v>
      </c>
      <c r="E33" s="116">
        <f t="shared" si="60"/>
        <v>0</v>
      </c>
      <c r="F33" s="116">
        <f t="shared" si="60"/>
        <v>0</v>
      </c>
      <c r="G33" s="116">
        <f t="shared" si="60"/>
        <v>0</v>
      </c>
      <c r="H33" s="116">
        <f t="shared" si="36"/>
        <v>0</v>
      </c>
      <c r="I33" s="215">
        <f>IFERROR(__xludf.DUMMYFUNCTION("IFERROR(
    VAR.S(
        FILTER(
            INDIRECT(""'"" &amp; $B$17 &amp; ""'!"" &amp; $B33 &amp; "":"" &amp; $B33),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3" s="215">
        <f>IFERROR(__xludf.DUMMYFUNCTION("IFERROR(
    VAR.S(
        FILTER(
            INDIRECT(""'"" &amp; $B$17 &amp; ""'!"" &amp; $B33 &amp; "":"" &amp; $B33),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3" s="215">
        <f>IFERROR(__xludf.DUMMYFUNCTION("IFERROR(
    VAR.S(
        FILTER(
            INDIRECT(""'"" &amp; $B$17 &amp; ""'!"" &amp; $B33 &amp; "":"" &amp; $B33),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3" s="215">
        <f>IFERROR(__xludf.DUMMYFUNCTION("IFERROR(
    VAR.S(
        FILTER(
            INDIRECT(""'"" &amp; $B$17 &amp; ""'!"" &amp; $B33 &amp; "":"" &amp; $B33),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3" s="215">
        <f>IFERROR(__xludf.DUMMYFUNCTION("IFERROR(
    VAR.S(
        FILTER(
            INDIRECT(""'"" &amp; $B$17 &amp; ""'!"" &amp; $B33 &amp; "":"" &amp; $B33),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3" s="118">
        <f>IFERROR(__xludf.DUMMYFUNCTION("IFERROR(
    AVERAGE(
        FILTER(
            INDIRECT(""'"" &amp; $B$17 &amp; ""'!"" &amp; $B33 &amp; "":"" &amp; $B33),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3" s="118">
        <f>IFERROR(__xludf.DUMMYFUNCTION("IFERROR(
    AVERAGE(
        FILTER(
            INDIRECT(""'"" &amp; $B$17 &amp; ""'!"" &amp; $B33 &amp; "":"" &amp; $B33),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3" s="118">
        <f>IFERROR(__xludf.DUMMYFUNCTION("IFERROR(
    AVERAGE(
        FILTER(
            INDIRECT(""'"" &amp; $B$17 &amp; ""'!"" &amp; $B33 &amp; "":"" &amp; $B33),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3" s="118">
        <f>IFERROR(__xludf.DUMMYFUNCTION("IFERROR(
    AVERAGE(
        FILTER(
            INDIRECT(""'"" &amp; $B$17 &amp; ""'!"" &amp; $B33 &amp; "":"" &amp; $B33),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3" s="118">
        <f>IFERROR(__xludf.DUMMYFUNCTION("IFERROR(
    AVERAGE(
        FILTER(
            INDIRECT(""'"" &amp; $B$17 &amp; ""'!"" &amp; $B33 &amp; "":"" &amp; $B33),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3" s="119">
        <f t="shared" si="37"/>
        <v>0</v>
      </c>
      <c r="T33" s="119">
        <f t="shared" si="38"/>
        <v>0</v>
      </c>
      <c r="U33" s="119">
        <f t="shared" si="39"/>
        <v>0</v>
      </c>
      <c r="V33" s="119">
        <f t="shared" si="40"/>
        <v>0</v>
      </c>
      <c r="W33" s="119">
        <f t="shared" si="41"/>
        <v>0</v>
      </c>
      <c r="X33" s="119">
        <f t="shared" si="42"/>
        <v>0</v>
      </c>
      <c r="Y33" s="119">
        <f t="shared" si="43"/>
        <v>0</v>
      </c>
      <c r="Z33" s="119">
        <f t="shared" si="44"/>
        <v>0</v>
      </c>
      <c r="AA33" s="119">
        <f t="shared" si="45"/>
        <v>0</v>
      </c>
      <c r="AB33" s="119">
        <f t="shared" si="46"/>
        <v>0</v>
      </c>
      <c r="AC33" s="117">
        <f t="shared" si="47"/>
        <v>0</v>
      </c>
      <c r="AD33" s="117">
        <f t="shared" si="48"/>
        <v>0</v>
      </c>
      <c r="AE33" s="117">
        <f t="shared" si="49"/>
        <v>0</v>
      </c>
      <c r="AF33" s="117">
        <f t="shared" si="50"/>
        <v>0</v>
      </c>
      <c r="AG33" s="117">
        <f t="shared" si="51"/>
        <v>0</v>
      </c>
      <c r="AH33" s="119">
        <f t="shared" si="52"/>
        <v>0</v>
      </c>
      <c r="AI33" s="119">
        <f t="shared" si="53"/>
        <v>0</v>
      </c>
      <c r="AJ33" s="120">
        <f t="shared" si="54"/>
        <v>0</v>
      </c>
      <c r="AK33" s="121">
        <f t="shared" si="55"/>
        <v>0</v>
      </c>
      <c r="AL33" s="122">
        <f t="shared" si="56"/>
        <v>0</v>
      </c>
      <c r="AM33" s="123"/>
      <c r="AN33" s="123"/>
      <c r="AO33" s="123"/>
      <c r="AP33" s="123"/>
      <c r="AQ33" s="123"/>
    </row>
    <row r="34" ht="15.75" customHeight="1">
      <c r="A34" s="116" t="s">
        <v>290</v>
      </c>
      <c r="B34" s="212" t="str">
        <f>'TNT 2015-2022'!B33</f>
        <v>$AT</v>
      </c>
      <c r="C34" s="116">
        <f t="shared" ref="C34:G34" si="61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$A34
)</f>
        <v>0</v>
      </c>
      <c r="D34" s="116">
        <f t="shared" si="61"/>
        <v>0</v>
      </c>
      <c r="E34" s="116">
        <f t="shared" si="61"/>
        <v>0</v>
      </c>
      <c r="F34" s="116">
        <f t="shared" si="61"/>
        <v>0</v>
      </c>
      <c r="G34" s="116">
        <f t="shared" si="61"/>
        <v>0</v>
      </c>
      <c r="H34" s="116">
        <f t="shared" si="36"/>
        <v>0</v>
      </c>
      <c r="I34" s="215">
        <f>IFERROR(__xludf.DUMMYFUNCTION("IFERROR(
    VAR.S(
        FILTER(
            INDIRECT(""'"" &amp; $B$17 &amp; ""'!"" &amp; $B34 &amp; "":"" &amp; $B34),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4" s="215">
        <f>IFERROR(__xludf.DUMMYFUNCTION("IFERROR(
    VAR.S(
        FILTER(
            INDIRECT(""'"" &amp; $B$17 &amp; ""'!"" &amp; $B34 &amp; "":"" &amp; $B34),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4" s="215">
        <f>IFERROR(__xludf.DUMMYFUNCTION("IFERROR(
    VAR.S(
        FILTER(
            INDIRECT(""'"" &amp; $B$17 &amp; ""'!"" &amp; $B34 &amp; "":"" &amp; $B34),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4" s="215">
        <f>IFERROR(__xludf.DUMMYFUNCTION("IFERROR(
    VAR.S(
        FILTER(
            INDIRECT(""'"" &amp; $B$17 &amp; ""'!"" &amp; $B34 &amp; "":"" &amp; $B34),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4" s="215">
        <f>IFERROR(__xludf.DUMMYFUNCTION("IFERROR(
    VAR.S(
        FILTER(
            INDIRECT(""'"" &amp; $B$17 &amp; ""'!"" &amp; $B34 &amp; "":"" &amp; $B34),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4" s="118">
        <f>IFERROR(__xludf.DUMMYFUNCTION("IFERROR(
    AVERAGE(
        FILTER(
            INDIRECT(""'"" &amp; $B$17 &amp; ""'!"" &amp; $B34 &amp; "":"" &amp; $B34),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4" s="118">
        <f>IFERROR(__xludf.DUMMYFUNCTION("IFERROR(
    AVERAGE(
        FILTER(
            INDIRECT(""'"" &amp; $B$17 &amp; ""'!"" &amp; $B34 &amp; "":"" &amp; $B34),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4" s="118">
        <f>IFERROR(__xludf.DUMMYFUNCTION("IFERROR(
    AVERAGE(
        FILTER(
            INDIRECT(""'"" &amp; $B$17 &amp; ""'!"" &amp; $B34 &amp; "":"" &amp; $B34),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4" s="118">
        <f>IFERROR(__xludf.DUMMYFUNCTION("IFERROR(
    AVERAGE(
        FILTER(
            INDIRECT(""'"" &amp; $B$17 &amp; ""'!"" &amp; $B34 &amp; "":"" &amp; $B34),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4" s="118">
        <f>IFERROR(__xludf.DUMMYFUNCTION("IFERROR(
    AVERAGE(
        FILTER(
            INDIRECT(""'"" &amp; $B$17 &amp; ""'!"" &amp; $B34 &amp; "":"" &amp; $B34),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4" s="119">
        <f t="shared" si="37"/>
        <v>0</v>
      </c>
      <c r="T34" s="119">
        <f t="shared" si="38"/>
        <v>0</v>
      </c>
      <c r="U34" s="119">
        <f t="shared" si="39"/>
        <v>0</v>
      </c>
      <c r="V34" s="119">
        <f t="shared" si="40"/>
        <v>0</v>
      </c>
      <c r="W34" s="119">
        <f t="shared" si="41"/>
        <v>0</v>
      </c>
      <c r="X34" s="119">
        <f t="shared" si="42"/>
        <v>0</v>
      </c>
      <c r="Y34" s="119">
        <f t="shared" si="43"/>
        <v>0</v>
      </c>
      <c r="Z34" s="119">
        <f t="shared" si="44"/>
        <v>0</v>
      </c>
      <c r="AA34" s="119">
        <f t="shared" si="45"/>
        <v>0</v>
      </c>
      <c r="AB34" s="119">
        <f t="shared" si="46"/>
        <v>0</v>
      </c>
      <c r="AC34" s="117">
        <f t="shared" si="47"/>
        <v>0</v>
      </c>
      <c r="AD34" s="117">
        <f t="shared" si="48"/>
        <v>0</v>
      </c>
      <c r="AE34" s="117">
        <f t="shared" si="49"/>
        <v>0</v>
      </c>
      <c r="AF34" s="117">
        <f t="shared" si="50"/>
        <v>0</v>
      </c>
      <c r="AG34" s="117">
        <f t="shared" si="51"/>
        <v>0</v>
      </c>
      <c r="AH34" s="119">
        <f t="shared" si="52"/>
        <v>0</v>
      </c>
      <c r="AI34" s="119">
        <f t="shared" si="53"/>
        <v>0</v>
      </c>
      <c r="AJ34" s="120">
        <f t="shared" si="54"/>
        <v>0</v>
      </c>
      <c r="AK34" s="121">
        <f t="shared" si="55"/>
        <v>0</v>
      </c>
      <c r="AL34" s="122">
        <f t="shared" si="56"/>
        <v>0</v>
      </c>
      <c r="AM34" s="123"/>
      <c r="AN34" s="123"/>
      <c r="AO34" s="123"/>
      <c r="AP34" s="123"/>
      <c r="AQ34" s="123"/>
    </row>
    <row r="35" ht="15.75" customHeight="1">
      <c r="A35" s="85"/>
      <c r="B35" s="85"/>
      <c r="C35" s="29"/>
      <c r="D35" s="29"/>
      <c r="E35" s="29"/>
      <c r="F35" s="29"/>
      <c r="G35" s="29"/>
      <c r="H35" s="111">
        <f>SUM(H28:H34)</f>
        <v>0</v>
      </c>
      <c r="I35" s="29"/>
      <c r="J35" s="112"/>
      <c r="K35" s="216"/>
      <c r="L35" s="216"/>
      <c r="M35" s="29"/>
      <c r="N35" s="29"/>
      <c r="O35" s="29"/>
      <c r="P35" s="29"/>
      <c r="Q35" s="29"/>
      <c r="R35" s="29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29"/>
      <c r="AD35" s="29"/>
      <c r="AE35" s="29"/>
      <c r="AF35" s="29"/>
      <c r="AG35" s="29"/>
      <c r="AH35" s="112"/>
      <c r="AI35" s="112"/>
      <c r="AJ35" s="113">
        <f>SUM(AJ28:AJ34)</f>
        <v>0</v>
      </c>
      <c r="AK35" s="114"/>
      <c r="AL35" s="29"/>
      <c r="AM35" s="29"/>
      <c r="AN35" s="29"/>
      <c r="AO35" s="29"/>
      <c r="AP35" s="29"/>
      <c r="AQ35" s="29"/>
    </row>
    <row r="36" ht="15.75" customHeight="1">
      <c r="A36" s="89" t="s">
        <v>462</v>
      </c>
      <c r="B36" s="92" t="str">
        <f>'TNT 2015-2022'!B35</f>
        <v>$DC</v>
      </c>
      <c r="J36" s="56"/>
      <c r="K36" s="217"/>
      <c r="L36" s="217"/>
      <c r="S36" s="56"/>
      <c r="T36" s="56"/>
      <c r="U36" s="56"/>
      <c r="V36" s="56"/>
      <c r="W36" s="56"/>
      <c r="X36" s="56"/>
      <c r="Y36" s="56"/>
      <c r="Z36" s="56"/>
      <c r="AA36" s="56"/>
      <c r="AB36" s="56"/>
      <c r="AH36" s="56"/>
      <c r="AI36" s="56"/>
      <c r="AK36" s="114"/>
      <c r="AL36" s="29"/>
    </row>
    <row r="37" ht="15.75" customHeight="1">
      <c r="A37" s="124" t="s">
        <v>292</v>
      </c>
      <c r="B37" s="92" t="str">
        <f>'TNT 2015-2022'!B36</f>
        <v>$AU</v>
      </c>
      <c r="C37" s="125">
        <f t="shared" ref="C37:G37" si="62">COUNTIFS(INDIRECT("'" &amp; $B$17 &amp; "'!" &amp; $B$18 &amp; ":" &amp; $B$18),C$19,INDIRECT("'" &amp; $B$17 &amp; "'!" &amp; $B$36 &amp; ":" &amp; $B$36),LEFT($A$37,3),INDIRECT("'" &amp; $B$17 &amp; "'!" &amp; $B$12 &amp; ":" &amp; $B$12), "*" &amp; $B$4 &amp; "*",INDIRECT("'" &amp; $B$17 &amp; "'!" &amp; $B$13 &amp; ":" &amp; $B$13), $A$1)</f>
        <v>0</v>
      </c>
      <c r="D37" s="125">
        <f t="shared" si="62"/>
        <v>0</v>
      </c>
      <c r="E37" s="125">
        <f t="shared" si="62"/>
        <v>0</v>
      </c>
      <c r="F37" s="125">
        <f t="shared" si="62"/>
        <v>0</v>
      </c>
      <c r="G37" s="125">
        <f t="shared" si="62"/>
        <v>0</v>
      </c>
      <c r="H37" s="125">
        <f t="shared" ref="H37:H38" si="64">SUM(C37:G37)</f>
        <v>0</v>
      </c>
      <c r="I37" s="218">
        <f>IFERROR(__xludf.DUMMYFUNCTION("IFERROR(
    VAR.S(
        FILTER(
            INDIRECT(""'"" &amp; $B$17 &amp; ""'!"" &amp; $B37 &amp; "":"" &amp; $B37),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7" s="218">
        <f>IFERROR(__xludf.DUMMYFUNCTION("IFERROR(
    VAR.S(
        FILTER(
            INDIRECT(""'"" &amp; $B$17 &amp; ""'!"" &amp; $B37 &amp; "":"" &amp; $B37),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7" s="218">
        <f>IFERROR(__xludf.DUMMYFUNCTION("IFERROR(
    VAR.S(
        FILTER(
            INDIRECT(""'"" &amp; $B$17 &amp; ""'!"" &amp; $B37 &amp; "":"" &amp; $B37),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7" s="127">
        <f>IFERROR(__xludf.DUMMYFUNCTION("IFERROR(
    VAR.S(
        FILTER(
            INDIRECT(""'"" &amp; $B$17 &amp; ""'!"" &amp; $B37 &amp; "":"" &amp; $B37),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7" s="127">
        <f>IFERROR(__xludf.DUMMYFUNCTION("IFERROR(
    VAR.S(
        FILTER(
            INDIRECT(""'"" &amp; $B$17 &amp; ""'!"" &amp; $B37 &amp; "":"" &amp; $B37),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7" s="127">
        <f>IFERROR(__xludf.DUMMYFUNCTION("IFERROR(
    AVERAGE(
        FILTER(
            INDIRECT(""'"" &amp; $B$17 &amp; ""'!"" &amp; $B37 &amp; "":"" &amp; $B37),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7" s="127">
        <f>IFERROR(__xludf.DUMMYFUNCTION("IFERROR(
    AVERAGE(
        FILTER(
            INDIRECT(""'"" &amp; $B$17 &amp; ""'!"" &amp; $B37 &amp; "":"" &amp; $B37),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7" s="127">
        <f>IFERROR(__xludf.DUMMYFUNCTION("IFERROR(
    AVERAGE(
        FILTER(
            INDIRECT(""'"" &amp; $B$17 &amp; ""'!"" &amp; $B37 &amp; "":"" &amp; $B37),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7" s="127">
        <f>IFERROR(__xludf.DUMMYFUNCTION("IFERROR(
    AVERAGE(
        FILTER(
            INDIRECT(""'"" &amp; $B$17 &amp; ""'!"" &amp; $B37 &amp; "":"" &amp; $B37),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7" s="127">
        <f>IFERROR(__xludf.DUMMYFUNCTION("IFERROR(
    AVERAGE(
        FILTER(
            INDIRECT(""'"" &amp; $B$17 &amp; ""'!"" &amp; $B37 &amp; "":"" &amp; $B37),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7" s="128">
        <f t="shared" ref="S37:S38" si="65">($B$6^2*I37)^0.5</f>
        <v>0</v>
      </c>
      <c r="T37" s="128">
        <f t="shared" ref="T37:T38" si="66">($B$7^2*J37)^0.5</f>
        <v>0</v>
      </c>
      <c r="U37" s="128">
        <f t="shared" ref="U37:U38" si="67">($B$8^2*K37)^0.5</f>
        <v>0</v>
      </c>
      <c r="V37" s="128">
        <f t="shared" ref="V37:V38" si="68">($B$9^2*L37)^0.5</f>
        <v>0</v>
      </c>
      <c r="W37" s="128">
        <f t="shared" ref="W37:W38" si="69">($B$10^2*M37)^0.5</f>
        <v>0</v>
      </c>
      <c r="X37" s="128">
        <f t="shared" ref="X37:X38" si="70">N37*$B$6</f>
        <v>0</v>
      </c>
      <c r="Y37" s="128">
        <f t="shared" ref="Y37:Y38" si="71">O37*$B$7</f>
        <v>0</v>
      </c>
      <c r="Z37" s="128">
        <f t="shared" ref="Z37:Z38" si="72">P37*$B$8</f>
        <v>0</v>
      </c>
      <c r="AA37" s="128">
        <f t="shared" ref="AA37:AA38" si="73">Q37*$B$9</f>
        <v>0</v>
      </c>
      <c r="AB37" s="128">
        <f t="shared" ref="AB37:AB38" si="74">R37*$B$10</f>
        <v>0</v>
      </c>
      <c r="AC37" s="126">
        <f t="shared" ref="AC37:AC38" si="75">N37*$C$6</f>
        <v>0</v>
      </c>
      <c r="AD37" s="126">
        <f t="shared" ref="AD37:AD38" si="76">O37*$C$7</f>
        <v>0</v>
      </c>
      <c r="AE37" s="126">
        <f t="shared" ref="AE37:AE38" si="77">P37*$C$8</f>
        <v>0</v>
      </c>
      <c r="AF37" s="126">
        <f t="shared" ref="AF37:AF38" si="78">Q37*$C$9</f>
        <v>0</v>
      </c>
      <c r="AG37" s="126">
        <f t="shared" ref="AG37:AG38" si="79">R37*$C$10</f>
        <v>0</v>
      </c>
      <c r="AH37" s="128">
        <f t="shared" ref="AH37:AH38" si="80">(S37*S37+T37*T37+U37*U37+V37*V37+W37*W37)^0.5</f>
        <v>0</v>
      </c>
      <c r="AI37" s="128">
        <f t="shared" ref="AI37:AI38" si="81">AH37*$B$15</f>
        <v>0</v>
      </c>
      <c r="AJ37" s="129">
        <f t="shared" ref="AJ37:AJ38" si="82">SUM(X37:AB37)</f>
        <v>0</v>
      </c>
      <c r="AK37" s="130">
        <f t="shared" ref="AK37:AK38" si="83">IF(AI37=0,0,AI37/AJ37)</f>
        <v>0</v>
      </c>
      <c r="AL37" s="131">
        <f t="shared" ref="AL37:AL38" si="84">AJ37/$B$2</f>
        <v>0</v>
      </c>
      <c r="AM37" s="123"/>
      <c r="AN37" s="123"/>
      <c r="AO37" s="123"/>
      <c r="AP37" s="123"/>
      <c r="AQ37" s="123"/>
    </row>
    <row r="38" ht="15.75" customHeight="1">
      <c r="A38" s="132" t="s">
        <v>294</v>
      </c>
      <c r="B38" s="92" t="str">
        <f>'TNT 2015-2022'!B37</f>
        <v>$AV</v>
      </c>
      <c r="C38" s="133">
        <f t="shared" ref="C38:G38" si="63">COUNTIFS(INDIRECT("'" &amp; $B$17 &amp; "'!" &amp; $B$18 &amp; ":" &amp; $B$18),C$19,INDIRECT("'" &amp; $B$17 &amp; "'!" &amp; $B$36 &amp; ":" &amp; $B$36),LEFT($A$38,3),INDIRECT("'" &amp; $B$17 &amp; "'!" &amp; $B$12 &amp; ":" &amp; $B$12), "*" &amp; $B$4 &amp; "*",INDIRECT("'" &amp; $B$17 &amp; "'!" &amp; $B$13 &amp; ":" &amp; $B$13), $A$1)</f>
        <v>0</v>
      </c>
      <c r="D38" s="133">
        <f t="shared" si="63"/>
        <v>0</v>
      </c>
      <c r="E38" s="133">
        <f t="shared" si="63"/>
        <v>0</v>
      </c>
      <c r="F38" s="133">
        <f t="shared" si="63"/>
        <v>0</v>
      </c>
      <c r="G38" s="133">
        <f t="shared" si="63"/>
        <v>0</v>
      </c>
      <c r="H38" s="133">
        <f t="shared" si="64"/>
        <v>0</v>
      </c>
      <c r="I38" s="169">
        <f>IFERROR(__xludf.DUMMYFUNCTION("IFERROR(
    VAR.S(
        FILTER(
            INDIRECT(""'"" &amp; $B$17 &amp; ""'!"" &amp; $B38 &amp; "":"" &amp; $B38),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38" s="169">
        <f>IFERROR(__xludf.DUMMYFUNCTION("IFERROR(
    VAR.S(
        FILTER(
            INDIRECT(""'"" &amp; $B$17 &amp; ""'!"" &amp; $B38 &amp; "":"" &amp; $B38),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38" s="169">
        <f>IFERROR(__xludf.DUMMYFUNCTION("IFERROR(
    VAR.S(
        FILTER(
            INDIRECT(""'"" &amp; $B$17 &amp; ""'!"" &amp; $B38 &amp; "":"" &amp; $B38),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38" s="135">
        <f>IFERROR(__xludf.DUMMYFUNCTION("IFERROR(
    VAR.S(
        FILTER(
            INDIRECT(""'"" &amp; $B$17 &amp; ""'!"" &amp; $B38 &amp; "":"" &amp; $B38),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38" s="135">
        <f>IFERROR(__xludf.DUMMYFUNCTION("IFERROR(
    VAR.S(
        FILTER(
            INDIRECT(""'"" &amp; $B$17 &amp; ""'!"" &amp; $B38 &amp; "":"" &amp; $B38),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38" s="135">
        <f>IFERROR(__xludf.DUMMYFUNCTION("IFERROR(
    AVERAGE(
        FILTER(
            INDIRECT(""'"" &amp; $B$17 &amp; ""'!"" &amp; $B38 &amp; "":"" &amp; $B38),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38" s="135">
        <f>IFERROR(__xludf.DUMMYFUNCTION("IFERROR(
    AVERAGE(
        FILTER(
            INDIRECT(""'"" &amp; $B$17 &amp; ""'!"" &amp; $B38 &amp; "":"" &amp; $B38),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38" s="135">
        <f>IFERROR(__xludf.DUMMYFUNCTION("IFERROR(
    AVERAGE(
        FILTER(
            INDIRECT(""'"" &amp; $B$17 &amp; ""'!"" &amp; $B38 &amp; "":"" &amp; $B38),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38" s="135">
        <f>IFERROR(__xludf.DUMMYFUNCTION("IFERROR(
    AVERAGE(
        FILTER(
            INDIRECT(""'"" &amp; $B$17 &amp; ""'!"" &amp; $B38 &amp; "":"" &amp; $B38),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38" s="135">
        <f>IFERROR(__xludf.DUMMYFUNCTION("IFERROR(
    AVERAGE(
        FILTER(
            INDIRECT(""'"" &amp; $B$17 &amp; ""'!"" &amp; $B38 &amp; "":"" &amp; $B38),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38" s="136">
        <f t="shared" si="65"/>
        <v>0</v>
      </c>
      <c r="T38" s="136">
        <f t="shared" si="66"/>
        <v>0</v>
      </c>
      <c r="U38" s="136">
        <f t="shared" si="67"/>
        <v>0</v>
      </c>
      <c r="V38" s="136">
        <f t="shared" si="68"/>
        <v>0</v>
      </c>
      <c r="W38" s="136">
        <f t="shared" si="69"/>
        <v>0</v>
      </c>
      <c r="X38" s="136">
        <f t="shared" si="70"/>
        <v>0</v>
      </c>
      <c r="Y38" s="136">
        <f t="shared" si="71"/>
        <v>0</v>
      </c>
      <c r="Z38" s="136">
        <f t="shared" si="72"/>
        <v>0</v>
      </c>
      <c r="AA38" s="136">
        <f t="shared" si="73"/>
        <v>0</v>
      </c>
      <c r="AB38" s="136">
        <f t="shared" si="74"/>
        <v>0</v>
      </c>
      <c r="AC38" s="134">
        <f t="shared" si="75"/>
        <v>0</v>
      </c>
      <c r="AD38" s="134">
        <f t="shared" si="76"/>
        <v>0</v>
      </c>
      <c r="AE38" s="134">
        <f t="shared" si="77"/>
        <v>0</v>
      </c>
      <c r="AF38" s="134">
        <f t="shared" si="78"/>
        <v>0</v>
      </c>
      <c r="AG38" s="134">
        <f t="shared" si="79"/>
        <v>0</v>
      </c>
      <c r="AH38" s="136">
        <f t="shared" si="80"/>
        <v>0</v>
      </c>
      <c r="AI38" s="136">
        <f t="shared" si="81"/>
        <v>0</v>
      </c>
      <c r="AJ38" s="137">
        <f t="shared" si="82"/>
        <v>0</v>
      </c>
      <c r="AK38" s="138">
        <f t="shared" si="83"/>
        <v>0</v>
      </c>
      <c r="AL38" s="139">
        <f t="shared" si="84"/>
        <v>0</v>
      </c>
      <c r="AM38" s="123"/>
      <c r="AN38" s="123"/>
      <c r="AO38" s="123"/>
      <c r="AP38" s="123"/>
      <c r="AQ38" s="123"/>
    </row>
    <row r="39" ht="15.75" customHeight="1">
      <c r="B39" s="219" t="str">
        <f>'TNT 2015-2022'!B38</f>
        <v/>
      </c>
      <c r="N39" s="172"/>
      <c r="O39" s="172"/>
      <c r="P39" s="172"/>
      <c r="Q39" s="172"/>
      <c r="R39" s="172"/>
      <c r="S39" s="68"/>
      <c r="T39" s="56"/>
      <c r="U39" s="56"/>
      <c r="V39" s="56"/>
      <c r="W39" s="56"/>
      <c r="X39" s="68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K39" s="114"/>
      <c r="AL39" s="114"/>
    </row>
    <row r="40" ht="15.75" customHeight="1">
      <c r="A40" s="220" t="s">
        <v>296</v>
      </c>
      <c r="B40" s="92" t="str">
        <f>'TNT 2015-2022'!B39</f>
        <v>$AW</v>
      </c>
      <c r="C40" s="142">
        <f t="shared" ref="C40:G40" si="8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$A40
)</f>
        <v>0</v>
      </c>
      <c r="D40" s="142">
        <f t="shared" si="85"/>
        <v>0</v>
      </c>
      <c r="E40" s="142">
        <f t="shared" si="85"/>
        <v>0</v>
      </c>
      <c r="F40" s="142">
        <f t="shared" si="85"/>
        <v>0</v>
      </c>
      <c r="G40" s="142">
        <f t="shared" si="85"/>
        <v>0</v>
      </c>
      <c r="H40" s="142">
        <f t="shared" ref="H40:H41" si="87">SUM(C40:G40)</f>
        <v>0</v>
      </c>
      <c r="I40" s="221">
        <f>IFERROR(__xludf.DUMMYFUNCTION("IFERROR(
    VAR.S(
        FILTER(
            INDIRECT(""'"" &amp; $B$17 &amp; ""'!"" &amp; $B40 &amp; "":"" &amp; $B40),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0" s="221">
        <f>IFERROR(__xludf.DUMMYFUNCTION("IFERROR(
    VAR.S(
        FILTER(
            INDIRECT(""'"" &amp; $B$17 &amp; ""'!"" &amp; $B40 &amp; "":"" &amp; $B40),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0" s="221">
        <f>IFERROR(__xludf.DUMMYFUNCTION("IFERROR(
    VAR.S(
        FILTER(
            INDIRECT(""'"" &amp; $B$17 &amp; ""'!"" &amp; $B40 &amp; "":"" &amp; $B40),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0" s="144">
        <f>IFERROR(__xludf.DUMMYFUNCTION("IFERROR(
    VAR.S(
        FILTER(
            INDIRECT(""'"" &amp; $B$17 &amp; ""'!"" &amp; $B40 &amp; "":"" &amp; $B40),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0" s="144">
        <f>IFERROR(__xludf.DUMMYFUNCTION("IFERROR(
    VAR.S(
        FILTER(
            INDIRECT(""'"" &amp; $B$17 &amp; ""'!"" &amp; $B40 &amp; "":"" &amp; $B40),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0" s="144">
        <f>IFERROR(__xludf.DUMMYFUNCTION("IFERROR(
    AVERAGE(
        FILTER(
            INDIRECT(""'"" &amp; $B$17 &amp; ""'!"" &amp; $B40 &amp; "":"" &amp; $B40),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0" s="144">
        <f>IFERROR(__xludf.DUMMYFUNCTION("IFERROR(
    AVERAGE(
        FILTER(
            INDIRECT(""'"" &amp; $B$17 &amp; ""'!"" &amp; $B40 &amp; "":"" &amp; $B40),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0" s="144">
        <f>IFERROR(__xludf.DUMMYFUNCTION("IFERROR(
    AVERAGE(
        FILTER(
            INDIRECT(""'"" &amp; $B$17 &amp; ""'!"" &amp; $B40 &amp; "":"" &amp; $B40),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0" s="144">
        <f>IFERROR(__xludf.DUMMYFUNCTION("IFERROR(
    AVERAGE(
        FILTER(
            INDIRECT(""'"" &amp; $B$17 &amp; ""'!"" &amp; $B40 &amp; "":"" &amp; $B40),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0" s="144">
        <f>IFERROR(__xludf.DUMMYFUNCTION("IFERROR(
    AVERAGE(
        FILTER(
            INDIRECT(""'"" &amp; $B$17 &amp; ""'!"" &amp; $B40 &amp; "":"" &amp; $B40),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0" s="142">
        <f t="shared" ref="S40:S41" si="88">($B$6^2*I40)^0.5</f>
        <v>0</v>
      </c>
      <c r="T40" s="142">
        <f t="shared" ref="T40:T41" si="89">($B$7^2*J40)^0.5</f>
        <v>0</v>
      </c>
      <c r="U40" s="142">
        <f t="shared" ref="U40:U41" si="90">($B$8^2*K40)^0.5</f>
        <v>0</v>
      </c>
      <c r="V40" s="142">
        <f t="shared" ref="V40:V41" si="91">($B$9^2*L40)^0.5</f>
        <v>0</v>
      </c>
      <c r="W40" s="142">
        <f t="shared" ref="W40:W41" si="92">($B$10^2*M40)^0.5</f>
        <v>0</v>
      </c>
      <c r="X40" s="142">
        <f t="shared" ref="X40:X41" si="93">N40*$B$6</f>
        <v>0</v>
      </c>
      <c r="Y40" s="142">
        <f t="shared" ref="Y40:Y41" si="94">O40*$B$7</f>
        <v>0</v>
      </c>
      <c r="Z40" s="142">
        <f t="shared" ref="Z40:Z41" si="95">P40*$B$8</f>
        <v>0</v>
      </c>
      <c r="AA40" s="142">
        <f t="shared" ref="AA40:AA41" si="96">Q40*$B$9</f>
        <v>0</v>
      </c>
      <c r="AB40" s="142">
        <f t="shared" ref="AB40:AB41" si="97">R40*$B$10</f>
        <v>0</v>
      </c>
      <c r="AC40" s="143">
        <f t="shared" ref="AC40:AC41" si="98">N40*$C$6</f>
        <v>0</v>
      </c>
      <c r="AD40" s="143">
        <f t="shared" ref="AD40:AD41" si="99">O40*$C$7</f>
        <v>0</v>
      </c>
      <c r="AE40" s="143">
        <f t="shared" ref="AE40:AE41" si="100">P40*$C$8</f>
        <v>0</v>
      </c>
      <c r="AF40" s="143">
        <f t="shared" ref="AF40:AF41" si="101">Q40*$C$9</f>
        <v>0</v>
      </c>
      <c r="AG40" s="143">
        <f t="shared" ref="AG40:AG41" si="102">R40*$C$10</f>
        <v>0</v>
      </c>
      <c r="AH40" s="142">
        <f t="shared" ref="AH40:AH41" si="103">(S40*S40+T40*T40+U40*U40+V40*V40+W40*W40)^0.5</f>
        <v>0</v>
      </c>
      <c r="AI40" s="142">
        <f t="shared" ref="AI40:AI41" si="104">AH40*$B$15</f>
        <v>0</v>
      </c>
      <c r="AJ40" s="145">
        <f t="shared" ref="AJ40:AJ41" si="105">SUM(X40:AB40)</f>
        <v>0</v>
      </c>
      <c r="AK40" s="146">
        <f t="shared" ref="AK40:AK41" si="106">IF(AI40=0,0,AI40/AJ40)</f>
        <v>0</v>
      </c>
      <c r="AL40" s="147">
        <f t="shared" ref="AL40:AL41" si="107">AJ40/$B$2</f>
        <v>0</v>
      </c>
      <c r="AM40" s="123"/>
      <c r="AN40" s="123"/>
      <c r="AO40" s="123"/>
      <c r="AP40" s="123"/>
      <c r="AQ40" s="123"/>
    </row>
    <row r="41" ht="15.75" customHeight="1">
      <c r="A41" s="222" t="s">
        <v>299</v>
      </c>
      <c r="B41" s="92" t="str">
        <f>'TNT 2015-2022'!B40</f>
        <v>$AX</v>
      </c>
      <c r="C41" s="149">
        <f t="shared" ref="C41:G41" si="8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$A41
)</f>
        <v>0</v>
      </c>
      <c r="D41" s="149">
        <f t="shared" si="86"/>
        <v>0</v>
      </c>
      <c r="E41" s="149">
        <f t="shared" si="86"/>
        <v>0</v>
      </c>
      <c r="F41" s="149">
        <f t="shared" si="86"/>
        <v>0</v>
      </c>
      <c r="G41" s="149">
        <f t="shared" si="86"/>
        <v>0</v>
      </c>
      <c r="H41" s="149">
        <f t="shared" si="87"/>
        <v>0</v>
      </c>
      <c r="I41" s="223">
        <f>IFERROR(__xludf.DUMMYFUNCTION("IFERROR(
    VAR.S(
        FILTER(
            INDIRECT(""'"" &amp; $B$17 &amp; ""'!"" &amp; $B41 &amp; "":"" &amp; $B41),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41" s="223">
        <f>IFERROR(__xludf.DUMMYFUNCTION("IFERROR(
    VAR.S(
        FILTER(
            INDIRECT(""'"" &amp; $B$17 &amp; ""'!"" &amp; $B41 &amp; "":"" &amp; $B41),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41" s="223">
        <f>IFERROR(__xludf.DUMMYFUNCTION("IFERROR(
    VAR.S(
        FILTER(
            INDIRECT(""'"" &amp; $B$17 &amp; ""'!"" &amp; $B41 &amp; "":"" &amp; $B41),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41" s="151">
        <f>IFERROR(__xludf.DUMMYFUNCTION("IFERROR(
    VAR.S(
        FILTER(
            INDIRECT(""'"" &amp; $B$17 &amp; ""'!"" &amp; $B41 &amp; "":"" &amp; $B41),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41" s="151">
        <f>IFERROR(__xludf.DUMMYFUNCTION("IFERROR(
    VAR.S(
        FILTER(
            INDIRECT(""'"" &amp; $B$17 &amp; ""'!"" &amp; $B41 &amp; "":"" &amp; $B41),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41" s="151">
        <f>IFERROR(__xludf.DUMMYFUNCTION("IFERROR(
    AVERAGE(
        FILTER(
            INDIRECT(""'"" &amp; $B$17 &amp; ""'!"" &amp; $B41 &amp; "":"" &amp; $B41),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O41" s="151">
        <f>IFERROR(__xludf.DUMMYFUNCTION("IFERROR(
    AVERAGE(
        FILTER(
            INDIRECT(""'"" &amp; $B$17 &amp; ""'!"" &amp; $B41 &amp; "":"" &amp; $B41),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P41" s="151">
        <f>IFERROR(__xludf.DUMMYFUNCTION("IFERROR(
    AVERAGE(
        FILTER(
            INDIRECT(""'"" &amp; $B$17 &amp; ""'!"" &amp; $B41 &amp; "":"" &amp; $B41),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Q41" s="151">
        <f>IFERROR(__xludf.DUMMYFUNCTION("IFERROR(
    AVERAGE(
        FILTER(
            INDIRECT(""'"" &amp; $B$17 &amp; ""'!"" &amp; $B41 &amp; "":"" &amp; $B41),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R41" s="151">
        <f>IFERROR(__xludf.DUMMYFUNCTION("IFERROR(
    AVERAGE(
        FILTER(
            INDIRECT(""'"" &amp; $B$17 &amp; ""'!"" &amp; $B41 &amp; "":"" &amp; $B41),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)"),0.0)</f>
        <v>0</v>
      </c>
      <c r="S41" s="149">
        <f t="shared" si="88"/>
        <v>0</v>
      </c>
      <c r="T41" s="149">
        <f t="shared" si="89"/>
        <v>0</v>
      </c>
      <c r="U41" s="149">
        <f t="shared" si="90"/>
        <v>0</v>
      </c>
      <c r="V41" s="149">
        <f t="shared" si="91"/>
        <v>0</v>
      </c>
      <c r="W41" s="149">
        <f t="shared" si="92"/>
        <v>0</v>
      </c>
      <c r="X41" s="149">
        <f t="shared" si="93"/>
        <v>0</v>
      </c>
      <c r="Y41" s="149">
        <f t="shared" si="94"/>
        <v>0</v>
      </c>
      <c r="Z41" s="149">
        <f t="shared" si="95"/>
        <v>0</v>
      </c>
      <c r="AA41" s="149">
        <f t="shared" si="96"/>
        <v>0</v>
      </c>
      <c r="AB41" s="149">
        <f t="shared" si="97"/>
        <v>0</v>
      </c>
      <c r="AC41" s="150">
        <f t="shared" si="98"/>
        <v>0</v>
      </c>
      <c r="AD41" s="150">
        <f t="shared" si="99"/>
        <v>0</v>
      </c>
      <c r="AE41" s="150">
        <f t="shared" si="100"/>
        <v>0</v>
      </c>
      <c r="AF41" s="150">
        <f t="shared" si="101"/>
        <v>0</v>
      </c>
      <c r="AG41" s="150">
        <f t="shared" si="102"/>
        <v>0</v>
      </c>
      <c r="AH41" s="149">
        <f t="shared" si="103"/>
        <v>0</v>
      </c>
      <c r="AI41" s="149">
        <f t="shared" si="104"/>
        <v>0</v>
      </c>
      <c r="AJ41" s="152">
        <f t="shared" si="105"/>
        <v>0</v>
      </c>
      <c r="AK41" s="153">
        <f t="shared" si="106"/>
        <v>0</v>
      </c>
      <c r="AL41" s="154">
        <f t="shared" si="107"/>
        <v>0</v>
      </c>
      <c r="AM41" s="123"/>
      <c r="AN41" s="123"/>
      <c r="AO41" s="123"/>
      <c r="AP41" s="123"/>
      <c r="AQ41" s="123"/>
    </row>
    <row r="42" ht="15.75" customHeight="1">
      <c r="A42" s="155"/>
      <c r="H42" s="156">
        <f>SUM(H37:H41)</f>
        <v>0</v>
      </c>
      <c r="S42" s="56"/>
      <c r="T42" s="56"/>
      <c r="U42" s="56"/>
      <c r="V42" s="56"/>
      <c r="W42" s="56"/>
      <c r="AJ42" s="55">
        <f>SUM(AJ37:AJ41)</f>
        <v>0</v>
      </c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>
      <c r="A228" s="155"/>
      <c r="AC228" s="56"/>
      <c r="AD228" s="56"/>
      <c r="AE228" s="56"/>
      <c r="AF228" s="56"/>
      <c r="AG228" s="56"/>
    </row>
    <row r="229" ht="15.75" customHeight="1">
      <c r="A229" s="155"/>
      <c r="AC229" s="56"/>
      <c r="AD229" s="56"/>
      <c r="AE229" s="56"/>
      <c r="AF229" s="56"/>
      <c r="AG229" s="56"/>
    </row>
    <row r="230" ht="15.75" customHeight="1">
      <c r="A230" s="155"/>
      <c r="AC230" s="56"/>
      <c r="AD230" s="56"/>
      <c r="AE230" s="56"/>
      <c r="AF230" s="56"/>
      <c r="AG230" s="56"/>
    </row>
    <row r="231" ht="15.75" customHeight="1">
      <c r="A231" s="155"/>
      <c r="AC231" s="56"/>
      <c r="AD231" s="56"/>
      <c r="AE231" s="56"/>
      <c r="AF231" s="56"/>
      <c r="AG231" s="56"/>
    </row>
    <row r="232" ht="15.75" customHeight="1">
      <c r="A232" s="155"/>
      <c r="AC232" s="56"/>
      <c r="AD232" s="56"/>
      <c r="AE232" s="56"/>
      <c r="AF232" s="56"/>
      <c r="AG232" s="56"/>
    </row>
    <row r="233" ht="15.75" customHeight="1">
      <c r="A233" s="155"/>
      <c r="AC233" s="56"/>
      <c r="AD233" s="56"/>
      <c r="AE233" s="56"/>
      <c r="AF233" s="56"/>
      <c r="AG233" s="56"/>
    </row>
    <row r="234" ht="15.75" customHeight="1">
      <c r="A234" s="155"/>
      <c r="AC234" s="56"/>
      <c r="AD234" s="56"/>
      <c r="AE234" s="56"/>
      <c r="AF234" s="56"/>
      <c r="AG234" s="56"/>
    </row>
    <row r="235" ht="15.75" customHeight="1">
      <c r="A235" s="155"/>
      <c r="AC235" s="56"/>
      <c r="AD235" s="56"/>
      <c r="AE235" s="56"/>
      <c r="AF235" s="56"/>
      <c r="AG235" s="56"/>
    </row>
    <row r="236" ht="15.75" customHeight="1">
      <c r="A236" s="155"/>
      <c r="AC236" s="56"/>
      <c r="AD236" s="56"/>
      <c r="AE236" s="56"/>
      <c r="AF236" s="56"/>
      <c r="AG236" s="56"/>
    </row>
    <row r="237" ht="15.75" customHeight="1">
      <c r="A237" s="155"/>
      <c r="AC237" s="56"/>
      <c r="AD237" s="56"/>
      <c r="AE237" s="56"/>
      <c r="AF237" s="56"/>
      <c r="AG237" s="56"/>
    </row>
    <row r="238" ht="15.75" customHeight="1">
      <c r="A238" s="155"/>
      <c r="AC238" s="56"/>
      <c r="AD238" s="56"/>
      <c r="AE238" s="56"/>
      <c r="AF238" s="56"/>
      <c r="AG238" s="56"/>
    </row>
    <row r="239" ht="15.75" customHeight="1">
      <c r="A239" s="155"/>
      <c r="AC239" s="56"/>
      <c r="AD239" s="56"/>
      <c r="AE239" s="56"/>
      <c r="AF239" s="56"/>
      <c r="AG239" s="56"/>
    </row>
    <row r="240" ht="15.75" customHeight="1">
      <c r="A240" s="155"/>
      <c r="AC240" s="56"/>
      <c r="AD240" s="56"/>
      <c r="AE240" s="56"/>
      <c r="AF240" s="56"/>
      <c r="AG240" s="56"/>
    </row>
    <row r="241" ht="15.75" customHeight="1">
      <c r="A241" s="155"/>
      <c r="AC241" s="56"/>
      <c r="AD241" s="56"/>
      <c r="AE241" s="56"/>
      <c r="AF241" s="56"/>
      <c r="AG241" s="56"/>
    </row>
    <row r="242" ht="15.75" customHeight="1">
      <c r="A242" s="155"/>
      <c r="AC242" s="56"/>
      <c r="AD242" s="56"/>
      <c r="AE242" s="56"/>
      <c r="AF242" s="56"/>
      <c r="AG242" s="56"/>
    </row>
    <row r="243" ht="15.75" customHeight="1">
      <c r="A243" s="155"/>
      <c r="AC243" s="56"/>
      <c r="AD243" s="56"/>
      <c r="AE243" s="56"/>
      <c r="AF243" s="56"/>
      <c r="AG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G18"/>
  </mergeCells>
  <conditionalFormatting sqref="AJ35">
    <cfRule type="expression" dxfId="0" priority="1">
      <formula>H35=H38</formula>
    </cfRule>
  </conditionalFormatting>
  <conditionalFormatting sqref="AJ35">
    <cfRule type="expression" dxfId="2" priority="2">
      <formula>H35&lt;&gt;H38</formula>
    </cfRule>
  </conditionalFormatting>
  <conditionalFormatting sqref="AJ27">
    <cfRule type="expression" dxfId="0" priority="3">
      <formula>H27=H37</formula>
    </cfRule>
  </conditionalFormatting>
  <conditionalFormatting sqref="AJ27">
    <cfRule type="expression" dxfId="2" priority="4">
      <formula>H27&lt;&gt;H37</formula>
    </cfRule>
  </conditionalFormatting>
  <conditionalFormatting sqref="H42">
    <cfRule type="expression" dxfId="1" priority="5">
      <formula>H42&lt;&gt;D11</formula>
    </cfRule>
  </conditionalFormatting>
  <conditionalFormatting sqref="AJ42">
    <cfRule type="expression" dxfId="0" priority="6">
      <formula>AJ42=B2</formula>
    </cfRule>
  </conditionalFormatting>
  <conditionalFormatting sqref="AJ42">
    <cfRule type="expression" dxfId="1" priority="7">
      <formula>AJ42&lt;&gt;B2</formula>
    </cfRule>
  </conditionalFormatting>
  <conditionalFormatting sqref="H27">
    <cfRule type="notContainsBlanks" dxfId="0" priority="8">
      <formula>LEN(TRIM(H27))&gt;0</formula>
    </cfRule>
  </conditionalFormatting>
  <conditionalFormatting sqref="AJ35">
    <cfRule type="expression" dxfId="0" priority="9">
      <formula>AJ35=AJ38</formula>
    </cfRule>
  </conditionalFormatting>
  <conditionalFormatting sqref="AJ35">
    <cfRule type="expression" dxfId="2" priority="10">
      <formula>"AJ35&lt;&gt;AJ38"</formula>
    </cfRule>
  </conditionalFormatting>
  <conditionalFormatting sqref="AJ27">
    <cfRule type="expression" dxfId="0" priority="11">
      <formula>"AJ27=AJ37"</formula>
    </cfRule>
  </conditionalFormatting>
  <conditionalFormatting sqref="AJ27">
    <cfRule type="expression" dxfId="2" priority="12">
      <formula>AJ27&lt;&gt;AJ37</formula>
    </cfRule>
  </conditionalFormatting>
  <conditionalFormatting sqref="H42">
    <cfRule type="expression" dxfId="0" priority="13">
      <formula>H42=D11</formula>
    </cfRule>
  </conditionalFormatting>
  <conditionalFormatting sqref="H42">
    <cfRule type="expression" dxfId="2" priority="14">
      <formula>H42&lt;&gt;D11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5977555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4419084</v>
      </c>
      <c r="C6" s="73">
        <f t="shared" ref="C6:C10" si="1">B6/$B$11</f>
        <v>0.7392795215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806735</v>
      </c>
      <c r="C7" s="73">
        <f t="shared" si="1"/>
        <v>0.1349606988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393808</v>
      </c>
      <c r="C8" s="73">
        <f t="shared" si="1"/>
        <v>0.06588111694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245346</v>
      </c>
      <c r="C9" s="73">
        <f t="shared" si="1"/>
        <v>0.04104454079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112582</v>
      </c>
      <c r="C10" s="73">
        <f t="shared" si="1"/>
        <v>0.01883412198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5977555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211" t="s">
        <v>525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211" t="s">
        <v>469</v>
      </c>
      <c r="B13" s="164" t="str">
        <f t="array" ref="B13">IFERROR("$" &amp; SUBSTITUTE(ADDRESS(1, MATCH(A13, INDIRECT("'" &amp; $B$17 &amp; "'!1:1"), 0), 4), "1", ""), "Not Found")
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H26">
    <cfRule type="expression" dxfId="2" priority="1">
      <formula>H26&lt;&gt;D11</formula>
    </cfRule>
  </conditionalFormatting>
  <conditionalFormatting sqref="H26">
    <cfRule type="expression" dxfId="0" priority="2">
      <formula>H26=D11</formula>
    </cfRule>
  </conditionalFormatting>
  <conditionalFormatting sqref="H26">
    <cfRule type="expression" dxfId="2" priority="3">
      <formula>H26&lt;&gt;D12</formula>
    </cfRule>
  </conditionalFormatting>
  <conditionalFormatting sqref="AJ26">
    <cfRule type="expression" dxfId="0" priority="4">
      <formula>AJ26=B2</formula>
    </cfRule>
  </conditionalFormatting>
  <conditionalFormatting sqref="AJ26">
    <cfRule type="expression" dxfId="2" priority="5">
      <formula>AJ26&lt;&gt;B2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557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5609203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3770734</v>
      </c>
      <c r="C6" s="73">
        <f t="shared" ref="C6:C10" si="1">B6/$B$11</f>
        <v>0.6722406017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1060077</v>
      </c>
      <c r="C7" s="73">
        <f t="shared" si="1"/>
        <v>0.1889888813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477479</v>
      </c>
      <c r="C8" s="73">
        <f t="shared" si="1"/>
        <v>0.08512421462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225573</v>
      </c>
      <c r="C9" s="73">
        <f t="shared" si="1"/>
        <v>0.04021480414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75340</v>
      </c>
      <c r="C10" s="73">
        <f t="shared" si="1"/>
        <v>0.0134314982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5609203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H26">
    <cfRule type="expression" dxfId="0" priority="1">
      <formula>H26=D11</formula>
    </cfRule>
  </conditionalFormatting>
  <conditionalFormatting sqref="H26">
    <cfRule type="expression" dxfId="2" priority="2">
      <formula>H26&lt;&gt;D11</formula>
    </cfRule>
  </conditionalFormatting>
  <conditionalFormatting sqref="AJ26">
    <cfRule type="expression" dxfId="0" priority="3">
      <formula>AJ26=B2</formula>
    </cfRule>
  </conditionalFormatting>
  <conditionalFormatting sqref="AJ26">
    <cfRule type="expression" dxfId="2" priority="4">
      <formula>AJ26&lt;&gt;B2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9.63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559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3171519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1978116</v>
      </c>
      <c r="C6" s="73">
        <f t="shared" ref="C6:C10" si="1">B6/$B$11</f>
        <v>0.623712486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673311</v>
      </c>
      <c r="C7" s="73">
        <f t="shared" si="1"/>
        <v>0.2122992169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320443</v>
      </c>
      <c r="C8" s="73">
        <f t="shared" si="1"/>
        <v>0.1010377046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145567</v>
      </c>
      <c r="C9" s="73">
        <f t="shared" si="1"/>
        <v>0.04589819579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54082</v>
      </c>
      <c r="C10" s="73">
        <f t="shared" si="1"/>
        <v>0.01705239666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3171519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552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2717937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1636908</v>
      </c>
      <c r="C6" s="73">
        <f t="shared" ref="C6:C10" si="1">B6/$B$11</f>
        <v>0.6022612003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491193</v>
      </c>
      <c r="C7" s="73">
        <f t="shared" si="1"/>
        <v>0.180722732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326098</v>
      </c>
      <c r="C8" s="73">
        <f t="shared" si="1"/>
        <v>0.1199799701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194531</v>
      </c>
      <c r="C9" s="73">
        <f t="shared" si="1"/>
        <v>0.07157303499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69207</v>
      </c>
      <c r="C10" s="73">
        <f t="shared" si="1"/>
        <v>0.02546306261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2717937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528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5268993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AJ20</f>
        <v>#N/A</v>
      </c>
      <c r="K4" s="224">
        <v>2023.0</v>
      </c>
      <c r="L4" s="225" t="str">
        <f>AJ22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3291073</v>
      </c>
      <c r="C6" s="73">
        <f t="shared" ref="C6:C10" si="1">B6/$B$11</f>
        <v>0.6246113821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999620</v>
      </c>
      <c r="C7" s="73">
        <f t="shared" si="1"/>
        <v>0.1897174659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548963</v>
      </c>
      <c r="C8" s="73">
        <f t="shared" si="1"/>
        <v>0.1041874605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305409</v>
      </c>
      <c r="C9" s="73">
        <f t="shared" si="1"/>
        <v>0.05796344766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123928</v>
      </c>
      <c r="C10" s="73">
        <f t="shared" si="1"/>
        <v>0.02352024381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5268993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 t="str">
        <f>IFERROR(__xludf.DUMMYFUNCTION("AVERAGE(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0" s="241" t="str">
        <f>IFERROR(__xludf.DUMMYFUNCTION("AVERAGE(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0" s="241" t="str">
        <f>IFERROR(__xludf.DUMMYFUNCTION("AVERAGE(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0" s="241" t="str">
        <f>IFERROR(__xludf.DUMMYFUNCTION("AVERAGE(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0" s="241" t="str">
        <f>IFERROR(__xludf.DUMMYFUNCTION("AVERAGE(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 t="str">
        <f>N20*$B$6</f>
        <v>#N/A</v>
      </c>
      <c r="Y20" s="241" t="str">
        <f>O20*$B$7</f>
        <v>#N/A</v>
      </c>
      <c r="Z20" s="241" t="str">
        <f>P20*$B$8</f>
        <v>#N/A</v>
      </c>
      <c r="AA20" s="241" t="str">
        <f>Q20*$B$9</f>
        <v>#N/A</v>
      </c>
      <c r="AB20" s="241" t="str">
        <f>R20*$B$10</f>
        <v>#N/A</v>
      </c>
      <c r="AC20" s="242" t="str">
        <f>N20*$C$6</f>
        <v>#N/A</v>
      </c>
      <c r="AD20" s="242" t="str">
        <f>O20*$C$7</f>
        <v>#N/A</v>
      </c>
      <c r="AE20" s="242" t="str">
        <f>P20*$C$8</f>
        <v>#N/A</v>
      </c>
      <c r="AF20" s="242" t="str">
        <f>Q20*$C$9</f>
        <v>#N/A</v>
      </c>
      <c r="AG20" s="242" t="str">
        <f>R20*$C$10</f>
        <v>#N/A</v>
      </c>
      <c r="AH20" s="242">
        <f>(S20*S20+T20*T20+U20*U20+V20*V20+W20*W20)^0.5</f>
        <v>0</v>
      </c>
      <c r="AI20" s="242">
        <f>AH20*$B$15</f>
        <v>0</v>
      </c>
      <c r="AJ20" s="243" t="str">
        <f>SUM(X20:AB20)</f>
        <v>#N/A</v>
      </c>
      <c r="AK20" s="244">
        <f>IF(AI20=0,0,AI20/AJ20)</f>
        <v>0</v>
      </c>
      <c r="AL20" s="245" t="str">
        <f>AJ20/$B$2</f>
        <v>#N/A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 t="str">
        <f>IFERROR(__xludf.DUMMYFUNCTION("AVERAGE(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2" s="254" t="str">
        <f>IFERROR(__xludf.DUMMYFUNCTION("AVERAGE(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2" s="254" t="str">
        <f>IFERROR(__xludf.DUMMYFUNCTION("AVERAGE(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2" s="254" t="str">
        <f>IFERROR(__xludf.DUMMYFUNCTION("AVERAGE(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2" s="254" t="str">
        <f>IFERROR(__xludf.DUMMYFUNCTION("AVERAGE(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 t="str">
        <f>N22*$B$6</f>
        <v>#N/A</v>
      </c>
      <c r="Y22" s="254" t="str">
        <f>O22*$B$7</f>
        <v>#N/A</v>
      </c>
      <c r="Z22" s="254" t="str">
        <f>P22*$B$8</f>
        <v>#N/A</v>
      </c>
      <c r="AA22" s="254" t="str">
        <f>Q22*$B$9</f>
        <v>#N/A</v>
      </c>
      <c r="AB22" s="254" t="str">
        <f>R22*$B$10</f>
        <v>#N/A</v>
      </c>
      <c r="AC22" s="255" t="str">
        <f>N22*$C$6</f>
        <v>#N/A</v>
      </c>
      <c r="AD22" s="255" t="str">
        <f>O22*$C$7</f>
        <v>#N/A</v>
      </c>
      <c r="AE22" s="255" t="str">
        <f>P22*$C$8</f>
        <v>#N/A</v>
      </c>
      <c r="AF22" s="255" t="str">
        <f>Q22*$C$9</f>
        <v>#N/A</v>
      </c>
      <c r="AG22" s="255" t="str">
        <f>R22*$C$10</f>
        <v>#N/A</v>
      </c>
      <c r="AH22" s="255">
        <f>(S22*S22+T22*T22+U22*U22+V22*V22+W22*W22)^0.5</f>
        <v>0</v>
      </c>
      <c r="AI22" s="255">
        <f>AH22*$B$15</f>
        <v>0</v>
      </c>
      <c r="AJ22" s="256" t="str">
        <f>SUM(X22:AB22)</f>
        <v>#N/A</v>
      </c>
      <c r="AK22" s="170">
        <f>IF(AI22=0,0,AI22/AJ22)</f>
        <v>0</v>
      </c>
      <c r="AL22" s="171" t="str">
        <f>AJ22/$B$2</f>
        <v>#N/A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 t="str">
        <f>IFERROR(__xludf.DUMMYFUNCTION("AVERAGE(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4" s="261" t="str">
        <f>IFERROR(__xludf.DUMMYFUNCTION("AVERAGE(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4" s="261" t="str">
        <f>IFERROR(__xludf.DUMMYFUNCTION("AVERAGE(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4" s="261" t="str">
        <f>IFERROR(__xludf.DUMMYFUNCTION("AVERAGE(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4" s="261" t="str">
        <f>IFERROR(__xludf.DUMMYFUNCTION("AVERAGE(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 t="str">
        <f t="shared" ref="X24:X25" si="15">N24*$B$6</f>
        <v>#N/A</v>
      </c>
      <c r="Y24" s="261" t="str">
        <f t="shared" ref="Y24:Y25" si="16">O24*$B$7</f>
        <v>#N/A</v>
      </c>
      <c r="Z24" s="261" t="str">
        <f t="shared" ref="Z24:Z25" si="17">P24*$B$8</f>
        <v>#N/A</v>
      </c>
      <c r="AA24" s="261" t="str">
        <f t="shared" ref="AA24:AA25" si="18">Q24*$B$9</f>
        <v>#N/A</v>
      </c>
      <c r="AB24" s="261" t="str">
        <f t="shared" ref="AB24:AB25" si="19">R24*$B$10</f>
        <v>#N/A</v>
      </c>
      <c r="AC24" s="259" t="str">
        <f t="shared" ref="AC24:AC25" si="20">N24*$C$6</f>
        <v>#N/A</v>
      </c>
      <c r="AD24" s="259" t="str">
        <f t="shared" ref="AD24:AD25" si="21">O24*$C$7</f>
        <v>#N/A</v>
      </c>
      <c r="AE24" s="259" t="str">
        <f t="shared" ref="AE24:AE25" si="22">P24*$C$8</f>
        <v>#N/A</v>
      </c>
      <c r="AF24" s="259" t="str">
        <f t="shared" ref="AF24:AF25" si="23">Q24*$C$9</f>
        <v>#N/A</v>
      </c>
      <c r="AG24" s="259" t="str">
        <f t="shared" ref="AG24:AG25" si="24">R24*$C$10</f>
        <v>#N/A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 t="str">
        <f t="shared" ref="AJ24:AJ25" si="27">SUM(X24:AB24)</f>
        <v>#N/A</v>
      </c>
      <c r="AK24" s="179">
        <f t="shared" ref="AK24:AK25" si="28">IF(AI24=0,0,AI24/AJ24)</f>
        <v>0</v>
      </c>
      <c r="AL24" s="180" t="str">
        <f t="shared" ref="AL24:AL25" si="29">AJ24/$B$2</f>
        <v>#N/A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 t="str">
        <f>IFERROR(__xludf.DUMMYFUNCTION("AVERAGE(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5" s="261" t="str">
        <f>IFERROR(__xludf.DUMMYFUNCTION("AVERAGE(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5" s="261" t="str">
        <f>IFERROR(__xludf.DUMMYFUNCTION("AVERAGE(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5" s="261" t="str">
        <f>IFERROR(__xludf.DUMMYFUNCTION("AVERAGE(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5" s="261" t="str">
        <f>IFERROR(__xludf.DUMMYFUNCTION("AVERAGE(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 t="str">
        <f t="shared" si="15"/>
        <v>#N/A</v>
      </c>
      <c r="Y25" s="261" t="str">
        <f t="shared" si="16"/>
        <v>#N/A</v>
      </c>
      <c r="Z25" s="261" t="str">
        <f t="shared" si="17"/>
        <v>#N/A</v>
      </c>
      <c r="AA25" s="261" t="str">
        <f t="shared" si="18"/>
        <v>#N/A</v>
      </c>
      <c r="AB25" s="261" t="str">
        <f t="shared" si="19"/>
        <v>#N/A</v>
      </c>
      <c r="AC25" s="259" t="str">
        <f t="shared" si="20"/>
        <v>#N/A</v>
      </c>
      <c r="AD25" s="259" t="str">
        <f t="shared" si="21"/>
        <v>#N/A</v>
      </c>
      <c r="AE25" s="259" t="str">
        <f t="shared" si="22"/>
        <v>#N/A</v>
      </c>
      <c r="AF25" s="259" t="str">
        <f t="shared" si="23"/>
        <v>#N/A</v>
      </c>
      <c r="AG25" s="259" t="str">
        <f t="shared" si="24"/>
        <v>#N/A</v>
      </c>
      <c r="AH25" s="259">
        <f t="shared" si="25"/>
        <v>0</v>
      </c>
      <c r="AI25" s="259">
        <f t="shared" si="26"/>
        <v>0</v>
      </c>
      <c r="AJ25" s="262" t="str">
        <f t="shared" si="27"/>
        <v>#N/A</v>
      </c>
      <c r="AK25" s="179">
        <f t="shared" si="28"/>
        <v>0</v>
      </c>
      <c r="AL25" s="180" t="str">
        <f t="shared" si="29"/>
        <v>#N/A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 t="str">
        <f>SUM(AJ20:AJ25)</f>
        <v>#N/A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553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1640856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AJ23</f>
        <v>#N/A</v>
      </c>
      <c r="K4" s="224">
        <v>2023.0</v>
      </c>
      <c r="L4" s="225" t="str">
        <f>AJ25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1041024</v>
      </c>
      <c r="C6" s="73">
        <f t="shared" ref="C6:C10" si="1">B6/$B$11</f>
        <v>0.6344395852</v>
      </c>
      <c r="D6" s="74">
        <f t="shared" ref="D6:D10" si="2">COUNTIFS(
    INDIRECT("'" &amp; $B$20 &amp; "'!" &amp; $B$21 &amp; ":" &amp; $B$21), A6,
    INDIRECT("'" &amp; $B$20 &amp; "'!" &amp; $B$12 &amp; ":" &amp; $B$12), "*" &amp; $B$4 &amp; "*",
    INDIRECT("'" &amp; $B$20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304224</v>
      </c>
      <c r="C7" s="73">
        <f t="shared" si="1"/>
        <v>0.1854056663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159214</v>
      </c>
      <c r="C8" s="73">
        <f t="shared" si="1"/>
        <v>0.09703106184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92780</v>
      </c>
      <c r="C9" s="73">
        <f t="shared" si="1"/>
        <v>0.0565436577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43614</v>
      </c>
      <c r="C10" s="73">
        <f t="shared" si="1"/>
        <v>0.02658002896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1640856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/>
    <row r="18" ht="15.75" customHeight="1"/>
    <row r="19" ht="15.75" customHeight="1"/>
    <row r="20" ht="15.75" customHeight="1">
      <c r="A20" s="89" t="s">
        <v>8</v>
      </c>
      <c r="B20" s="90" t="str">
        <f>'TNT 2015-2022'!B16</f>
        <v>CEO 2015-2023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85"/>
      <c r="N20" s="85"/>
      <c r="O20" s="8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112"/>
      <c r="AD20" s="112"/>
      <c r="AE20" s="112"/>
      <c r="AF20" s="112"/>
      <c r="AG20" s="112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ht="15.75" customHeight="1">
      <c r="A21" s="82" t="s">
        <v>507</v>
      </c>
      <c r="B21" s="90" t="str">
        <f t="shared" ref="B21:B22" si="4">IFERROR("$" &amp; SUBSTITUTE(ADDRESS(1, MATCH(A21, INDIRECT("'" &amp; $B$20 &amp; "'!1:1"), 0), 4), "1", ""), "Not Found")
</f>
        <v>$D</v>
      </c>
      <c r="C21" s="229" t="s">
        <v>494</v>
      </c>
      <c r="D21" s="65"/>
      <c r="E21" s="65"/>
      <c r="F21" s="65"/>
      <c r="G21" s="65"/>
      <c r="H21" s="66"/>
      <c r="I21" s="230" t="s">
        <v>495</v>
      </c>
      <c r="J21" s="65"/>
      <c r="K21" s="65"/>
      <c r="L21" s="65"/>
      <c r="M21" s="66"/>
      <c r="N21" s="231" t="s">
        <v>496</v>
      </c>
      <c r="O21" s="65"/>
      <c r="P21" s="65"/>
      <c r="Q21" s="65"/>
      <c r="R21" s="65"/>
      <c r="S21" s="230" t="s">
        <v>497</v>
      </c>
      <c r="T21" s="65"/>
      <c r="U21" s="65"/>
      <c r="V21" s="65"/>
      <c r="W21" s="66"/>
      <c r="X21" s="230" t="s">
        <v>498</v>
      </c>
      <c r="Y21" s="65"/>
      <c r="Z21" s="65"/>
      <c r="AA21" s="65"/>
      <c r="AB21" s="66"/>
      <c r="AC21" s="232" t="s">
        <v>499</v>
      </c>
      <c r="AD21" s="65"/>
      <c r="AE21" s="65"/>
      <c r="AF21" s="65"/>
      <c r="AG21" s="65"/>
      <c r="AH21" s="66"/>
      <c r="AI21" s="230"/>
      <c r="AJ21" s="89"/>
      <c r="AK21" s="63"/>
      <c r="AL21" s="63"/>
      <c r="AM21" s="29"/>
      <c r="AN21" s="29"/>
      <c r="AO21" s="29"/>
      <c r="AP21" s="29"/>
      <c r="AQ21" s="29"/>
    </row>
    <row r="22" ht="15.75" customHeight="1">
      <c r="A22" s="233" t="s">
        <v>464</v>
      </c>
      <c r="B22" s="90" t="str">
        <f t="shared" si="4"/>
        <v>$DD</v>
      </c>
      <c r="C22" s="234">
        <v>1.0</v>
      </c>
      <c r="D22" s="235">
        <v>2.0</v>
      </c>
      <c r="E22" s="234">
        <v>3.0</v>
      </c>
      <c r="F22" s="234">
        <v>4.0</v>
      </c>
      <c r="G22" s="234">
        <v>5.0</v>
      </c>
      <c r="H22" s="89" t="s">
        <v>500</v>
      </c>
      <c r="I22" s="234">
        <v>1.0</v>
      </c>
      <c r="J22" s="234">
        <v>2.0</v>
      </c>
      <c r="K22" s="234">
        <v>3.0</v>
      </c>
      <c r="L22" s="234">
        <v>4.0</v>
      </c>
      <c r="M22" s="234">
        <v>5.0</v>
      </c>
      <c r="N22" s="234">
        <v>1.0</v>
      </c>
      <c r="O22" s="234">
        <v>2.0</v>
      </c>
      <c r="P22" s="234">
        <v>3.0</v>
      </c>
      <c r="Q22" s="234">
        <v>4.0</v>
      </c>
      <c r="R22" s="234">
        <v>5.0</v>
      </c>
      <c r="S22" s="234">
        <v>1.0</v>
      </c>
      <c r="T22" s="234">
        <v>2.0</v>
      </c>
      <c r="U22" s="234">
        <v>3.0</v>
      </c>
      <c r="V22" s="234">
        <v>4.0</v>
      </c>
      <c r="W22" s="234">
        <v>5.0</v>
      </c>
      <c r="X22" s="234">
        <v>1.0</v>
      </c>
      <c r="Y22" s="234">
        <v>2.0</v>
      </c>
      <c r="Z22" s="234">
        <v>3.0</v>
      </c>
      <c r="AA22" s="234">
        <v>4.0</v>
      </c>
      <c r="AB22" s="234">
        <v>5.0</v>
      </c>
      <c r="AC22" s="236">
        <v>1.0</v>
      </c>
      <c r="AD22" s="236">
        <v>2.0</v>
      </c>
      <c r="AE22" s="236">
        <v>3.0</v>
      </c>
      <c r="AF22" s="236">
        <v>4.0</v>
      </c>
      <c r="AG22" s="236">
        <v>5.0</v>
      </c>
      <c r="AH22" s="89" t="s">
        <v>501</v>
      </c>
      <c r="AI22" s="89" t="s">
        <v>502</v>
      </c>
      <c r="AJ22" s="237" t="s">
        <v>503</v>
      </c>
      <c r="AK22" s="156" t="s">
        <v>504</v>
      </c>
      <c r="AL22" s="156" t="s">
        <v>505</v>
      </c>
      <c r="AM22" s="29"/>
      <c r="AN22" s="29"/>
      <c r="AO22" s="29"/>
      <c r="AP22" s="29"/>
      <c r="AQ22" s="29"/>
    </row>
    <row r="23" ht="15.75" customHeight="1">
      <c r="A23" s="238" t="s">
        <v>453</v>
      </c>
      <c r="B23" s="90" t="str">
        <f>'TNT 2023'!B19</f>
        <v>$CZ</v>
      </c>
      <c r="C23" s="239">
        <f t="shared" ref="C23:G23" si="5">COUNTIFS(
    INDIRECT("'" &amp; $B$20 &amp; "'!" &amp; $B$21 &amp; ":" &amp; $B$21), C$22,
    INDIRECT("'" &amp; $B$20 &amp; "'!" &amp; $B$12 &amp; ":" &amp; $B$12), "*" &amp; $B$4 &amp; "*",
    INDIRECT("'" &amp; $B$20 &amp; "'!" &amp; $B$13 &amp; ":" &amp; $B$13), $A$1,
    INDIRECT("'" &amp; $B$20 &amp; "'!" &amp; $B$22 &amp; ":" &amp; $B$22), $A23
)</f>
        <v>0</v>
      </c>
      <c r="D23" s="239">
        <f t="shared" si="5"/>
        <v>0</v>
      </c>
      <c r="E23" s="239">
        <f t="shared" si="5"/>
        <v>0</v>
      </c>
      <c r="F23" s="239">
        <f t="shared" si="5"/>
        <v>0</v>
      </c>
      <c r="G23" s="239">
        <f t="shared" si="5"/>
        <v>0</v>
      </c>
      <c r="H23" s="239">
        <f>SUM(C23:G23)</f>
        <v>0</v>
      </c>
      <c r="I23" s="240">
        <f>IFERROR(__xludf.DUMMYFUNCTION("IFERROR(
    VAR.S(
        FILTER(
            INDIRECT(""'"" &amp; $B$20 &amp; ""'!"" &amp; $B23 &amp; "":"" &amp; $B23), 
            (INDIRECT(""'"" &amp; $B$20 &amp; ""'!"" &amp; $B$21 &amp; "":"" &amp; $B$21) = I$22) *
            (ISNUMBER(SEARCH($B$4, INDIRECT(""'"" &amp; $B$20 &amp; ""'!"" &amp; $"&amp;"B$12 &amp; "":"" &amp; $B$12)))) *
            (INDIRECT(""'"" &amp; $B$20 &amp; ""'!"" &amp; $B$13 &amp; "":"" &amp; $B$13) = $A$1)
        )
    )/$D$6, 
    0
)
"),0.0)</f>
        <v>0</v>
      </c>
      <c r="J23" s="240">
        <f>IFERROR(__xludf.DUMMYFUNCTION("IFERROR(
    VAR.S(
        FILTER(
            INDIRECT(""'"" &amp; $B$20 &amp; ""'!"" &amp; $B23 &amp; "":"" &amp; $B23), 
            (INDIRECT(""'"" &amp; $B$20 &amp; ""'!"" &amp; $B$21 &amp; "":"" &amp; $B$21) = J$22) *
            (ISNUMBER(SEARCH($B$4, INDIRECT(""'"" &amp; $B$20 &amp; ""'!"" &amp; $"&amp;"B$12 &amp; "":"" &amp; $B$12)))) *
            (INDIRECT(""'"" &amp; $B$20 &amp; ""'!"" &amp; $B$13 &amp; "":"" &amp; $B$13) = $A$1)
        )
    )/$D$7, 
    0
)
"),0.0)</f>
        <v>0</v>
      </c>
      <c r="K23" s="240">
        <f>IFERROR(__xludf.DUMMYFUNCTION("IFERROR(
    VAR.S(
        FILTER(
            INDIRECT(""'"" &amp; $B$20 &amp; ""'!"" &amp; $B23 &amp; "":"" &amp; $B23), 
            (INDIRECT(""'"" &amp; $B$20 &amp; ""'!"" &amp; $B$21 &amp; "":"" &amp; $B$21) = K$22) *
            (ISNUMBER(SEARCH($B$4, INDIRECT(""'"" &amp; $B$20 &amp; ""'!"" &amp; $"&amp;"B$12 &amp; "":"" &amp; $B$12)))) *
            (INDIRECT(""'"" &amp; $B$20 &amp; ""'!"" &amp; $B$13 &amp; "":"" &amp; $B$13) = $A$1)
        )
    )/$D$8, 
    0
)
"),0.0)</f>
        <v>0</v>
      </c>
      <c r="L23" s="241">
        <f>IFERROR(__xludf.DUMMYFUNCTION("IFERROR(
    VAR.S(
        FILTER(
            INDIRECT(""'"" &amp; $B$20 &amp; ""'!"" &amp; $B23 &amp; "":"" &amp; $B23), 
            (INDIRECT(""'"" &amp; $B$20 &amp; ""'!"" &amp; $B$21 &amp; "":"" &amp; $B$21) = L$22) *
            (ISNUMBER(SEARCH($B$4, INDIRECT(""'"" &amp; $B$20 &amp; ""'!"" &amp; $"&amp;"B$12 &amp; "":"" &amp; $B$12)))) *
            (INDIRECT(""'"" &amp; $B$20 &amp; ""'!"" &amp; $B$13 &amp; "":"" &amp; $B$13) = $A$1)
        )
    )/$D$9, 
    0
)
"),0.0)</f>
        <v>0</v>
      </c>
      <c r="M23" s="241">
        <f>IFERROR(__xludf.DUMMYFUNCTION("IFERROR(
    VAR.S(
        FILTER(
            INDIRECT(""'"" &amp; $B$20 &amp; ""'!"" &amp; $B23 &amp; "":"" &amp; $B23), 
            (INDIRECT(""'"" &amp; $B$20 &amp; ""'!"" &amp; $B$21 &amp; "":"" &amp; $B$21) = M$22) *
            (ISNUMBER(SEARCH($B$4, INDIRECT(""'"" &amp; $B$20 &amp; ""'!"" &amp; $"&amp;"B$12 &amp; "":"" &amp; $B$12)))) *
            (INDIRECT(""'"" &amp; $B$20 &amp; ""'!"" &amp; $B$13 &amp; "":"" &amp; $B$13) = $A$1)
        )
    )/$D$10, 
    0
)
"),0.0)</f>
        <v>0</v>
      </c>
      <c r="N23" s="241" t="str">
        <f>IFERROR(__xludf.DUMMYFUNCTION("AVERAGE(
        FILTER(
            INDIRECT(""'"" &amp; $B$20 &amp; ""'!"" &amp; $B23 &amp; "":"" &amp; $B23), 
            (INDIRECT(""'"" &amp; $B$20 &amp; ""'!"" &amp; $B$21 &amp; "":"" &amp; $B$21) = I$22)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O23" s="241" t="str">
        <f>IFERROR(__xludf.DUMMYFUNCTION("AVERAGE(
        FILTER(
            INDIRECT(""'"" &amp; $B$20 &amp; ""'!"" &amp; $B23 &amp; "":"" &amp; $B23), 
            (INDIRECT(""'"" &amp; $B$20 &amp; ""'!"" &amp; $B$21 &amp; "":"" &amp; $B$21) = J$22)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P23" s="241" t="str">
        <f>IFERROR(__xludf.DUMMYFUNCTION("AVERAGE(
        FILTER(
            INDIRECT(""'"" &amp; $B$20 &amp; ""'!"" &amp; $B23 &amp; "":"" &amp; $B23), 
            (INDIRECT(""'"" &amp; $B$20 &amp; ""'!"" &amp; $B$21 &amp; "":"" &amp; $B$21) = K$22)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Q23" s="241" t="str">
        <f>IFERROR(__xludf.DUMMYFUNCTION("AVERAGE(
        FILTER(
            INDIRECT(""'"" &amp; $B$20 &amp; ""'!"" &amp; $B23 &amp; "":"" &amp; $B23), 
            (INDIRECT(""'"" &amp; $B$20 &amp; ""'!"" &amp; $B$21 &amp; "":"" &amp; $B$21) = L$22)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R23" s="241" t="str">
        <f>IFERROR(__xludf.DUMMYFUNCTION("AVERAGE(
        FILTER(
            INDIRECT(""'"" &amp; $B$20 &amp; ""'!"" &amp; $B23 &amp; "":"" &amp; $B23), 
            (INDIRECT(""'"" &amp; $B$20 &amp; ""'!"" &amp; $B$21 &amp; "":"" &amp; $B$21) = M$22)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S23" s="241">
        <f>($B$6^2*I23)^0.5</f>
        <v>0</v>
      </c>
      <c r="T23" s="241">
        <f>($B$7^2*J23)^0.5</f>
        <v>0</v>
      </c>
      <c r="U23" s="241">
        <f>($B$8^2*K23)^0.5</f>
        <v>0</v>
      </c>
      <c r="V23" s="241">
        <f>($B$9^2*L23)^0.5</f>
        <v>0</v>
      </c>
      <c r="W23" s="241">
        <f>($B$10^2*M23)^0.5</f>
        <v>0</v>
      </c>
      <c r="X23" s="241" t="str">
        <f>N23*$B$6</f>
        <v>#N/A</v>
      </c>
      <c r="Y23" s="241" t="str">
        <f>O23*$B$7</f>
        <v>#N/A</v>
      </c>
      <c r="Z23" s="241" t="str">
        <f>P23*$B$8</f>
        <v>#N/A</v>
      </c>
      <c r="AA23" s="241" t="str">
        <f>Q23*$B$9</f>
        <v>#N/A</v>
      </c>
      <c r="AB23" s="241" t="str">
        <f>R23*$B$10</f>
        <v>#N/A</v>
      </c>
      <c r="AC23" s="242" t="str">
        <f>N23*$C$6</f>
        <v>#N/A</v>
      </c>
      <c r="AD23" s="242" t="str">
        <f>O23*$C$7</f>
        <v>#N/A</v>
      </c>
      <c r="AE23" s="242" t="str">
        <f>P23*$C$8</f>
        <v>#N/A</v>
      </c>
      <c r="AF23" s="242" t="str">
        <f>Q23*$C$9</f>
        <v>#N/A</v>
      </c>
      <c r="AG23" s="242" t="str">
        <f>R23*$C$10</f>
        <v>#N/A</v>
      </c>
      <c r="AH23" s="242">
        <f>(S23*S23+T23*T23+U23*U23+V23*V23+W23*W23)^0.5</f>
        <v>0</v>
      </c>
      <c r="AI23" s="242">
        <f>AH23*$B$15</f>
        <v>0</v>
      </c>
      <c r="AJ23" s="243" t="str">
        <f>SUM(X23:AB23)</f>
        <v>#N/A</v>
      </c>
      <c r="AK23" s="244">
        <f>IF(AI23=0,0,AI23/AJ23)</f>
        <v>0</v>
      </c>
      <c r="AL23" s="245" t="str">
        <f>AJ23/$B$2</f>
        <v>#N/A</v>
      </c>
      <c r="AM23" s="227"/>
      <c r="AN23" s="227"/>
      <c r="AO23" s="227"/>
      <c r="AP23" s="227"/>
      <c r="AQ23" s="227"/>
    </row>
    <row r="24" ht="15.75" customHeight="1">
      <c r="A24" s="246"/>
      <c r="B24" s="247"/>
      <c r="C24" s="247"/>
      <c r="D24" s="247"/>
      <c r="E24" s="247"/>
      <c r="F24" s="247"/>
      <c r="G24" s="247"/>
      <c r="H24" s="247"/>
      <c r="I24" s="248"/>
      <c r="J24" s="248"/>
      <c r="K24" s="248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50"/>
      <c r="AD24" s="250"/>
      <c r="AE24" s="250"/>
      <c r="AF24" s="250"/>
      <c r="AG24" s="250"/>
      <c r="AH24" s="250"/>
      <c r="AI24" s="250"/>
      <c r="AJ24" s="250"/>
      <c r="AK24" s="168"/>
      <c r="AL24" s="168"/>
      <c r="AM24" s="227"/>
      <c r="AN24" s="227"/>
      <c r="AO24" s="227"/>
      <c r="AP24" s="227"/>
      <c r="AQ24" s="227"/>
    </row>
    <row r="25" ht="15.75" customHeight="1">
      <c r="A25" s="251" t="s">
        <v>456</v>
      </c>
      <c r="B25" s="90" t="str">
        <f>'TNT 2023'!B21</f>
        <v>$DA</v>
      </c>
      <c r="C25" s="252">
        <f t="shared" ref="C25:G25" si="6">COUNTIFS(
    INDIRECT("'" &amp; $B$20 &amp; "'!" &amp; $B$21 &amp; ":" &amp; $B$21), C$22,
    INDIRECT("'" &amp; $B$20 &amp; "'!" &amp; $B$12 &amp; ":" &amp; $B$12), "*" &amp; $B$4 &amp; "*",
    INDIRECT("'" &amp; $B$20 &amp; "'!" &amp; $B$13 &amp; ":" &amp; $B$13), $A$1,
    INDIRECT("'" &amp; $B$20 &amp; "'!" &amp; $B$22 &amp; ":" &amp; $B$22), $A25
)</f>
        <v>0</v>
      </c>
      <c r="D25" s="252">
        <f t="shared" si="6"/>
        <v>0</v>
      </c>
      <c r="E25" s="252">
        <f t="shared" si="6"/>
        <v>0</v>
      </c>
      <c r="F25" s="252">
        <f t="shared" si="6"/>
        <v>0</v>
      </c>
      <c r="G25" s="252">
        <f t="shared" si="6"/>
        <v>0</v>
      </c>
      <c r="H25" s="252">
        <f>SUM(C25:G25)</f>
        <v>0</v>
      </c>
      <c r="I25" s="253">
        <f>IFERROR(__xludf.DUMMYFUNCTION("IFERROR(
    VAR.S(
        FILTER(
            INDIRECT(""'"" &amp; $B$20 &amp; ""'!"" &amp; $B25 &amp; "":"" &amp; $B25), 
            (INDIRECT(""'"" &amp; $B$20 &amp; ""'!"" &amp; $B$21 &amp; "":"" &amp; $B$21) = I$22) *
            (ISNUMBER(SEARCH($B$4, INDIRECT(""'"" &amp; $B$20 &amp; ""'!"" &amp; $"&amp;"B$12 &amp; "":"" &amp; $B$12)))) *
            (INDIRECT(""'"" &amp; $B$20 &amp; ""'!"" &amp; $B$13 &amp; "":"" &amp; $B$13) = $A$1)
        )
    )/$D$6, 
    0
)
"),0.0)</f>
        <v>0</v>
      </c>
      <c r="J25" s="253">
        <f>IFERROR(__xludf.DUMMYFUNCTION("IFERROR(
    VAR.S(
        FILTER(
            INDIRECT(""'"" &amp; $B$20 &amp; ""'!"" &amp; $B25 &amp; "":"" &amp; $B25), 
            (INDIRECT(""'"" &amp; $B$20 &amp; ""'!"" &amp; $B$21 &amp; "":"" &amp; $B$21) = J$22) *
            (ISNUMBER(SEARCH($B$4, INDIRECT(""'"" &amp; $B$20 &amp; ""'!"" &amp; $"&amp;"B$12 &amp; "":"" &amp; $B$12)))) *
            (INDIRECT(""'"" &amp; $B$20 &amp; ""'!"" &amp; $B$13 &amp; "":"" &amp; $B$13) = $A$1)
        )
    )/$D$7, 
    0
)
"),0.0)</f>
        <v>0</v>
      </c>
      <c r="K25" s="253">
        <f>IFERROR(__xludf.DUMMYFUNCTION("IFERROR(
    VAR.S(
        FILTER(
            INDIRECT(""'"" &amp; $B$20 &amp; ""'!"" &amp; $B25 &amp; "":"" &amp; $B25), 
            (INDIRECT(""'"" &amp; $B$20 &amp; ""'!"" &amp; $B$21 &amp; "":"" &amp; $B$21) = K$22) *
            (ISNUMBER(SEARCH($B$4, INDIRECT(""'"" &amp; $B$20 &amp; ""'!"" &amp; $"&amp;"B$12 &amp; "":"" &amp; $B$12)))) *
            (INDIRECT(""'"" &amp; $B$20 &amp; ""'!"" &amp; $B$13 &amp; "":"" &amp; $B$13) = $A$1)
        )
    )/$D$8, 
    0
)
"),0.0)</f>
        <v>0</v>
      </c>
      <c r="L25" s="254">
        <f>IFERROR(__xludf.DUMMYFUNCTION("IFERROR(
    VAR.S(
        FILTER(
            INDIRECT(""'"" &amp; $B$20 &amp; ""'!"" &amp; $B25 &amp; "":"" &amp; $B25), 
            (INDIRECT(""'"" &amp; $B$20 &amp; ""'!"" &amp; $B$21 &amp; "":"" &amp; $B$21) = L$22) *
            (ISNUMBER(SEARCH($B$4, INDIRECT(""'"" &amp; $B$20 &amp; ""'!"" &amp; $"&amp;"B$12 &amp; "":"" &amp; $B$12)))) *
            (INDIRECT(""'"" &amp; $B$20 &amp; ""'!"" &amp; $B$13 &amp; "":"" &amp; $B$13) = $A$1)
        )
    )/$D$9, 
    0
)
"),0.0)</f>
        <v>0</v>
      </c>
      <c r="M25" s="254">
        <f>IFERROR(__xludf.DUMMYFUNCTION("IFERROR(
    VAR.S(
        FILTER(
            INDIRECT(""'"" &amp; $B$20 &amp; ""'!"" &amp; $B25 &amp; "":"" &amp; $B25), 
            (INDIRECT(""'"" &amp; $B$20 &amp; ""'!"" &amp; $B$21 &amp; "":"" &amp; $B$21) = M$22) *
            (ISNUMBER(SEARCH($B$4, INDIRECT(""'"" &amp; $B$20 &amp; ""'!"" &amp; $"&amp;"B$12 &amp; "":"" &amp; $B$12)))) *
            (INDIRECT(""'"" &amp; $B$20 &amp; ""'!"" &amp; $B$13 &amp; "":"" &amp; $B$13) = $A$1)
        )
    )/$D$10, 
    0
)
"),0.0)</f>
        <v>0</v>
      </c>
      <c r="N25" s="254" t="str">
        <f>IFERROR(__xludf.DUMMYFUNCTION("AVERAGE(
        FILTER(
            INDIRECT(""'"" &amp; $B$20 &amp; ""'!"" &amp; $B25 &amp; "":"" &amp; $B25), 
            (INDIRECT(""'"" &amp; $B$20 &amp; ""'!"" &amp; $B$21 &amp; "":"" &amp; $B$21) = I$22)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O25" s="254" t="str">
        <f>IFERROR(__xludf.DUMMYFUNCTION("AVERAGE(
        FILTER(
            INDIRECT(""'"" &amp; $B$20 &amp; ""'!"" &amp; $B25 &amp; "":"" &amp; $B25), 
            (INDIRECT(""'"" &amp; $B$20 &amp; ""'!"" &amp; $B$21 &amp; "":"" &amp; $B$21) = J$22)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P25" s="254" t="str">
        <f>IFERROR(__xludf.DUMMYFUNCTION("AVERAGE(
        FILTER(
            INDIRECT(""'"" &amp; $B$20 &amp; ""'!"" &amp; $B25 &amp; "":"" &amp; $B25), 
            (INDIRECT(""'"" &amp; $B$20 &amp; ""'!"" &amp; $B$21 &amp; "":"" &amp; $B$21) = K$22)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Q25" s="254" t="str">
        <f>IFERROR(__xludf.DUMMYFUNCTION("AVERAGE(
        FILTER(
            INDIRECT(""'"" &amp; $B$20 &amp; ""'!"" &amp; $B25 &amp; "":"" &amp; $B25), 
            (INDIRECT(""'"" &amp; $B$20 &amp; ""'!"" &amp; $B$21 &amp; "":"" &amp; $B$21) = L$22)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R25" s="254" t="str">
        <f>IFERROR(__xludf.DUMMYFUNCTION("AVERAGE(
        FILTER(
            INDIRECT(""'"" &amp; $B$20 &amp; ""'!"" &amp; $B25 &amp; "":"" &amp; $B25), 
            (INDIRECT(""'"" &amp; $B$20 &amp; ""'!"" &amp; $B$21 &amp; "":"" &amp; $B$21) = M$22)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S25" s="254">
        <f>($B$6^2*I25)^0.5</f>
        <v>0</v>
      </c>
      <c r="T25" s="254">
        <f>($B$7^2*J25)^0.5</f>
        <v>0</v>
      </c>
      <c r="U25" s="254">
        <f>($B$8^2*K25)^0.5</f>
        <v>0</v>
      </c>
      <c r="V25" s="254">
        <f>($B$9^2*L25)^0.5</f>
        <v>0</v>
      </c>
      <c r="W25" s="254">
        <f>($B$10^2*M25)^0.5</f>
        <v>0</v>
      </c>
      <c r="X25" s="254" t="str">
        <f>N25*$B$6</f>
        <v>#N/A</v>
      </c>
      <c r="Y25" s="254" t="str">
        <f>O25*$B$7</f>
        <v>#N/A</v>
      </c>
      <c r="Z25" s="254" t="str">
        <f>P25*$B$8</f>
        <v>#N/A</v>
      </c>
      <c r="AA25" s="254" t="str">
        <f>Q25*$B$9</f>
        <v>#N/A</v>
      </c>
      <c r="AB25" s="254" t="str">
        <f>R25*$B$10</f>
        <v>#N/A</v>
      </c>
      <c r="AC25" s="255" t="str">
        <f>N25*$C$6</f>
        <v>#N/A</v>
      </c>
      <c r="AD25" s="255" t="str">
        <f>O25*$C$7</f>
        <v>#N/A</v>
      </c>
      <c r="AE25" s="255" t="str">
        <f>P25*$C$8</f>
        <v>#N/A</v>
      </c>
      <c r="AF25" s="255" t="str">
        <f>Q25*$C$9</f>
        <v>#N/A</v>
      </c>
      <c r="AG25" s="255" t="str">
        <f>R25*$C$10</f>
        <v>#N/A</v>
      </c>
      <c r="AH25" s="255">
        <f>(S25*S25+T25*T25+U25*U25+V25*V25+W25*W25)^0.5</f>
        <v>0</v>
      </c>
      <c r="AI25" s="255">
        <f>AH25*$B$15</f>
        <v>0</v>
      </c>
      <c r="AJ25" s="256" t="str">
        <f>SUM(X25:AB25)</f>
        <v>#N/A</v>
      </c>
      <c r="AK25" s="170">
        <f>IF(AI25=0,0,AI25/AJ25)</f>
        <v>0</v>
      </c>
      <c r="AL25" s="171" t="str">
        <f>AJ25/$B$2</f>
        <v>#N/A</v>
      </c>
      <c r="AM25" s="227"/>
      <c r="AN25" s="227"/>
      <c r="AO25" s="227"/>
      <c r="AP25" s="227"/>
      <c r="AQ25" s="227"/>
    </row>
    <row r="26" ht="15.75" customHeight="1">
      <c r="A26" s="29"/>
      <c r="B26" s="247" t="str">
        <f>'TNT 2023'!B22</f>
        <v/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112"/>
      <c r="Y26" s="250"/>
      <c r="Z26" s="250"/>
      <c r="AA26" s="250"/>
      <c r="AB26" s="250"/>
      <c r="AC26" s="250"/>
      <c r="AD26" s="112"/>
      <c r="AE26" s="112"/>
      <c r="AF26" s="112"/>
      <c r="AG26" s="112"/>
      <c r="AH26" s="112"/>
      <c r="AI26" s="112"/>
      <c r="AJ26" s="29"/>
      <c r="AK26" s="168"/>
      <c r="AL26" s="168"/>
      <c r="AM26" s="29"/>
      <c r="AN26" s="29"/>
      <c r="AO26" s="29"/>
      <c r="AP26" s="29"/>
      <c r="AQ26" s="29"/>
    </row>
    <row r="27" ht="15.75" customHeight="1">
      <c r="A27" s="258" t="s">
        <v>296</v>
      </c>
      <c r="B27" s="90" t="str">
        <f>'TNT 2023'!B23</f>
        <v>$AW</v>
      </c>
      <c r="C27" s="259">
        <f t="shared" ref="C27:G27" si="7">COUNTIFS(
    INDIRECT("'" &amp; $B$20 &amp; "'!" &amp; $B$21 &amp; ":" &amp; $B$21), C$22,
    INDIRECT("'" &amp; $B$20 &amp; "'!" &amp; $B$12 &amp; ":" &amp; $B$12), "*" &amp; $B$4 &amp; "*",
    INDIRECT("'" &amp; $B$20 &amp; "'!" &amp; $B$13 &amp; ":" &amp; $B$13), $A$1,
    INDIRECT("'" &amp; $B$20 &amp; "'!" &amp; $B$22 &amp; ":" &amp; $B$22), $A27
)</f>
        <v>0</v>
      </c>
      <c r="D27" s="259">
        <f t="shared" si="7"/>
        <v>0</v>
      </c>
      <c r="E27" s="259">
        <f t="shared" si="7"/>
        <v>0</v>
      </c>
      <c r="F27" s="259">
        <f t="shared" si="7"/>
        <v>0</v>
      </c>
      <c r="G27" s="259">
        <f t="shared" si="7"/>
        <v>0</v>
      </c>
      <c r="H27" s="259">
        <f t="shared" ref="H27:H28" si="9">SUM(C27:G27)</f>
        <v>0</v>
      </c>
      <c r="I27" s="260">
        <f>IFERROR(__xludf.DUMMYFUNCTION("IFERROR(
    VAR.S(
        FILTER(
            INDIRECT(""'"" &amp; $B$20 &amp; ""'!"" &amp; $B27 &amp; "":"" &amp; $B27), 
            (INDIRECT(""'"" &amp; $B$20 &amp; ""'!"" &amp; $B$21 &amp; "":"" &amp; $B$21) = I$22) *
            (ISNUMBER(SEARCH($B$4, INDIRECT(""'"" &amp; $B$20 &amp; ""'!"" &amp; $"&amp;"B$12 &amp; "":"" &amp; $B$12)))) *
            (INDIRECT(""'"" &amp; $B$20 &amp; ""'!"" &amp; $B$13 &amp; "":"" &amp; $B$13) = $A$1)
        )
    )/$D$6, 
    0
)
"),0.0)</f>
        <v>0</v>
      </c>
      <c r="J27" s="260">
        <f>IFERROR(__xludf.DUMMYFUNCTION("IFERROR(
    VAR.S(
        FILTER(
            INDIRECT(""'"" &amp; $B$20 &amp; ""'!"" &amp; $B27 &amp; "":"" &amp; $B27), 
            (INDIRECT(""'"" &amp; $B$20 &amp; ""'!"" &amp; $B$21 &amp; "":"" &amp; $B$21) = J$22) *
            (ISNUMBER(SEARCH($B$4, INDIRECT(""'"" &amp; $B$20 &amp; ""'!"" &amp; $"&amp;"B$12 &amp; "":"" &amp; $B$12)))) *
            (INDIRECT(""'"" &amp; $B$20 &amp; ""'!"" &amp; $B$13 &amp; "":"" &amp; $B$13) = $A$1)
        )
    )/$D$7, 
    0
)
"),0.0)</f>
        <v>0</v>
      </c>
      <c r="K27" s="260">
        <f>IFERROR(__xludf.DUMMYFUNCTION("IFERROR(
    VAR.S(
        FILTER(
            INDIRECT(""'"" &amp; $B$20 &amp; ""'!"" &amp; $B27 &amp; "":"" &amp; $B27), 
            (INDIRECT(""'"" &amp; $B$20 &amp; ""'!"" &amp; $B$21 &amp; "":"" &amp; $B$21) = K$22) *
            (ISNUMBER(SEARCH($B$4, INDIRECT(""'"" &amp; $B$20 &amp; ""'!"" &amp; $"&amp;"B$12 &amp; "":"" &amp; $B$12)))) *
            (INDIRECT(""'"" &amp; $B$20 &amp; ""'!"" &amp; $B$13 &amp; "":"" &amp; $B$13) = $A$1)
        )
    )/$D$8, 
    0
)
"),0.0)</f>
        <v>0</v>
      </c>
      <c r="L27" s="261">
        <f>IFERROR(__xludf.DUMMYFUNCTION("IFERROR(
    VAR.S(
        FILTER(
            INDIRECT(""'"" &amp; $B$20 &amp; ""'!"" &amp; $B27 &amp; "":"" &amp; $B27), 
            (INDIRECT(""'"" &amp; $B$20 &amp; ""'!"" &amp; $B$21 &amp; "":"" &amp; $B$21) = L$22) *
            (ISNUMBER(SEARCH($B$4, INDIRECT(""'"" &amp; $B$20 &amp; ""'!"" &amp; $"&amp;"B$12 &amp; "":"" &amp; $B$12)))) *
            (INDIRECT(""'"" &amp; $B$20 &amp; ""'!"" &amp; $B$13 &amp; "":"" &amp; $B$13) = $A$1)
        )
    )/$D$9, 
    0
)
"),0.0)</f>
        <v>0</v>
      </c>
      <c r="M27" s="261">
        <f>IFERROR(__xludf.DUMMYFUNCTION("IFERROR(
    VAR.S(
        FILTER(
            INDIRECT(""'"" &amp; $B$20 &amp; ""'!"" &amp; $B27 &amp; "":"" &amp; $B27), 
            (INDIRECT(""'"" &amp; $B$20 &amp; ""'!"" &amp; $B$21 &amp; "":"" &amp; $B$21) = M$22) *
            (ISNUMBER(SEARCH($B$4, INDIRECT(""'"" &amp; $B$20 &amp; ""'!"" &amp; $"&amp;"B$12 &amp; "":"" &amp; $B$12)))) *
            (INDIRECT(""'"" &amp; $B$20 &amp; ""'!"" &amp; $B$13 &amp; "":"" &amp; $B$13) = $A$1)
        )
    )/$D$10, 
    0
)
"),0.0)</f>
        <v>0</v>
      </c>
      <c r="N27" s="261" t="str">
        <f>IFERROR(__xludf.DUMMYFUNCTION("AVERAGE(
        FILTER(
            INDIRECT(""'"" &amp; $B$20 &amp; ""'!"" &amp; $B27 &amp; "":"" &amp; $B27), 
            (INDIRECT(""'"" &amp; $B$20 &amp; ""'!"" &amp; $B$21 &amp; "":"" &amp; $B$21) = I$22)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O27" s="261" t="str">
        <f>IFERROR(__xludf.DUMMYFUNCTION("AVERAGE(
        FILTER(
            INDIRECT(""'"" &amp; $B$20 &amp; ""'!"" &amp; $B27 &amp; "":"" &amp; $B27), 
            (INDIRECT(""'"" &amp; $B$20 &amp; ""'!"" &amp; $B$21 &amp; "":"" &amp; $B$21) = J$22)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P27" s="261" t="str">
        <f>IFERROR(__xludf.DUMMYFUNCTION("AVERAGE(
        FILTER(
            INDIRECT(""'"" &amp; $B$20 &amp; ""'!"" &amp; $B27 &amp; "":"" &amp; $B27), 
            (INDIRECT(""'"" &amp; $B$20 &amp; ""'!"" &amp; $B$21 &amp; "":"" &amp; $B$21) = K$22)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Q27" s="261" t="str">
        <f>IFERROR(__xludf.DUMMYFUNCTION("AVERAGE(
        FILTER(
            INDIRECT(""'"" &amp; $B$20 &amp; ""'!"" &amp; $B27 &amp; "":"" &amp; $B27), 
            (INDIRECT(""'"" &amp; $B$20 &amp; ""'!"" &amp; $B$21 &amp; "":"" &amp; $B$21) = L$22)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R27" s="261" t="str">
        <f>IFERROR(__xludf.DUMMYFUNCTION("AVERAGE(
        FILTER(
            INDIRECT(""'"" &amp; $B$20 &amp; ""'!"" &amp; $B27 &amp; "":"" &amp; $B27), 
            (INDIRECT(""'"" &amp; $B$20 &amp; ""'!"" &amp; $B$21 &amp; "":"" &amp; $B$21) = M$22)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S27" s="261">
        <f t="shared" ref="S27:S28" si="10">($B$6^2*I27)^0.5</f>
        <v>0</v>
      </c>
      <c r="T27" s="261">
        <f t="shared" ref="T27:T28" si="11">($B$7^2*J27)^0.5</f>
        <v>0</v>
      </c>
      <c r="U27" s="261">
        <f t="shared" ref="U27:U28" si="12">($B$8^2*K27)^0.5</f>
        <v>0</v>
      </c>
      <c r="V27" s="261">
        <f t="shared" ref="V27:V28" si="13">($B$9^2*L27)^0.5</f>
        <v>0</v>
      </c>
      <c r="W27" s="261">
        <f t="shared" ref="W27:W28" si="14">($B$10^2*M27)^0.5</f>
        <v>0</v>
      </c>
      <c r="X27" s="261" t="str">
        <f t="shared" ref="X27:X28" si="15">N27*$B$6</f>
        <v>#N/A</v>
      </c>
      <c r="Y27" s="261" t="str">
        <f t="shared" ref="Y27:Y28" si="16">O27*$B$7</f>
        <v>#N/A</v>
      </c>
      <c r="Z27" s="261" t="str">
        <f t="shared" ref="Z27:Z28" si="17">P27*$B$8</f>
        <v>#N/A</v>
      </c>
      <c r="AA27" s="261" t="str">
        <f t="shared" ref="AA27:AA28" si="18">Q27*$B$9</f>
        <v>#N/A</v>
      </c>
      <c r="AB27" s="261" t="str">
        <f t="shared" ref="AB27:AB28" si="19">R27*$B$10</f>
        <v>#N/A</v>
      </c>
      <c r="AC27" s="259" t="str">
        <f t="shared" ref="AC27:AC28" si="20">N27*$C$6</f>
        <v>#N/A</v>
      </c>
      <c r="AD27" s="259" t="str">
        <f t="shared" ref="AD27:AD28" si="21">O27*$C$7</f>
        <v>#N/A</v>
      </c>
      <c r="AE27" s="259" t="str">
        <f t="shared" ref="AE27:AE28" si="22">P27*$C$8</f>
        <v>#N/A</v>
      </c>
      <c r="AF27" s="259" t="str">
        <f t="shared" ref="AF27:AF28" si="23">Q27*$C$9</f>
        <v>#N/A</v>
      </c>
      <c r="AG27" s="259" t="str">
        <f t="shared" ref="AG27:AG28" si="24">R27*$C$10</f>
        <v>#N/A</v>
      </c>
      <c r="AH27" s="259">
        <f t="shared" ref="AH27:AH28" si="25">(S27*S27+T27*T27+U27*U27+V27*V27+W27*W27)^0.5</f>
        <v>0</v>
      </c>
      <c r="AI27" s="259">
        <f t="shared" ref="AI27:AI28" si="26">AH27*$B$15</f>
        <v>0</v>
      </c>
      <c r="AJ27" s="262" t="str">
        <f t="shared" ref="AJ27:AJ28" si="27">SUM(X27:AB27)</f>
        <v>#N/A</v>
      </c>
      <c r="AK27" s="179">
        <f t="shared" ref="AK27:AK28" si="28">IF(AI27=0,0,AI27/AJ27)</f>
        <v>0</v>
      </c>
      <c r="AL27" s="180" t="str">
        <f t="shared" ref="AL27:AL28" si="29">AJ27/$B$2</f>
        <v>#N/A</v>
      </c>
      <c r="AM27" s="227"/>
      <c r="AN27" s="227"/>
      <c r="AO27" s="227"/>
      <c r="AP27" s="227"/>
      <c r="AQ27" s="227"/>
    </row>
    <row r="28" ht="15.75" customHeight="1">
      <c r="A28" s="258" t="s">
        <v>299</v>
      </c>
      <c r="B28" s="90" t="str">
        <f>'TNT 2023'!B24</f>
        <v>$AX</v>
      </c>
      <c r="C28" s="259">
        <f t="shared" ref="C28:G28" si="8">COUNTIFS(
    INDIRECT("'" &amp; $B$20 &amp; "'!" &amp; $B$21 &amp; ":" &amp; $B$21), C$22,
    INDIRECT("'" &amp; $B$20 &amp; "'!" &amp; $B$12 &amp; ":" &amp; $B$12), "*" &amp; $B$4 &amp; "*",
    INDIRECT("'" &amp; $B$20 &amp; "'!" &amp; $B$13 &amp; ":" &amp; $B$13), $A$1,
    INDIRECT("'" &amp; $B$20 &amp; "'!" &amp; $B$22 &amp; ":" &amp; $B$22), $A28
)</f>
        <v>0</v>
      </c>
      <c r="D28" s="259">
        <f t="shared" si="8"/>
        <v>0</v>
      </c>
      <c r="E28" s="259">
        <f t="shared" si="8"/>
        <v>0</v>
      </c>
      <c r="F28" s="259">
        <f t="shared" si="8"/>
        <v>0</v>
      </c>
      <c r="G28" s="259">
        <f t="shared" si="8"/>
        <v>0</v>
      </c>
      <c r="H28" s="259">
        <f t="shared" si="9"/>
        <v>0</v>
      </c>
      <c r="I28" s="260">
        <f>IFERROR(__xludf.DUMMYFUNCTION("IFERROR(
    VAR.S(
        FILTER(
            INDIRECT(""'"" &amp; $B$20 &amp; ""'!"" &amp; $B28 &amp; "":"" &amp; $B28), 
            (INDIRECT(""'"" &amp; $B$20 &amp; ""'!"" &amp; $B$21 &amp; "":"" &amp; $B$21) = I$22) *
            (ISNUMBER(SEARCH($B$4, INDIRECT(""'"" &amp; $B$20 &amp; ""'!"" &amp; $"&amp;"B$12 &amp; "":"" &amp; $B$12)))) *
            (INDIRECT(""'"" &amp; $B$20 &amp; ""'!"" &amp; $B$13 &amp; "":"" &amp; $B$13) = $A$1)
        )
    )/$D$6, 
    0
)
"),0.0)</f>
        <v>0</v>
      </c>
      <c r="J28" s="260">
        <f>IFERROR(__xludf.DUMMYFUNCTION("IFERROR(
    VAR.S(
        FILTER(
            INDIRECT(""'"" &amp; $B$20 &amp; ""'!"" &amp; $B28 &amp; "":"" &amp; $B28), 
            (INDIRECT(""'"" &amp; $B$20 &amp; ""'!"" &amp; $B$21 &amp; "":"" &amp; $B$21) = J$22) *
            (ISNUMBER(SEARCH($B$4, INDIRECT(""'"" &amp; $B$20 &amp; ""'!"" &amp; $"&amp;"B$12 &amp; "":"" &amp; $B$12)))) *
            (INDIRECT(""'"" &amp; $B$20 &amp; ""'!"" &amp; $B$13 &amp; "":"" &amp; $B$13) = $A$1)
        )
    )/$D$7, 
    0
)
"),0.0)</f>
        <v>0</v>
      </c>
      <c r="K28" s="260">
        <f>IFERROR(__xludf.DUMMYFUNCTION("IFERROR(
    VAR.S(
        FILTER(
            INDIRECT(""'"" &amp; $B$20 &amp; ""'!"" &amp; $B28 &amp; "":"" &amp; $B28), 
            (INDIRECT(""'"" &amp; $B$20 &amp; ""'!"" &amp; $B$21 &amp; "":"" &amp; $B$21) = K$22) *
            (ISNUMBER(SEARCH($B$4, INDIRECT(""'"" &amp; $B$20 &amp; ""'!"" &amp; $"&amp;"B$12 &amp; "":"" &amp; $B$12)))) *
            (INDIRECT(""'"" &amp; $B$20 &amp; ""'!"" &amp; $B$13 &amp; "":"" &amp; $B$13) = $A$1)
        )
    )/$D$8, 
    0
)
"),0.0)</f>
        <v>0</v>
      </c>
      <c r="L28" s="261">
        <f>IFERROR(__xludf.DUMMYFUNCTION("IFERROR(
    VAR.S(
        FILTER(
            INDIRECT(""'"" &amp; $B$20 &amp; ""'!"" &amp; $B28 &amp; "":"" &amp; $B28), 
            (INDIRECT(""'"" &amp; $B$20 &amp; ""'!"" &amp; $B$21 &amp; "":"" &amp; $B$21) = L$22) *
            (ISNUMBER(SEARCH($B$4, INDIRECT(""'"" &amp; $B$20 &amp; ""'!"" &amp; $"&amp;"B$12 &amp; "":"" &amp; $B$12)))) *
            (INDIRECT(""'"" &amp; $B$20 &amp; ""'!"" &amp; $B$13 &amp; "":"" &amp; $B$13) = $A$1)
        )
    )/$D$9, 
    0
)
"),0.0)</f>
        <v>0</v>
      </c>
      <c r="M28" s="261">
        <f>IFERROR(__xludf.DUMMYFUNCTION("IFERROR(
    VAR.S(
        FILTER(
            INDIRECT(""'"" &amp; $B$20 &amp; ""'!"" &amp; $B28 &amp; "":"" &amp; $B28), 
            (INDIRECT(""'"" &amp; $B$20 &amp; ""'!"" &amp; $B$21 &amp; "":"" &amp; $B$21) = M$22) *
            (ISNUMBER(SEARCH($B$4, INDIRECT(""'"" &amp; $B$20 &amp; ""'!"" &amp; $"&amp;"B$12 &amp; "":"" &amp; $B$12)))) *
            (INDIRECT(""'"" &amp; $B$20 &amp; ""'!"" &amp; $B$13 &amp; "":"" &amp; $B$13) = $A$1)
        )
    )/$D$10, 
    0
)
"),0.0)</f>
        <v>0</v>
      </c>
      <c r="N28" s="261" t="str">
        <f>IFERROR(__xludf.DUMMYFUNCTION("AVERAGE(
        FILTER(
            INDIRECT(""'"" &amp; $B$20 &amp; ""'!"" &amp; $B28 &amp; "":"" &amp; $B28), 
            (INDIRECT(""'"" &amp; $B$20 &amp; ""'!"" &amp; $B$21 &amp; "":"" &amp; $B$21) = I$22)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O28" s="261" t="str">
        <f>IFERROR(__xludf.DUMMYFUNCTION("AVERAGE(
        FILTER(
            INDIRECT(""'"" &amp; $B$20 &amp; ""'!"" &amp; $B28 &amp; "":"" &amp; $B28), 
            (INDIRECT(""'"" &amp; $B$20 &amp; ""'!"" &amp; $B$21 &amp; "":"" &amp; $B$21) = J$22)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P28" s="261" t="str">
        <f>IFERROR(__xludf.DUMMYFUNCTION("AVERAGE(
        FILTER(
            INDIRECT(""'"" &amp; $B$20 &amp; ""'!"" &amp; $B28 &amp; "":"" &amp; $B28), 
            (INDIRECT(""'"" &amp; $B$20 &amp; ""'!"" &amp; $B$21 &amp; "":"" &amp; $B$21) = K$22)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Q28" s="261" t="str">
        <f>IFERROR(__xludf.DUMMYFUNCTION("AVERAGE(
        FILTER(
            INDIRECT(""'"" &amp; $B$20 &amp; ""'!"" &amp; $B28 &amp; "":"" &amp; $B28), 
            (INDIRECT(""'"" &amp; $B$20 &amp; ""'!"" &amp; $B$21 &amp; "":"" &amp; $B$21) = L$22)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R28" s="261" t="str">
        <f>IFERROR(__xludf.DUMMYFUNCTION("AVERAGE(
        FILTER(
            INDIRECT(""'"" &amp; $B$20 &amp; ""'!"" &amp; $B28 &amp; "":"" &amp; $B28), 
            (INDIRECT(""'"" &amp; $B$20 &amp; ""'!"" &amp; $B$21 &amp; "":"" &amp; $B$21) = M$22) *
            (ISNUMBER(SEARCH($B$4, INDIRECT(""'"" &amp; $B$20 &amp; ""'!"" &amp; $B$12 &amp; "":"&amp;""" &amp; $B$12)))) *
            (INDIRECT(""'"" &amp; $B$20 &amp; ""'!"" &amp; $B$13 &amp; "":"" &amp; $B$13) = $A$1)
        )
    )"),"#N/A")</f>
        <v>#N/A</v>
      </c>
      <c r="S28" s="261">
        <f t="shared" si="10"/>
        <v>0</v>
      </c>
      <c r="T28" s="261">
        <f t="shared" si="11"/>
        <v>0</v>
      </c>
      <c r="U28" s="261">
        <f t="shared" si="12"/>
        <v>0</v>
      </c>
      <c r="V28" s="261">
        <f t="shared" si="13"/>
        <v>0</v>
      </c>
      <c r="W28" s="261">
        <f t="shared" si="14"/>
        <v>0</v>
      </c>
      <c r="X28" s="261" t="str">
        <f t="shared" si="15"/>
        <v>#N/A</v>
      </c>
      <c r="Y28" s="261" t="str">
        <f t="shared" si="16"/>
        <v>#N/A</v>
      </c>
      <c r="Z28" s="261" t="str">
        <f t="shared" si="17"/>
        <v>#N/A</v>
      </c>
      <c r="AA28" s="261" t="str">
        <f t="shared" si="18"/>
        <v>#N/A</v>
      </c>
      <c r="AB28" s="261" t="str">
        <f t="shared" si="19"/>
        <v>#N/A</v>
      </c>
      <c r="AC28" s="259" t="str">
        <f t="shared" si="20"/>
        <v>#N/A</v>
      </c>
      <c r="AD28" s="259" t="str">
        <f t="shared" si="21"/>
        <v>#N/A</v>
      </c>
      <c r="AE28" s="259" t="str">
        <f t="shared" si="22"/>
        <v>#N/A</v>
      </c>
      <c r="AF28" s="259" t="str">
        <f t="shared" si="23"/>
        <v>#N/A</v>
      </c>
      <c r="AG28" s="259" t="str">
        <f t="shared" si="24"/>
        <v>#N/A</v>
      </c>
      <c r="AH28" s="259">
        <f t="shared" si="25"/>
        <v>0</v>
      </c>
      <c r="AI28" s="259">
        <f t="shared" si="26"/>
        <v>0</v>
      </c>
      <c r="AJ28" s="262" t="str">
        <f t="shared" si="27"/>
        <v>#N/A</v>
      </c>
      <c r="AK28" s="179">
        <f t="shared" si="28"/>
        <v>0</v>
      </c>
      <c r="AL28" s="180" t="str">
        <f t="shared" si="29"/>
        <v>#N/A</v>
      </c>
      <c r="AM28" s="227"/>
      <c r="AN28" s="227"/>
      <c r="AO28" s="227"/>
      <c r="AP28" s="227"/>
      <c r="AQ28" s="227"/>
    </row>
    <row r="29" ht="15.75" customHeight="1">
      <c r="A29" s="85"/>
      <c r="B29" s="29"/>
      <c r="C29" s="29"/>
      <c r="D29" s="29"/>
      <c r="E29" s="29"/>
      <c r="F29" s="29"/>
      <c r="G29" s="29"/>
      <c r="H29" s="263">
        <f>SUM(H23:H28)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112"/>
      <c r="AD29" s="112"/>
      <c r="AE29" s="112"/>
      <c r="AF29" s="112"/>
      <c r="AG29" s="112"/>
      <c r="AH29" s="29"/>
      <c r="AI29" s="29"/>
      <c r="AJ29" s="113" t="str">
        <f>SUM(AJ23:AJ28)</f>
        <v>#N/A</v>
      </c>
      <c r="AK29" s="29"/>
      <c r="AL29" s="29"/>
      <c r="AM29" s="29"/>
      <c r="AN29" s="29"/>
      <c r="AO29" s="29"/>
      <c r="AP29" s="29"/>
      <c r="AQ29" s="29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21:H21"/>
    <mergeCell ref="I21:M21"/>
    <mergeCell ref="N21:R21"/>
    <mergeCell ref="S21:W21"/>
    <mergeCell ref="X21:AB21"/>
    <mergeCell ref="AC21:AH21"/>
  </mergeCells>
  <conditionalFormatting sqref="AJ29">
    <cfRule type="expression" dxfId="0" priority="1">
      <formula>AJ29=B2</formula>
    </cfRule>
  </conditionalFormatting>
  <conditionalFormatting sqref="AJ29">
    <cfRule type="expression" dxfId="2" priority="2">
      <formula>AJ29&lt;&gt;B2</formula>
    </cfRule>
  </conditionalFormatting>
  <conditionalFormatting sqref="H29">
    <cfRule type="expression" dxfId="0" priority="3">
      <formula>H29=D11</formula>
    </cfRule>
  </conditionalFormatting>
  <conditionalFormatting sqref="H29">
    <cfRule type="expression" dxfId="2" priority="4">
      <formula>H29&lt;&gt;D11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554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1966145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AJ20</f>
        <v>#N/A</v>
      </c>
      <c r="K4" s="224">
        <v>2023.0</v>
      </c>
      <c r="L4" s="225" t="str">
        <f>AJ22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1199417</v>
      </c>
      <c r="C6" s="73">
        <f t="shared" ref="C6:C10" si="1">B6/$B$11</f>
        <v>0.6100348652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408898</v>
      </c>
      <c r="C7" s="73">
        <f t="shared" si="1"/>
        <v>0.2079694021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192959</v>
      </c>
      <c r="C8" s="73">
        <f t="shared" si="1"/>
        <v>0.09814077802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110904</v>
      </c>
      <c r="C9" s="73">
        <f t="shared" si="1"/>
        <v>0.05640682656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53967</v>
      </c>
      <c r="C10" s="73">
        <f t="shared" si="1"/>
        <v>0.02744812819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1966145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 t="str">
        <f>IFERROR(__xludf.DUMMYFUNCTION("AVERAGE(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0" s="241" t="str">
        <f>IFERROR(__xludf.DUMMYFUNCTION("AVERAGE(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0" s="241" t="str">
        <f>IFERROR(__xludf.DUMMYFUNCTION("AVERAGE(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0" s="241" t="str">
        <f>IFERROR(__xludf.DUMMYFUNCTION("AVERAGE(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0" s="241" t="str">
        <f>IFERROR(__xludf.DUMMYFUNCTION("AVERAGE(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 t="str">
        <f>N20*$B$6</f>
        <v>#N/A</v>
      </c>
      <c r="Y20" s="241" t="str">
        <f>O20*$B$7</f>
        <v>#N/A</v>
      </c>
      <c r="Z20" s="241" t="str">
        <f>P20*$B$8</f>
        <v>#N/A</v>
      </c>
      <c r="AA20" s="241" t="str">
        <f>Q20*$B$9</f>
        <v>#N/A</v>
      </c>
      <c r="AB20" s="241" t="str">
        <f>R20*$B$10</f>
        <v>#N/A</v>
      </c>
      <c r="AC20" s="242" t="str">
        <f>N20*$C$6</f>
        <v>#N/A</v>
      </c>
      <c r="AD20" s="242" t="str">
        <f>O20*$C$7</f>
        <v>#N/A</v>
      </c>
      <c r="AE20" s="242" t="str">
        <f>P20*$C$8</f>
        <v>#N/A</v>
      </c>
      <c r="AF20" s="242" t="str">
        <f>Q20*$C$9</f>
        <v>#N/A</v>
      </c>
      <c r="AG20" s="242" t="str">
        <f>R20*$C$10</f>
        <v>#N/A</v>
      </c>
      <c r="AH20" s="242">
        <f>(S20*S20+T20*T20+U20*U20+V20*V20+W20*W20)^0.5</f>
        <v>0</v>
      </c>
      <c r="AI20" s="242">
        <f>AH20*$B$15</f>
        <v>0</v>
      </c>
      <c r="AJ20" s="243" t="str">
        <f>SUM(X20:AB20)</f>
        <v>#N/A</v>
      </c>
      <c r="AK20" s="244">
        <f>IF(AI20=0,0,AI20/AJ20)</f>
        <v>0</v>
      </c>
      <c r="AL20" s="245" t="str">
        <f>AJ20/$B$2</f>
        <v>#N/A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 t="str">
        <f>IFERROR(__xludf.DUMMYFUNCTION("AVERAGE(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2" s="254" t="str">
        <f>IFERROR(__xludf.DUMMYFUNCTION("AVERAGE(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2" s="254" t="str">
        <f>IFERROR(__xludf.DUMMYFUNCTION("AVERAGE(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2" s="254" t="str">
        <f>IFERROR(__xludf.DUMMYFUNCTION("AVERAGE(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2" s="254" t="str">
        <f>IFERROR(__xludf.DUMMYFUNCTION("AVERAGE(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 t="str">
        <f>N22*$B$6</f>
        <v>#N/A</v>
      </c>
      <c r="Y22" s="254" t="str">
        <f>O22*$B$7</f>
        <v>#N/A</v>
      </c>
      <c r="Z22" s="254" t="str">
        <f>P22*$B$8</f>
        <v>#N/A</v>
      </c>
      <c r="AA22" s="254" t="str">
        <f>Q22*$B$9</f>
        <v>#N/A</v>
      </c>
      <c r="AB22" s="254" t="str">
        <f>R22*$B$10</f>
        <v>#N/A</v>
      </c>
      <c r="AC22" s="255" t="str">
        <f>N22*$C$6</f>
        <v>#N/A</v>
      </c>
      <c r="AD22" s="255" t="str">
        <f>O22*$C$7</f>
        <v>#N/A</v>
      </c>
      <c r="AE22" s="255" t="str">
        <f>P22*$C$8</f>
        <v>#N/A</v>
      </c>
      <c r="AF22" s="255" t="str">
        <f>Q22*$C$9</f>
        <v>#N/A</v>
      </c>
      <c r="AG22" s="255" t="str">
        <f>R22*$C$10</f>
        <v>#N/A</v>
      </c>
      <c r="AH22" s="255">
        <f>(S22*S22+T22*T22+U22*U22+V22*V22+W22*W22)^0.5</f>
        <v>0</v>
      </c>
      <c r="AI22" s="255">
        <f>AH22*$B$15</f>
        <v>0</v>
      </c>
      <c r="AJ22" s="256" t="str">
        <f>SUM(X22:AB22)</f>
        <v>#N/A</v>
      </c>
      <c r="AK22" s="170">
        <f>IF(AI22=0,0,AI22/AJ22)</f>
        <v>0</v>
      </c>
      <c r="AL22" s="171" t="str">
        <f>AJ22/$B$2</f>
        <v>#N/A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 t="str">
        <f>IFERROR(__xludf.DUMMYFUNCTION("AVERAGE(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4" s="261" t="str">
        <f>IFERROR(__xludf.DUMMYFUNCTION("AVERAGE(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4" s="261" t="str">
        <f>IFERROR(__xludf.DUMMYFUNCTION("AVERAGE(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4" s="261" t="str">
        <f>IFERROR(__xludf.DUMMYFUNCTION("AVERAGE(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4" s="261" t="str">
        <f>IFERROR(__xludf.DUMMYFUNCTION("AVERAGE(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 t="str">
        <f t="shared" ref="X24:X25" si="15">N24*$B$6</f>
        <v>#N/A</v>
      </c>
      <c r="Y24" s="261" t="str">
        <f t="shared" ref="Y24:Y25" si="16">O24*$B$7</f>
        <v>#N/A</v>
      </c>
      <c r="Z24" s="261" t="str">
        <f t="shared" ref="Z24:Z25" si="17">P24*$B$8</f>
        <v>#N/A</v>
      </c>
      <c r="AA24" s="261" t="str">
        <f t="shared" ref="AA24:AA25" si="18">Q24*$B$9</f>
        <v>#N/A</v>
      </c>
      <c r="AB24" s="261" t="str">
        <f t="shared" ref="AB24:AB25" si="19">R24*$B$10</f>
        <v>#N/A</v>
      </c>
      <c r="AC24" s="259" t="str">
        <f t="shared" ref="AC24:AC25" si="20">N24*$C$6</f>
        <v>#N/A</v>
      </c>
      <c r="AD24" s="259" t="str">
        <f t="shared" ref="AD24:AD25" si="21">O24*$C$7</f>
        <v>#N/A</v>
      </c>
      <c r="AE24" s="259" t="str">
        <f t="shared" ref="AE24:AE25" si="22">P24*$C$8</f>
        <v>#N/A</v>
      </c>
      <c r="AF24" s="259" t="str">
        <f t="shared" ref="AF24:AF25" si="23">Q24*$C$9</f>
        <v>#N/A</v>
      </c>
      <c r="AG24" s="259" t="str">
        <f t="shared" ref="AG24:AG25" si="24">R24*$C$10</f>
        <v>#N/A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 t="str">
        <f t="shared" ref="AJ24:AJ25" si="27">SUM(X24:AB24)</f>
        <v>#N/A</v>
      </c>
      <c r="AK24" s="179">
        <f t="shared" ref="AK24:AK25" si="28">IF(AI24=0,0,AI24/AJ24)</f>
        <v>0</v>
      </c>
      <c r="AL24" s="180" t="str">
        <f t="shared" ref="AL24:AL25" si="29">AJ24/$B$2</f>
        <v>#N/A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 t="str">
        <f>IFERROR(__xludf.DUMMYFUNCTION("AVERAGE(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5" s="261" t="str">
        <f>IFERROR(__xludf.DUMMYFUNCTION("AVERAGE(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5" s="261" t="str">
        <f>IFERROR(__xludf.DUMMYFUNCTION("AVERAGE(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5" s="261" t="str">
        <f>IFERROR(__xludf.DUMMYFUNCTION("AVERAGE(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5" s="261" t="str">
        <f>IFERROR(__xludf.DUMMYFUNCTION("AVERAGE(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 t="str">
        <f t="shared" si="15"/>
        <v>#N/A</v>
      </c>
      <c r="Y25" s="261" t="str">
        <f t="shared" si="16"/>
        <v>#N/A</v>
      </c>
      <c r="Z25" s="261" t="str">
        <f t="shared" si="17"/>
        <v>#N/A</v>
      </c>
      <c r="AA25" s="261" t="str">
        <f t="shared" si="18"/>
        <v>#N/A</v>
      </c>
      <c r="AB25" s="261" t="str">
        <f t="shared" si="19"/>
        <v>#N/A</v>
      </c>
      <c r="AC25" s="259" t="str">
        <f t="shared" si="20"/>
        <v>#N/A</v>
      </c>
      <c r="AD25" s="259" t="str">
        <f t="shared" si="21"/>
        <v>#N/A</v>
      </c>
      <c r="AE25" s="259" t="str">
        <f t="shared" si="22"/>
        <v>#N/A</v>
      </c>
      <c r="AF25" s="259" t="str">
        <f t="shared" si="23"/>
        <v>#N/A</v>
      </c>
      <c r="AG25" s="259" t="str">
        <f t="shared" si="24"/>
        <v>#N/A</v>
      </c>
      <c r="AH25" s="259">
        <f t="shared" si="25"/>
        <v>0</v>
      </c>
      <c r="AI25" s="259">
        <f t="shared" si="26"/>
        <v>0</v>
      </c>
      <c r="AJ25" s="262" t="str">
        <f t="shared" si="27"/>
        <v>#N/A</v>
      </c>
      <c r="AK25" s="179">
        <f t="shared" si="28"/>
        <v>0</v>
      </c>
      <c r="AL25" s="180" t="str">
        <f t="shared" si="29"/>
        <v>#N/A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 t="str">
        <f>SUM(AJ20:AJ25)</f>
        <v>#N/A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523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1840173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AJ20</f>
        <v>#N/A</v>
      </c>
      <c r="K4" s="224">
        <v>2023.0</v>
      </c>
      <c r="L4" s="225" t="str">
        <f>AJ22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1294182</v>
      </c>
      <c r="C6" s="73">
        <f t="shared" ref="C6:C10" si="1">B6/$B$11</f>
        <v>0.7032936577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297858</v>
      </c>
      <c r="C7" s="73">
        <f t="shared" si="1"/>
        <v>0.1618641291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141311</v>
      </c>
      <c r="C8" s="73">
        <f t="shared" si="1"/>
        <v>0.07679223638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76464</v>
      </c>
      <c r="C9" s="73">
        <f t="shared" si="1"/>
        <v>0.04155261489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30358</v>
      </c>
      <c r="C10" s="73">
        <f t="shared" si="1"/>
        <v>0.01649736193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1840173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 t="str">
        <f>IFERROR(__xludf.DUMMYFUNCTION("AVERAGE(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0" s="241" t="str">
        <f>IFERROR(__xludf.DUMMYFUNCTION("AVERAGE(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0" s="241" t="str">
        <f>IFERROR(__xludf.DUMMYFUNCTION("AVERAGE(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0" s="241" t="str">
        <f>IFERROR(__xludf.DUMMYFUNCTION("AVERAGE(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0" s="241" t="str">
        <f>IFERROR(__xludf.DUMMYFUNCTION("AVERAGE(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 t="str">
        <f>N20*$B$6</f>
        <v>#N/A</v>
      </c>
      <c r="Y20" s="241" t="str">
        <f>O20*$B$7</f>
        <v>#N/A</v>
      </c>
      <c r="Z20" s="241" t="str">
        <f>P20*$B$8</f>
        <v>#N/A</v>
      </c>
      <c r="AA20" s="241" t="str">
        <f>Q20*$B$9</f>
        <v>#N/A</v>
      </c>
      <c r="AB20" s="241" t="str">
        <f>R20*$B$10</f>
        <v>#N/A</v>
      </c>
      <c r="AC20" s="242" t="str">
        <f>N20*$C$6</f>
        <v>#N/A</v>
      </c>
      <c r="AD20" s="242" t="str">
        <f>O20*$C$7</f>
        <v>#N/A</v>
      </c>
      <c r="AE20" s="242" t="str">
        <f>P20*$C$8</f>
        <v>#N/A</v>
      </c>
      <c r="AF20" s="242" t="str">
        <f>Q20*$C$9</f>
        <v>#N/A</v>
      </c>
      <c r="AG20" s="242" t="str">
        <f>R20*$C$10</f>
        <v>#N/A</v>
      </c>
      <c r="AH20" s="242">
        <f>(S20*S20+T20*T20+U20*U20+V20*V20+W20*W20)^0.5</f>
        <v>0</v>
      </c>
      <c r="AI20" s="242">
        <f>AH20*$B$15</f>
        <v>0</v>
      </c>
      <c r="AJ20" s="243" t="str">
        <f>SUM(X20:AB20)</f>
        <v>#N/A</v>
      </c>
      <c r="AK20" s="244">
        <f>IF(AI20=0,0,AI20/AJ20)</f>
        <v>0</v>
      </c>
      <c r="AL20" s="245" t="str">
        <f>AJ20/$B$2</f>
        <v>#N/A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 t="str">
        <f>IFERROR(__xludf.DUMMYFUNCTION("AVERAGE(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2" s="254" t="str">
        <f>IFERROR(__xludf.DUMMYFUNCTION("AVERAGE(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2" s="254" t="str">
        <f>IFERROR(__xludf.DUMMYFUNCTION("AVERAGE(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2" s="254" t="str">
        <f>IFERROR(__xludf.DUMMYFUNCTION("AVERAGE(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2" s="254" t="str">
        <f>IFERROR(__xludf.DUMMYFUNCTION("AVERAGE(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 t="str">
        <f>N22*$B$6</f>
        <v>#N/A</v>
      </c>
      <c r="Y22" s="254" t="str">
        <f>O22*$B$7</f>
        <v>#N/A</v>
      </c>
      <c r="Z22" s="254" t="str">
        <f>P22*$B$8</f>
        <v>#N/A</v>
      </c>
      <c r="AA22" s="254" t="str">
        <f>Q22*$B$9</f>
        <v>#N/A</v>
      </c>
      <c r="AB22" s="254" t="str">
        <f>R22*$B$10</f>
        <v>#N/A</v>
      </c>
      <c r="AC22" s="255" t="str">
        <f>N22*$C$6</f>
        <v>#N/A</v>
      </c>
      <c r="AD22" s="255" t="str">
        <f>O22*$C$7</f>
        <v>#N/A</v>
      </c>
      <c r="AE22" s="255" t="str">
        <f>P22*$C$8</f>
        <v>#N/A</v>
      </c>
      <c r="AF22" s="255" t="str">
        <f>Q22*$C$9</f>
        <v>#N/A</v>
      </c>
      <c r="AG22" s="255" t="str">
        <f>R22*$C$10</f>
        <v>#N/A</v>
      </c>
      <c r="AH22" s="255">
        <f>(S22*S22+T22*T22+U22*U22+V22*V22+W22*W22)^0.5</f>
        <v>0</v>
      </c>
      <c r="AI22" s="255">
        <f>AH22*$B$15</f>
        <v>0</v>
      </c>
      <c r="AJ22" s="256" t="str">
        <f>SUM(X22:AB22)</f>
        <v>#N/A</v>
      </c>
      <c r="AK22" s="170">
        <f>IF(AI22=0,0,AI22/AJ22)</f>
        <v>0</v>
      </c>
      <c r="AL22" s="171" t="str">
        <f>AJ22/$B$2</f>
        <v>#N/A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 t="str">
        <f>IFERROR(__xludf.DUMMYFUNCTION("AVERAGE(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4" s="261" t="str">
        <f>IFERROR(__xludf.DUMMYFUNCTION("AVERAGE(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4" s="261" t="str">
        <f>IFERROR(__xludf.DUMMYFUNCTION("AVERAGE(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4" s="261" t="str">
        <f>IFERROR(__xludf.DUMMYFUNCTION("AVERAGE(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4" s="261" t="str">
        <f>IFERROR(__xludf.DUMMYFUNCTION("AVERAGE(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 t="str">
        <f t="shared" ref="X24:X25" si="15">N24*$B$6</f>
        <v>#N/A</v>
      </c>
      <c r="Y24" s="261" t="str">
        <f t="shared" ref="Y24:Y25" si="16">O24*$B$7</f>
        <v>#N/A</v>
      </c>
      <c r="Z24" s="261" t="str">
        <f t="shared" ref="Z24:Z25" si="17">P24*$B$8</f>
        <v>#N/A</v>
      </c>
      <c r="AA24" s="261" t="str">
        <f t="shared" ref="AA24:AA25" si="18">Q24*$B$9</f>
        <v>#N/A</v>
      </c>
      <c r="AB24" s="261" t="str">
        <f t="shared" ref="AB24:AB25" si="19">R24*$B$10</f>
        <v>#N/A</v>
      </c>
      <c r="AC24" s="259" t="str">
        <f t="shared" ref="AC24:AC25" si="20">N24*$C$6</f>
        <v>#N/A</v>
      </c>
      <c r="AD24" s="259" t="str">
        <f t="shared" ref="AD24:AD25" si="21">O24*$C$7</f>
        <v>#N/A</v>
      </c>
      <c r="AE24" s="259" t="str">
        <f t="shared" ref="AE24:AE25" si="22">P24*$C$8</f>
        <v>#N/A</v>
      </c>
      <c r="AF24" s="259" t="str">
        <f t="shared" ref="AF24:AF25" si="23">Q24*$C$9</f>
        <v>#N/A</v>
      </c>
      <c r="AG24" s="259" t="str">
        <f t="shared" ref="AG24:AG25" si="24">R24*$C$10</f>
        <v>#N/A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 t="str">
        <f t="shared" ref="AJ24:AJ25" si="27">SUM(X24:AB24)</f>
        <v>#N/A</v>
      </c>
      <c r="AK24" s="179">
        <f t="shared" ref="AK24:AK25" si="28">IF(AI24=0,0,AI24/AJ24)</f>
        <v>0</v>
      </c>
      <c r="AL24" s="180" t="str">
        <f t="shared" ref="AL24:AL25" si="29">AJ24/$B$2</f>
        <v>#N/A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 t="str">
        <f>IFERROR(__xludf.DUMMYFUNCTION("AVERAGE(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5" s="261" t="str">
        <f>IFERROR(__xludf.DUMMYFUNCTION("AVERAGE(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5" s="261" t="str">
        <f>IFERROR(__xludf.DUMMYFUNCTION("AVERAGE(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5" s="261" t="str">
        <f>IFERROR(__xludf.DUMMYFUNCTION("AVERAGE(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5" s="261" t="str">
        <f>IFERROR(__xludf.DUMMYFUNCTION("AVERAGE(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 t="str">
        <f t="shared" si="15"/>
        <v>#N/A</v>
      </c>
      <c r="Y25" s="261" t="str">
        <f t="shared" si="16"/>
        <v>#N/A</v>
      </c>
      <c r="Z25" s="261" t="str">
        <f t="shared" si="17"/>
        <v>#N/A</v>
      </c>
      <c r="AA25" s="261" t="str">
        <f t="shared" si="18"/>
        <v>#N/A</v>
      </c>
      <c r="AB25" s="261" t="str">
        <f t="shared" si="19"/>
        <v>#N/A</v>
      </c>
      <c r="AC25" s="259" t="str">
        <f t="shared" si="20"/>
        <v>#N/A</v>
      </c>
      <c r="AD25" s="259" t="str">
        <f t="shared" si="21"/>
        <v>#N/A</v>
      </c>
      <c r="AE25" s="259" t="str">
        <f t="shared" si="22"/>
        <v>#N/A</v>
      </c>
      <c r="AF25" s="259" t="str">
        <f t="shared" si="23"/>
        <v>#N/A</v>
      </c>
      <c r="AG25" s="259" t="str">
        <f t="shared" si="24"/>
        <v>#N/A</v>
      </c>
      <c r="AH25" s="259">
        <f t="shared" si="25"/>
        <v>0</v>
      </c>
      <c r="AI25" s="259">
        <f t="shared" si="26"/>
        <v>0</v>
      </c>
      <c r="AJ25" s="262" t="str">
        <f t="shared" si="27"/>
        <v>#N/A</v>
      </c>
      <c r="AK25" s="179">
        <f t="shared" si="28"/>
        <v>0</v>
      </c>
      <c r="AL25" s="180" t="str">
        <f t="shared" si="29"/>
        <v>#N/A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 t="str">
        <f>SUM(AJ20:AJ25)</f>
        <v>#N/A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555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4658593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AJ21</f>
        <v>#N/A</v>
      </c>
      <c r="K4" s="224">
        <v>2023.0</v>
      </c>
      <c r="L4" s="225" t="str">
        <f>AJ23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2847052</v>
      </c>
      <c r="C6" s="73">
        <f t="shared" ref="C6:C10" si="1">B6/$B$11</f>
        <v>0.6111398871</v>
      </c>
      <c r="D6" s="74">
        <f t="shared" ref="D6:D10" si="2">COUNTIFS(
    INDIRECT("'" &amp; $B$18 &amp; "'!" &amp; $B$19 &amp; ":" &amp; $B$19), A6,
    INDIRECT("'" &amp; $B$18 &amp; "'!" &amp; $B$12 &amp; ":" &amp; $B$12), "*" &amp; $B$4 &amp; "*",
    INDIRECT("'" &amp; $B$18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748031</v>
      </c>
      <c r="C7" s="73">
        <f t="shared" si="1"/>
        <v>0.160570155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680535</v>
      </c>
      <c r="C8" s="73">
        <f t="shared" si="1"/>
        <v>0.1460816603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335742</v>
      </c>
      <c r="C9" s="73">
        <f t="shared" si="1"/>
        <v>0.07206939949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47233</v>
      </c>
      <c r="C10" s="73">
        <f t="shared" si="1"/>
        <v>0.01013889816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4658593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/>
    <row r="18" ht="15.75" customHeight="1">
      <c r="A18" s="89" t="s">
        <v>8</v>
      </c>
      <c r="B18" s="90" t="str">
        <f>'TNT 2015-2022'!B16</f>
        <v>CEO 2015-2023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85"/>
      <c r="N18" s="85"/>
      <c r="O18" s="85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112"/>
      <c r="AD18" s="112"/>
      <c r="AE18" s="112"/>
      <c r="AF18" s="112"/>
      <c r="AG18" s="112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ht="15.75" customHeight="1">
      <c r="A19" s="82" t="s">
        <v>507</v>
      </c>
      <c r="B19" s="90" t="str">
        <f t="shared" ref="B19:B20" si="4">IFERROR("$" &amp; SUBSTITUTE(ADDRESS(1, MATCH(A19, INDIRECT("'" &amp; $B$18 &amp; "'!1:1"), 0), 4), "1", ""), "Not Found")
</f>
        <v>$D</v>
      </c>
      <c r="C19" s="229" t="s">
        <v>494</v>
      </c>
      <c r="D19" s="65"/>
      <c r="E19" s="65"/>
      <c r="F19" s="65"/>
      <c r="G19" s="65"/>
      <c r="H19" s="66"/>
      <c r="I19" s="230" t="s">
        <v>495</v>
      </c>
      <c r="J19" s="65"/>
      <c r="K19" s="65"/>
      <c r="L19" s="65"/>
      <c r="M19" s="66"/>
      <c r="N19" s="231" t="s">
        <v>496</v>
      </c>
      <c r="O19" s="65"/>
      <c r="P19" s="65"/>
      <c r="Q19" s="65"/>
      <c r="R19" s="65"/>
      <c r="S19" s="230" t="s">
        <v>497</v>
      </c>
      <c r="T19" s="65"/>
      <c r="U19" s="65"/>
      <c r="V19" s="65"/>
      <c r="W19" s="66"/>
      <c r="X19" s="230" t="s">
        <v>498</v>
      </c>
      <c r="Y19" s="65"/>
      <c r="Z19" s="65"/>
      <c r="AA19" s="65"/>
      <c r="AB19" s="66"/>
      <c r="AC19" s="232" t="s">
        <v>499</v>
      </c>
      <c r="AD19" s="65"/>
      <c r="AE19" s="65"/>
      <c r="AF19" s="65"/>
      <c r="AG19" s="65"/>
      <c r="AH19" s="66"/>
      <c r="AI19" s="230"/>
      <c r="AJ19" s="89"/>
      <c r="AK19" s="63"/>
      <c r="AL19" s="63"/>
      <c r="AM19" s="29"/>
      <c r="AN19" s="29"/>
      <c r="AO19" s="29"/>
      <c r="AP19" s="29"/>
      <c r="AQ19" s="29"/>
    </row>
    <row r="20" ht="15.75" customHeight="1">
      <c r="A20" s="233" t="s">
        <v>464</v>
      </c>
      <c r="B20" s="90" t="str">
        <f t="shared" si="4"/>
        <v>$DD</v>
      </c>
      <c r="C20" s="234">
        <v>1.0</v>
      </c>
      <c r="D20" s="235">
        <v>2.0</v>
      </c>
      <c r="E20" s="234">
        <v>3.0</v>
      </c>
      <c r="F20" s="234">
        <v>4.0</v>
      </c>
      <c r="G20" s="234">
        <v>5.0</v>
      </c>
      <c r="H20" s="89" t="s">
        <v>500</v>
      </c>
      <c r="I20" s="234">
        <v>1.0</v>
      </c>
      <c r="J20" s="234">
        <v>2.0</v>
      </c>
      <c r="K20" s="234">
        <v>3.0</v>
      </c>
      <c r="L20" s="234">
        <v>4.0</v>
      </c>
      <c r="M20" s="234">
        <v>5.0</v>
      </c>
      <c r="N20" s="234">
        <v>1.0</v>
      </c>
      <c r="O20" s="234">
        <v>2.0</v>
      </c>
      <c r="P20" s="234">
        <v>3.0</v>
      </c>
      <c r="Q20" s="234">
        <v>4.0</v>
      </c>
      <c r="R20" s="234">
        <v>5.0</v>
      </c>
      <c r="S20" s="234">
        <v>1.0</v>
      </c>
      <c r="T20" s="234">
        <v>2.0</v>
      </c>
      <c r="U20" s="234">
        <v>3.0</v>
      </c>
      <c r="V20" s="234">
        <v>4.0</v>
      </c>
      <c r="W20" s="234">
        <v>5.0</v>
      </c>
      <c r="X20" s="234">
        <v>1.0</v>
      </c>
      <c r="Y20" s="234">
        <v>2.0</v>
      </c>
      <c r="Z20" s="234">
        <v>3.0</v>
      </c>
      <c r="AA20" s="234">
        <v>4.0</v>
      </c>
      <c r="AB20" s="234">
        <v>5.0</v>
      </c>
      <c r="AC20" s="236">
        <v>1.0</v>
      </c>
      <c r="AD20" s="236">
        <v>2.0</v>
      </c>
      <c r="AE20" s="236">
        <v>3.0</v>
      </c>
      <c r="AF20" s="236">
        <v>4.0</v>
      </c>
      <c r="AG20" s="236">
        <v>5.0</v>
      </c>
      <c r="AH20" s="89" t="s">
        <v>501</v>
      </c>
      <c r="AI20" s="89" t="s">
        <v>502</v>
      </c>
      <c r="AJ20" s="237" t="s">
        <v>503</v>
      </c>
      <c r="AK20" s="156" t="s">
        <v>504</v>
      </c>
      <c r="AL20" s="156" t="s">
        <v>505</v>
      </c>
      <c r="AM20" s="29"/>
      <c r="AN20" s="29"/>
      <c r="AO20" s="29"/>
      <c r="AP20" s="29"/>
      <c r="AQ20" s="29"/>
    </row>
    <row r="21" ht="15.75" customHeight="1">
      <c r="A21" s="238" t="s">
        <v>453</v>
      </c>
      <c r="B21" s="90" t="str">
        <f>'TNT 2023'!B19</f>
        <v>$CZ</v>
      </c>
      <c r="C21" s="239">
        <f t="shared" ref="C21:G21" si="5">COUNTIFS(
    INDIRECT("'" &amp; $B$18 &amp; "'!" &amp; $B$19 &amp; ":" &amp; $B$19), C$20,
    INDIRECT("'" &amp; $B$18 &amp; "'!" &amp; $B$12 &amp; ":" &amp; $B$12), "*" &amp; $B$4 &amp; "*",
    INDIRECT("'" &amp; $B$18 &amp; "'!" &amp; $B$13 &amp; ":" &amp; $B$13), $A$1,
    INDIRECT("'" &amp; $B$18 &amp; "'!" &amp; $B$20 &amp; ":" &amp; $B$20), $A21
)</f>
        <v>0</v>
      </c>
      <c r="D21" s="239">
        <f t="shared" si="5"/>
        <v>0</v>
      </c>
      <c r="E21" s="239">
        <f t="shared" si="5"/>
        <v>0</v>
      </c>
      <c r="F21" s="239">
        <f t="shared" si="5"/>
        <v>0</v>
      </c>
      <c r="G21" s="239">
        <f t="shared" si="5"/>
        <v>0</v>
      </c>
      <c r="H21" s="239">
        <f>SUM(C21:G21)</f>
        <v>0</v>
      </c>
      <c r="I21" s="240">
        <f>IFERROR(__xludf.DUMMYFUNCTION("IFERROR(
    VAR.S(
        FILTER(
            INDIRECT(""'"" &amp; $B$18 &amp; ""'!"" &amp; $B21 &amp; "":"" &amp; $B21), 
            (INDIRECT(""'"" &amp; $B$18 &amp; ""'!"" &amp; $B$19 &amp; "":"" &amp; $B$19) = I$20) *
            (ISNUMBER(SEARCH($B$4, INDIRECT(""'"" &amp; $B$18 &amp; ""'!"" &amp; $"&amp;"B$12 &amp; "":"" &amp; $B$12)))) *
            (INDIRECT(""'"" &amp; $B$18 &amp; ""'!"" &amp; $B$13 &amp; "":"" &amp; $B$13) = $A$1)
        )
    )/$D$6, 
    0
)
"),0.0)</f>
        <v>0</v>
      </c>
      <c r="J21" s="240">
        <f>IFERROR(__xludf.DUMMYFUNCTION("IFERROR(
    VAR.S(
        FILTER(
            INDIRECT(""'"" &amp; $B$18 &amp; ""'!"" &amp; $B21 &amp; "":"" &amp; $B21), 
            (INDIRECT(""'"" &amp; $B$18 &amp; ""'!"" &amp; $B$19 &amp; "":"" &amp; $B$19) = J$20) *
            (ISNUMBER(SEARCH($B$4, INDIRECT(""'"" &amp; $B$18 &amp; ""'!"" &amp; $"&amp;"B$12 &amp; "":"" &amp; $B$12)))) *
            (INDIRECT(""'"" &amp; $B$18 &amp; ""'!"" &amp; $B$13 &amp; "":"" &amp; $B$13) = $A$1)
        )
    )/$D$7, 
    0
)
"),0.0)</f>
        <v>0</v>
      </c>
      <c r="K21" s="240">
        <f>IFERROR(__xludf.DUMMYFUNCTION("IFERROR(
    VAR.S(
        FILTER(
            INDIRECT(""'"" &amp; $B$18 &amp; ""'!"" &amp; $B21 &amp; "":"" &amp; $B21), 
            (INDIRECT(""'"" &amp; $B$18 &amp; ""'!"" &amp; $B$19 &amp; "":"" &amp; $B$19) = K$20) *
            (ISNUMBER(SEARCH($B$4, INDIRECT(""'"" &amp; $B$18 &amp; ""'!"" &amp; $"&amp;"B$12 &amp; "":"" &amp; $B$12)))) *
            (INDIRECT(""'"" &amp; $B$18 &amp; ""'!"" &amp; $B$13 &amp; "":"" &amp; $B$13) = $A$1)
        )
    )/$D$8, 
    0
)
"),0.0)</f>
        <v>0</v>
      </c>
      <c r="L21" s="241">
        <f>IFERROR(__xludf.DUMMYFUNCTION("IFERROR(
    VAR.S(
        FILTER(
            INDIRECT(""'"" &amp; $B$18 &amp; ""'!"" &amp; $B21 &amp; "":"" &amp; $B21), 
            (INDIRECT(""'"" &amp; $B$18 &amp; ""'!"" &amp; $B$19 &amp; "":"" &amp; $B$19) = L$20) *
            (ISNUMBER(SEARCH($B$4, INDIRECT(""'"" &amp; $B$18 &amp; ""'!"" &amp; $"&amp;"B$12 &amp; "":"" &amp; $B$12)))) *
            (INDIRECT(""'"" &amp; $B$18 &amp; ""'!"" &amp; $B$13 &amp; "":"" &amp; $B$13) = $A$1)
        )
    )/$D$9, 
    0
)
"),0.0)</f>
        <v>0</v>
      </c>
      <c r="M21" s="241">
        <f>IFERROR(__xludf.DUMMYFUNCTION("IFERROR(
    VAR.S(
        FILTER(
            INDIRECT(""'"" &amp; $B$18 &amp; ""'!"" &amp; $B21 &amp; "":"" &amp; $B21), 
            (INDIRECT(""'"" &amp; $B$18 &amp; ""'!"" &amp; $B$19 &amp; "":"" &amp; $B$19) = M$20) *
            (ISNUMBER(SEARCH($B$4, INDIRECT(""'"" &amp; $B$18 &amp; ""'!"" &amp; $"&amp;"B$12 &amp; "":"" &amp; $B$12)))) *
            (INDIRECT(""'"" &amp; $B$18 &amp; ""'!"" &amp; $B$13 &amp; "":"" &amp; $B$13) = $A$1)
        )
    )/$D$10, 
    0
)
"),0.0)</f>
        <v>0</v>
      </c>
      <c r="N21" s="241" t="str">
        <f>IFERROR(__xludf.DUMMYFUNCTION("AVERAGE(
        FILTER(
            INDIRECT(""'"" &amp; $B$18 &amp; ""'!"" &amp; $B21 &amp; "":"" &amp; $B21), 
            (INDIRECT(""'"" &amp; $B$18 &amp; ""'!"" &amp; $B$19 &amp; "":"" &amp; $B$19) = I$20)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O21" s="241" t="str">
        <f>IFERROR(__xludf.DUMMYFUNCTION("AVERAGE(
        FILTER(
            INDIRECT(""'"" &amp; $B$18 &amp; ""'!"" &amp; $B21 &amp; "":"" &amp; $B21), 
            (INDIRECT(""'"" &amp; $B$18 &amp; ""'!"" &amp; $B$19 &amp; "":"" &amp; $B$19) = J$20)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P21" s="241" t="str">
        <f>IFERROR(__xludf.DUMMYFUNCTION("AVERAGE(
        FILTER(
            INDIRECT(""'"" &amp; $B$18 &amp; ""'!"" &amp; $B21 &amp; "":"" &amp; $B21), 
            (INDIRECT(""'"" &amp; $B$18 &amp; ""'!"" &amp; $B$19 &amp; "":"" &amp; $B$19) = K$20)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Q21" s="241" t="str">
        <f>IFERROR(__xludf.DUMMYFUNCTION("AVERAGE(
        FILTER(
            INDIRECT(""'"" &amp; $B$18 &amp; ""'!"" &amp; $B21 &amp; "":"" &amp; $B21), 
            (INDIRECT(""'"" &amp; $B$18 &amp; ""'!"" &amp; $B$19 &amp; "":"" &amp; $B$19) = L$20)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R21" s="241" t="str">
        <f>IFERROR(__xludf.DUMMYFUNCTION("AVERAGE(
        FILTER(
            INDIRECT(""'"" &amp; $B$18 &amp; ""'!"" &amp; $B21 &amp; "":"" &amp; $B21), 
            (INDIRECT(""'"" &amp; $B$18 &amp; ""'!"" &amp; $B$19 &amp; "":"" &amp; $B$19) = M$20)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S21" s="241">
        <f>($B$6^2*I21)^0.5</f>
        <v>0</v>
      </c>
      <c r="T21" s="241">
        <f>($B$7^2*J21)^0.5</f>
        <v>0</v>
      </c>
      <c r="U21" s="241">
        <f>($B$8^2*K21)^0.5</f>
        <v>0</v>
      </c>
      <c r="V21" s="241">
        <f>($B$9^2*L21)^0.5</f>
        <v>0</v>
      </c>
      <c r="W21" s="241">
        <f>($B$10^2*M21)^0.5</f>
        <v>0</v>
      </c>
      <c r="X21" s="241" t="str">
        <f>N21*$B$6</f>
        <v>#N/A</v>
      </c>
      <c r="Y21" s="241" t="str">
        <f>O21*$B$7</f>
        <v>#N/A</v>
      </c>
      <c r="Z21" s="241" t="str">
        <f>P21*$B$8</f>
        <v>#N/A</v>
      </c>
      <c r="AA21" s="241" t="str">
        <f>Q21*$B$9</f>
        <v>#N/A</v>
      </c>
      <c r="AB21" s="241" t="str">
        <f>R21*$B$10</f>
        <v>#N/A</v>
      </c>
      <c r="AC21" s="242" t="str">
        <f>N21*$C$6</f>
        <v>#N/A</v>
      </c>
      <c r="AD21" s="242" t="str">
        <f>O21*$C$7</f>
        <v>#N/A</v>
      </c>
      <c r="AE21" s="242" t="str">
        <f>P21*$C$8</f>
        <v>#N/A</v>
      </c>
      <c r="AF21" s="242" t="str">
        <f>Q21*$C$9</f>
        <v>#N/A</v>
      </c>
      <c r="AG21" s="242" t="str">
        <f>R21*$C$10</f>
        <v>#N/A</v>
      </c>
      <c r="AH21" s="242">
        <f>(S21*S21+T21*T21+U21*U21+V21*V21+W21*W21)^0.5</f>
        <v>0</v>
      </c>
      <c r="AI21" s="242">
        <f>AH21*$B$15</f>
        <v>0</v>
      </c>
      <c r="AJ21" s="243" t="str">
        <f>SUM(X21:AB21)</f>
        <v>#N/A</v>
      </c>
      <c r="AK21" s="244">
        <f>IF(AI21=0,0,AI21/AJ21)</f>
        <v>0</v>
      </c>
      <c r="AL21" s="245" t="str">
        <f>AJ21/$B$2</f>
        <v>#N/A</v>
      </c>
      <c r="AM21" s="227"/>
      <c r="AN21" s="227"/>
      <c r="AO21" s="227"/>
      <c r="AP21" s="227"/>
      <c r="AQ21" s="227"/>
    </row>
    <row r="22" ht="15.75" customHeight="1">
      <c r="A22" s="246"/>
      <c r="B22" s="247"/>
      <c r="C22" s="247"/>
      <c r="D22" s="247"/>
      <c r="E22" s="247"/>
      <c r="F22" s="247"/>
      <c r="G22" s="247"/>
      <c r="H22" s="247"/>
      <c r="I22" s="248"/>
      <c r="J22" s="248"/>
      <c r="K22" s="248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50"/>
      <c r="AD22" s="250"/>
      <c r="AE22" s="250"/>
      <c r="AF22" s="250"/>
      <c r="AG22" s="250"/>
      <c r="AH22" s="250"/>
      <c r="AI22" s="250"/>
      <c r="AJ22" s="250"/>
      <c r="AK22" s="168"/>
      <c r="AL22" s="168"/>
      <c r="AM22" s="227"/>
      <c r="AN22" s="227"/>
      <c r="AO22" s="227"/>
      <c r="AP22" s="227"/>
      <c r="AQ22" s="227"/>
    </row>
    <row r="23" ht="15.75" customHeight="1">
      <c r="A23" s="251" t="s">
        <v>456</v>
      </c>
      <c r="B23" s="90" t="str">
        <f>'TNT 2023'!B21</f>
        <v>$DA</v>
      </c>
      <c r="C23" s="252">
        <f t="shared" ref="C23:G23" si="6">COUNTIFS(
    INDIRECT("'" &amp; $B$18 &amp; "'!" &amp; $B$19 &amp; ":" &amp; $B$19), C$20,
    INDIRECT("'" &amp; $B$18 &amp; "'!" &amp; $B$12 &amp; ":" &amp; $B$12), "*" &amp; $B$4 &amp; "*",
    INDIRECT("'" &amp; $B$18 &amp; "'!" &amp; $B$13 &amp; ":" &amp; $B$13), $A$1,
    INDIRECT("'" &amp; $B$18 &amp; "'!" &amp; $B$20 &amp; ":" &amp; $B$20), $A23
)</f>
        <v>0</v>
      </c>
      <c r="D23" s="252">
        <f t="shared" si="6"/>
        <v>0</v>
      </c>
      <c r="E23" s="252">
        <f t="shared" si="6"/>
        <v>0</v>
      </c>
      <c r="F23" s="252">
        <f t="shared" si="6"/>
        <v>0</v>
      </c>
      <c r="G23" s="252">
        <f t="shared" si="6"/>
        <v>0</v>
      </c>
      <c r="H23" s="252">
        <f>SUM(C23:G23)</f>
        <v>0</v>
      </c>
      <c r="I23" s="253">
        <f>IFERROR(__xludf.DUMMYFUNCTION("IFERROR(
    VAR.S(
        FILTER(
            INDIRECT(""'"" &amp; $B$18 &amp; ""'!"" &amp; $B23 &amp; "":"" &amp; $B23), 
            (INDIRECT(""'"" &amp; $B$18 &amp; ""'!"" &amp; $B$19 &amp; "":"" &amp; $B$19) = I$20) *
            (ISNUMBER(SEARCH($B$4, INDIRECT(""'"" &amp; $B$18 &amp; ""'!"" &amp; $"&amp;"B$12 &amp; "":"" &amp; $B$12)))) *
            (INDIRECT(""'"" &amp; $B$18 &amp; ""'!"" &amp; $B$13 &amp; "":"" &amp; $B$13) = $A$1)
        )
    )/$D$6, 
    0
)
"),0.0)</f>
        <v>0</v>
      </c>
      <c r="J23" s="253">
        <f>IFERROR(__xludf.DUMMYFUNCTION("IFERROR(
    VAR.S(
        FILTER(
            INDIRECT(""'"" &amp; $B$18 &amp; ""'!"" &amp; $B23 &amp; "":"" &amp; $B23), 
            (INDIRECT(""'"" &amp; $B$18 &amp; ""'!"" &amp; $B$19 &amp; "":"" &amp; $B$19) = J$20) *
            (ISNUMBER(SEARCH($B$4, INDIRECT(""'"" &amp; $B$18 &amp; ""'!"" &amp; $"&amp;"B$12 &amp; "":"" &amp; $B$12)))) *
            (INDIRECT(""'"" &amp; $B$18 &amp; ""'!"" &amp; $B$13 &amp; "":"" &amp; $B$13) = $A$1)
        )
    )/$D$7, 
    0
)
"),0.0)</f>
        <v>0</v>
      </c>
      <c r="K23" s="253">
        <f>IFERROR(__xludf.DUMMYFUNCTION("IFERROR(
    VAR.S(
        FILTER(
            INDIRECT(""'"" &amp; $B$18 &amp; ""'!"" &amp; $B23 &amp; "":"" &amp; $B23), 
            (INDIRECT(""'"" &amp; $B$18 &amp; ""'!"" &amp; $B$19 &amp; "":"" &amp; $B$19) = K$20) *
            (ISNUMBER(SEARCH($B$4, INDIRECT(""'"" &amp; $B$18 &amp; ""'!"" &amp; $"&amp;"B$12 &amp; "":"" &amp; $B$12)))) *
            (INDIRECT(""'"" &amp; $B$18 &amp; ""'!"" &amp; $B$13 &amp; "":"" &amp; $B$13) = $A$1)
        )
    )/$D$8, 
    0
)
"),0.0)</f>
        <v>0</v>
      </c>
      <c r="L23" s="254">
        <f>IFERROR(__xludf.DUMMYFUNCTION("IFERROR(
    VAR.S(
        FILTER(
            INDIRECT(""'"" &amp; $B$18 &amp; ""'!"" &amp; $B23 &amp; "":"" &amp; $B23), 
            (INDIRECT(""'"" &amp; $B$18 &amp; ""'!"" &amp; $B$19 &amp; "":"" &amp; $B$19) = L$20) *
            (ISNUMBER(SEARCH($B$4, INDIRECT(""'"" &amp; $B$18 &amp; ""'!"" &amp; $"&amp;"B$12 &amp; "":"" &amp; $B$12)))) *
            (INDIRECT(""'"" &amp; $B$18 &amp; ""'!"" &amp; $B$13 &amp; "":"" &amp; $B$13) = $A$1)
        )
    )/$D$9, 
    0
)
"),0.0)</f>
        <v>0</v>
      </c>
      <c r="M23" s="254">
        <f>IFERROR(__xludf.DUMMYFUNCTION("IFERROR(
    VAR.S(
        FILTER(
            INDIRECT(""'"" &amp; $B$18 &amp; ""'!"" &amp; $B23 &amp; "":"" &amp; $B23), 
            (INDIRECT(""'"" &amp; $B$18 &amp; ""'!"" &amp; $B$19 &amp; "":"" &amp; $B$19) = M$20) *
            (ISNUMBER(SEARCH($B$4, INDIRECT(""'"" &amp; $B$18 &amp; ""'!"" &amp; $"&amp;"B$12 &amp; "":"" &amp; $B$12)))) *
            (INDIRECT(""'"" &amp; $B$18 &amp; ""'!"" &amp; $B$13 &amp; "":"" &amp; $B$13) = $A$1)
        )
    )/$D$10, 
    0
)
"),0.0)</f>
        <v>0</v>
      </c>
      <c r="N23" s="254" t="str">
        <f>IFERROR(__xludf.DUMMYFUNCTION("AVERAGE(
        FILTER(
            INDIRECT(""'"" &amp; $B$18 &amp; ""'!"" &amp; $B23 &amp; "":"" &amp; $B23), 
            (INDIRECT(""'"" &amp; $B$18 &amp; ""'!"" &amp; $B$19 &amp; "":"" &amp; $B$19) = I$20)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O23" s="254" t="str">
        <f>IFERROR(__xludf.DUMMYFUNCTION("AVERAGE(
        FILTER(
            INDIRECT(""'"" &amp; $B$18 &amp; ""'!"" &amp; $B23 &amp; "":"" &amp; $B23), 
            (INDIRECT(""'"" &amp; $B$18 &amp; ""'!"" &amp; $B$19 &amp; "":"" &amp; $B$19) = J$20)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P23" s="254" t="str">
        <f>IFERROR(__xludf.DUMMYFUNCTION("AVERAGE(
        FILTER(
            INDIRECT(""'"" &amp; $B$18 &amp; ""'!"" &amp; $B23 &amp; "":"" &amp; $B23), 
            (INDIRECT(""'"" &amp; $B$18 &amp; ""'!"" &amp; $B$19 &amp; "":"" &amp; $B$19) = K$20)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Q23" s="254" t="str">
        <f>IFERROR(__xludf.DUMMYFUNCTION("AVERAGE(
        FILTER(
            INDIRECT(""'"" &amp; $B$18 &amp; ""'!"" &amp; $B23 &amp; "":"" &amp; $B23), 
            (INDIRECT(""'"" &amp; $B$18 &amp; ""'!"" &amp; $B$19 &amp; "":"" &amp; $B$19) = L$20)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R23" s="254" t="str">
        <f>IFERROR(__xludf.DUMMYFUNCTION("AVERAGE(
        FILTER(
            INDIRECT(""'"" &amp; $B$18 &amp; ""'!"" &amp; $B23 &amp; "":"" &amp; $B23), 
            (INDIRECT(""'"" &amp; $B$18 &amp; ""'!"" &amp; $B$19 &amp; "":"" &amp; $B$19) = M$20)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S23" s="254">
        <f>($B$6^2*I23)^0.5</f>
        <v>0</v>
      </c>
      <c r="T23" s="254">
        <f>($B$7^2*J23)^0.5</f>
        <v>0</v>
      </c>
      <c r="U23" s="254">
        <f>($B$8^2*K23)^0.5</f>
        <v>0</v>
      </c>
      <c r="V23" s="254">
        <f>($B$9^2*L23)^0.5</f>
        <v>0</v>
      </c>
      <c r="W23" s="254">
        <f>($B$10^2*M23)^0.5</f>
        <v>0</v>
      </c>
      <c r="X23" s="254" t="str">
        <f>N23*$B$6</f>
        <v>#N/A</v>
      </c>
      <c r="Y23" s="254" t="str">
        <f>O23*$B$7</f>
        <v>#N/A</v>
      </c>
      <c r="Z23" s="254" t="str">
        <f>P23*$B$8</f>
        <v>#N/A</v>
      </c>
      <c r="AA23" s="254" t="str">
        <f>Q23*$B$9</f>
        <v>#N/A</v>
      </c>
      <c r="AB23" s="254" t="str">
        <f>R23*$B$10</f>
        <v>#N/A</v>
      </c>
      <c r="AC23" s="255" t="str">
        <f>N23*$C$6</f>
        <v>#N/A</v>
      </c>
      <c r="AD23" s="255" t="str">
        <f>O23*$C$7</f>
        <v>#N/A</v>
      </c>
      <c r="AE23" s="255" t="str">
        <f>P23*$C$8</f>
        <v>#N/A</v>
      </c>
      <c r="AF23" s="255" t="str">
        <f>Q23*$C$9</f>
        <v>#N/A</v>
      </c>
      <c r="AG23" s="255" t="str">
        <f>R23*$C$10</f>
        <v>#N/A</v>
      </c>
      <c r="AH23" s="255">
        <f>(S23*S23+T23*T23+U23*U23+V23*V23+W23*W23)^0.5</f>
        <v>0</v>
      </c>
      <c r="AI23" s="255">
        <f>AH23*$B$15</f>
        <v>0</v>
      </c>
      <c r="AJ23" s="256" t="str">
        <f>SUM(X23:AB23)</f>
        <v>#N/A</v>
      </c>
      <c r="AK23" s="170">
        <f>IF(AI23=0,0,AI23/AJ23)</f>
        <v>0</v>
      </c>
      <c r="AL23" s="171" t="str">
        <f>AJ23/$B$2</f>
        <v>#N/A</v>
      </c>
      <c r="AM23" s="227"/>
      <c r="AN23" s="227"/>
      <c r="AO23" s="227"/>
      <c r="AP23" s="227"/>
      <c r="AQ23" s="227"/>
    </row>
    <row r="24" ht="15.75" customHeight="1">
      <c r="A24" s="29"/>
      <c r="B24" s="247" t="str">
        <f>'TNT 2023'!B22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112"/>
      <c r="Y24" s="250"/>
      <c r="Z24" s="250"/>
      <c r="AA24" s="250"/>
      <c r="AB24" s="250"/>
      <c r="AC24" s="250"/>
      <c r="AD24" s="112"/>
      <c r="AE24" s="112"/>
      <c r="AF24" s="112"/>
      <c r="AG24" s="112"/>
      <c r="AH24" s="112"/>
      <c r="AI24" s="112"/>
      <c r="AJ24" s="29"/>
      <c r="AK24" s="168"/>
      <c r="AL24" s="168"/>
      <c r="AM24" s="29"/>
      <c r="AN24" s="29"/>
      <c r="AO24" s="29"/>
      <c r="AP24" s="29"/>
      <c r="AQ24" s="29"/>
    </row>
    <row r="25" ht="15.75" customHeight="1">
      <c r="A25" s="258" t="s">
        <v>296</v>
      </c>
      <c r="B25" s="90" t="str">
        <f>'TNT 2023'!B23</f>
        <v>$AW</v>
      </c>
      <c r="C25" s="259">
        <f t="shared" ref="C25:G25" si="7">COUNTIFS(
    INDIRECT("'" &amp; $B$18 &amp; "'!" &amp; $B$19 &amp; ":" &amp; $B$19), C$20,
    INDIRECT("'" &amp; $B$18 &amp; "'!" &amp; $B$12 &amp; ":" &amp; $B$12), "*" &amp; $B$4 &amp; "*",
    INDIRECT("'" &amp; $B$18 &amp; "'!" &amp; $B$13 &amp; ":" &amp; $B$13), $A$1,
    INDIRECT("'" &amp; $B$18 &amp; "'!" &amp; $B$20 &amp; ":" &amp; $B$20), $A25
)</f>
        <v>0</v>
      </c>
      <c r="D25" s="259">
        <f t="shared" si="7"/>
        <v>0</v>
      </c>
      <c r="E25" s="259">
        <f t="shared" si="7"/>
        <v>0</v>
      </c>
      <c r="F25" s="259">
        <f t="shared" si="7"/>
        <v>0</v>
      </c>
      <c r="G25" s="259">
        <f t="shared" si="7"/>
        <v>0</v>
      </c>
      <c r="H25" s="259">
        <f t="shared" ref="H25:H26" si="9">SUM(C25:G25)</f>
        <v>0</v>
      </c>
      <c r="I25" s="260">
        <f>IFERROR(__xludf.DUMMYFUNCTION("IFERROR(
    VAR.S(
        FILTER(
            INDIRECT(""'"" &amp; $B$18 &amp; ""'!"" &amp; $B25 &amp; "":"" &amp; $B25), 
            (INDIRECT(""'"" &amp; $B$18 &amp; ""'!"" &amp; $B$19 &amp; "":"" &amp; $B$19) = I$20) *
            (ISNUMBER(SEARCH($B$4, INDIRECT(""'"" &amp; $B$18 &amp; ""'!"" &amp; $"&amp;"B$12 &amp; "":"" &amp; $B$12)))) *
            (INDIRECT(""'"" &amp; $B$18 &amp; ""'!"" &amp; $B$13 &amp; "":"" &amp; $B$13) = $A$1)
        )
    )/$D$6, 
    0
)
"),0.0)</f>
        <v>0</v>
      </c>
      <c r="J25" s="260">
        <f>IFERROR(__xludf.DUMMYFUNCTION("IFERROR(
    VAR.S(
        FILTER(
            INDIRECT(""'"" &amp; $B$18 &amp; ""'!"" &amp; $B25 &amp; "":"" &amp; $B25), 
            (INDIRECT(""'"" &amp; $B$18 &amp; ""'!"" &amp; $B$19 &amp; "":"" &amp; $B$19) = J$20) *
            (ISNUMBER(SEARCH($B$4, INDIRECT(""'"" &amp; $B$18 &amp; ""'!"" &amp; $"&amp;"B$12 &amp; "":"" &amp; $B$12)))) *
            (INDIRECT(""'"" &amp; $B$18 &amp; ""'!"" &amp; $B$13 &amp; "":"" &amp; $B$13) = $A$1)
        )
    )/$D$7, 
    0
)
"),0.0)</f>
        <v>0</v>
      </c>
      <c r="K25" s="260">
        <f>IFERROR(__xludf.DUMMYFUNCTION("IFERROR(
    VAR.S(
        FILTER(
            INDIRECT(""'"" &amp; $B$18 &amp; ""'!"" &amp; $B25 &amp; "":"" &amp; $B25), 
            (INDIRECT(""'"" &amp; $B$18 &amp; ""'!"" &amp; $B$19 &amp; "":"" &amp; $B$19) = K$20) *
            (ISNUMBER(SEARCH($B$4, INDIRECT(""'"" &amp; $B$18 &amp; ""'!"" &amp; $"&amp;"B$12 &amp; "":"" &amp; $B$12)))) *
            (INDIRECT(""'"" &amp; $B$18 &amp; ""'!"" &amp; $B$13 &amp; "":"" &amp; $B$13) = $A$1)
        )
    )/$D$8, 
    0
)
"),0.0)</f>
        <v>0</v>
      </c>
      <c r="L25" s="261">
        <f>IFERROR(__xludf.DUMMYFUNCTION("IFERROR(
    VAR.S(
        FILTER(
            INDIRECT(""'"" &amp; $B$18 &amp; ""'!"" &amp; $B25 &amp; "":"" &amp; $B25), 
            (INDIRECT(""'"" &amp; $B$18 &amp; ""'!"" &amp; $B$19 &amp; "":"" &amp; $B$19) = L$20) *
            (ISNUMBER(SEARCH($B$4, INDIRECT(""'"" &amp; $B$18 &amp; ""'!"" &amp; $"&amp;"B$12 &amp; "":"" &amp; $B$12)))) *
            (INDIRECT(""'"" &amp; $B$18 &amp; ""'!"" &amp; $B$13 &amp; "":"" &amp; $B$13) = $A$1)
        )
    )/$D$9, 
    0
)
"),0.0)</f>
        <v>0</v>
      </c>
      <c r="M25" s="261">
        <f>IFERROR(__xludf.DUMMYFUNCTION("IFERROR(
    VAR.S(
        FILTER(
            INDIRECT(""'"" &amp; $B$18 &amp; ""'!"" &amp; $B25 &amp; "":"" &amp; $B25), 
            (INDIRECT(""'"" &amp; $B$18 &amp; ""'!"" &amp; $B$19 &amp; "":"" &amp; $B$19) = M$20) *
            (ISNUMBER(SEARCH($B$4, INDIRECT(""'"" &amp; $B$18 &amp; ""'!"" &amp; $"&amp;"B$12 &amp; "":"" &amp; $B$12)))) *
            (INDIRECT(""'"" &amp; $B$18 &amp; ""'!"" &amp; $B$13 &amp; "":"" &amp; $B$13) = $A$1)
        )
    )/$D$10, 
    0
)
"),0.0)</f>
        <v>0</v>
      </c>
      <c r="N25" s="261" t="str">
        <f>IFERROR(__xludf.DUMMYFUNCTION("AVERAGE(
        FILTER(
            INDIRECT(""'"" &amp; $B$18 &amp; ""'!"" &amp; $B25 &amp; "":"" &amp; $B25), 
            (INDIRECT(""'"" &amp; $B$18 &amp; ""'!"" &amp; $B$19 &amp; "":"" &amp; $B$19) = I$20)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O25" s="261" t="str">
        <f>IFERROR(__xludf.DUMMYFUNCTION("AVERAGE(
        FILTER(
            INDIRECT(""'"" &amp; $B$18 &amp; ""'!"" &amp; $B25 &amp; "":"" &amp; $B25), 
            (INDIRECT(""'"" &amp; $B$18 &amp; ""'!"" &amp; $B$19 &amp; "":"" &amp; $B$19) = J$20)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P25" s="261" t="str">
        <f>IFERROR(__xludf.DUMMYFUNCTION("AVERAGE(
        FILTER(
            INDIRECT(""'"" &amp; $B$18 &amp; ""'!"" &amp; $B25 &amp; "":"" &amp; $B25), 
            (INDIRECT(""'"" &amp; $B$18 &amp; ""'!"" &amp; $B$19 &amp; "":"" &amp; $B$19) = K$20)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Q25" s="261" t="str">
        <f>IFERROR(__xludf.DUMMYFUNCTION("AVERAGE(
        FILTER(
            INDIRECT(""'"" &amp; $B$18 &amp; ""'!"" &amp; $B25 &amp; "":"" &amp; $B25), 
            (INDIRECT(""'"" &amp; $B$18 &amp; ""'!"" &amp; $B$19 &amp; "":"" &amp; $B$19) = L$20)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R25" s="261" t="str">
        <f>IFERROR(__xludf.DUMMYFUNCTION("AVERAGE(
        FILTER(
            INDIRECT(""'"" &amp; $B$18 &amp; ""'!"" &amp; $B25 &amp; "":"" &amp; $B25), 
            (INDIRECT(""'"" &amp; $B$18 &amp; ""'!"" &amp; $B$19 &amp; "":"" &amp; $B$19) = M$20)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S25" s="261">
        <f t="shared" ref="S25:S26" si="10">($B$6^2*I25)^0.5</f>
        <v>0</v>
      </c>
      <c r="T25" s="261">
        <f t="shared" ref="T25:T26" si="11">($B$7^2*J25)^0.5</f>
        <v>0</v>
      </c>
      <c r="U25" s="261">
        <f t="shared" ref="U25:U26" si="12">($B$8^2*K25)^0.5</f>
        <v>0</v>
      </c>
      <c r="V25" s="261">
        <f t="shared" ref="V25:V26" si="13">($B$9^2*L25)^0.5</f>
        <v>0</v>
      </c>
      <c r="W25" s="261">
        <f t="shared" ref="W25:W26" si="14">($B$10^2*M25)^0.5</f>
        <v>0</v>
      </c>
      <c r="X25" s="261" t="str">
        <f t="shared" ref="X25:X26" si="15">N25*$B$6</f>
        <v>#N/A</v>
      </c>
      <c r="Y25" s="261" t="str">
        <f t="shared" ref="Y25:Y26" si="16">O25*$B$7</f>
        <v>#N/A</v>
      </c>
      <c r="Z25" s="261" t="str">
        <f t="shared" ref="Z25:Z26" si="17">P25*$B$8</f>
        <v>#N/A</v>
      </c>
      <c r="AA25" s="261" t="str">
        <f t="shared" ref="AA25:AA26" si="18">Q25*$B$9</f>
        <v>#N/A</v>
      </c>
      <c r="AB25" s="261" t="str">
        <f t="shared" ref="AB25:AB26" si="19">R25*$B$10</f>
        <v>#N/A</v>
      </c>
      <c r="AC25" s="259" t="str">
        <f t="shared" ref="AC25:AC26" si="20">N25*$C$6</f>
        <v>#N/A</v>
      </c>
      <c r="AD25" s="259" t="str">
        <f t="shared" ref="AD25:AD26" si="21">O25*$C$7</f>
        <v>#N/A</v>
      </c>
      <c r="AE25" s="259" t="str">
        <f t="shared" ref="AE25:AE26" si="22">P25*$C$8</f>
        <v>#N/A</v>
      </c>
      <c r="AF25" s="259" t="str">
        <f t="shared" ref="AF25:AF26" si="23">Q25*$C$9</f>
        <v>#N/A</v>
      </c>
      <c r="AG25" s="259" t="str">
        <f t="shared" ref="AG25:AG26" si="24">R25*$C$10</f>
        <v>#N/A</v>
      </c>
      <c r="AH25" s="259">
        <f t="shared" ref="AH25:AH26" si="25">(S25*S25+T25*T25+U25*U25+V25*V25+W25*W25)^0.5</f>
        <v>0</v>
      </c>
      <c r="AI25" s="259">
        <f t="shared" ref="AI25:AI26" si="26">AH25*$B$15</f>
        <v>0</v>
      </c>
      <c r="AJ25" s="262" t="str">
        <f t="shared" ref="AJ25:AJ26" si="27">SUM(X25:AB25)</f>
        <v>#N/A</v>
      </c>
      <c r="AK25" s="179">
        <f t="shared" ref="AK25:AK26" si="28">IF(AI25=0,0,AI25/AJ25)</f>
        <v>0</v>
      </c>
      <c r="AL25" s="180" t="str">
        <f t="shared" ref="AL25:AL26" si="29">AJ25/$B$2</f>
        <v>#N/A</v>
      </c>
      <c r="AM25" s="227"/>
      <c r="AN25" s="227"/>
      <c r="AO25" s="227"/>
      <c r="AP25" s="227"/>
      <c r="AQ25" s="227"/>
    </row>
    <row r="26" ht="15.75" customHeight="1">
      <c r="A26" s="258" t="s">
        <v>299</v>
      </c>
      <c r="B26" s="90" t="str">
        <f>'TNT 2023'!B24</f>
        <v>$AX</v>
      </c>
      <c r="C26" s="259">
        <f t="shared" ref="C26:G26" si="8">COUNTIFS(
    INDIRECT("'" &amp; $B$18 &amp; "'!" &amp; $B$19 &amp; ":" &amp; $B$19), C$20,
    INDIRECT("'" &amp; $B$18 &amp; "'!" &amp; $B$12 &amp; ":" &amp; $B$12), "*" &amp; $B$4 &amp; "*",
    INDIRECT("'" &amp; $B$18 &amp; "'!" &amp; $B$13 &amp; ":" &amp; $B$13), $A$1,
    INDIRECT("'" &amp; $B$18 &amp; "'!" &amp; $B$20 &amp; ":" &amp; $B$20), $A26
)</f>
        <v>0</v>
      </c>
      <c r="D26" s="259">
        <f t="shared" si="8"/>
        <v>0</v>
      </c>
      <c r="E26" s="259">
        <f t="shared" si="8"/>
        <v>0</v>
      </c>
      <c r="F26" s="259">
        <f t="shared" si="8"/>
        <v>0</v>
      </c>
      <c r="G26" s="259">
        <f t="shared" si="8"/>
        <v>0</v>
      </c>
      <c r="H26" s="259">
        <f t="shared" si="9"/>
        <v>0</v>
      </c>
      <c r="I26" s="260">
        <f>IFERROR(__xludf.DUMMYFUNCTION("IFERROR(
    VAR.S(
        FILTER(
            INDIRECT(""'"" &amp; $B$18 &amp; ""'!"" &amp; $B26 &amp; "":"" &amp; $B26), 
            (INDIRECT(""'"" &amp; $B$18 &amp; ""'!"" &amp; $B$19 &amp; "":"" &amp; $B$19) = I$20) *
            (ISNUMBER(SEARCH($B$4, INDIRECT(""'"" &amp; $B$18 &amp; ""'!"" &amp; $"&amp;"B$12 &amp; "":"" &amp; $B$12)))) *
            (INDIRECT(""'"" &amp; $B$18 &amp; ""'!"" &amp; $B$13 &amp; "":"" &amp; $B$13) = $A$1)
        )
    )/$D$6, 
    0
)
"),0.0)</f>
        <v>0</v>
      </c>
      <c r="J26" s="260">
        <f>IFERROR(__xludf.DUMMYFUNCTION("IFERROR(
    VAR.S(
        FILTER(
            INDIRECT(""'"" &amp; $B$18 &amp; ""'!"" &amp; $B26 &amp; "":"" &amp; $B26), 
            (INDIRECT(""'"" &amp; $B$18 &amp; ""'!"" &amp; $B$19 &amp; "":"" &amp; $B$19) = J$20) *
            (ISNUMBER(SEARCH($B$4, INDIRECT(""'"" &amp; $B$18 &amp; ""'!"" &amp; $"&amp;"B$12 &amp; "":"" &amp; $B$12)))) *
            (INDIRECT(""'"" &amp; $B$18 &amp; ""'!"" &amp; $B$13 &amp; "":"" &amp; $B$13) = $A$1)
        )
    )/$D$7, 
    0
)
"),0.0)</f>
        <v>0</v>
      </c>
      <c r="K26" s="260">
        <f>IFERROR(__xludf.DUMMYFUNCTION("IFERROR(
    VAR.S(
        FILTER(
            INDIRECT(""'"" &amp; $B$18 &amp; ""'!"" &amp; $B26 &amp; "":"" &amp; $B26), 
            (INDIRECT(""'"" &amp; $B$18 &amp; ""'!"" &amp; $B$19 &amp; "":"" &amp; $B$19) = K$20) *
            (ISNUMBER(SEARCH($B$4, INDIRECT(""'"" &amp; $B$18 &amp; ""'!"" &amp; $"&amp;"B$12 &amp; "":"" &amp; $B$12)))) *
            (INDIRECT(""'"" &amp; $B$18 &amp; ""'!"" &amp; $B$13 &amp; "":"" &amp; $B$13) = $A$1)
        )
    )/$D$8, 
    0
)
"),0.0)</f>
        <v>0</v>
      </c>
      <c r="L26" s="261">
        <f>IFERROR(__xludf.DUMMYFUNCTION("IFERROR(
    VAR.S(
        FILTER(
            INDIRECT(""'"" &amp; $B$18 &amp; ""'!"" &amp; $B26 &amp; "":"" &amp; $B26), 
            (INDIRECT(""'"" &amp; $B$18 &amp; ""'!"" &amp; $B$19 &amp; "":"" &amp; $B$19) = L$20) *
            (ISNUMBER(SEARCH($B$4, INDIRECT(""'"" &amp; $B$18 &amp; ""'!"" &amp; $"&amp;"B$12 &amp; "":"" &amp; $B$12)))) *
            (INDIRECT(""'"" &amp; $B$18 &amp; ""'!"" &amp; $B$13 &amp; "":"" &amp; $B$13) = $A$1)
        )
    )/$D$9, 
    0
)
"),0.0)</f>
        <v>0</v>
      </c>
      <c r="M26" s="261">
        <f>IFERROR(__xludf.DUMMYFUNCTION("IFERROR(
    VAR.S(
        FILTER(
            INDIRECT(""'"" &amp; $B$18 &amp; ""'!"" &amp; $B26 &amp; "":"" &amp; $B26), 
            (INDIRECT(""'"" &amp; $B$18 &amp; ""'!"" &amp; $B$19 &amp; "":"" &amp; $B$19) = M$20) *
            (ISNUMBER(SEARCH($B$4, INDIRECT(""'"" &amp; $B$18 &amp; ""'!"" &amp; $"&amp;"B$12 &amp; "":"" &amp; $B$12)))) *
            (INDIRECT(""'"" &amp; $B$18 &amp; ""'!"" &amp; $B$13 &amp; "":"" &amp; $B$13) = $A$1)
        )
    )/$D$10, 
    0
)
"),0.0)</f>
        <v>0</v>
      </c>
      <c r="N26" s="261" t="str">
        <f>IFERROR(__xludf.DUMMYFUNCTION("AVERAGE(
        FILTER(
            INDIRECT(""'"" &amp; $B$18 &amp; ""'!"" &amp; $B26 &amp; "":"" &amp; $B26), 
            (INDIRECT(""'"" &amp; $B$18 &amp; ""'!"" &amp; $B$19 &amp; "":"" &amp; $B$19) = I$20)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O26" s="261" t="str">
        <f>IFERROR(__xludf.DUMMYFUNCTION("AVERAGE(
        FILTER(
            INDIRECT(""'"" &amp; $B$18 &amp; ""'!"" &amp; $B26 &amp; "":"" &amp; $B26), 
            (INDIRECT(""'"" &amp; $B$18 &amp; ""'!"" &amp; $B$19 &amp; "":"" &amp; $B$19) = J$20)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P26" s="261" t="str">
        <f>IFERROR(__xludf.DUMMYFUNCTION("AVERAGE(
        FILTER(
            INDIRECT(""'"" &amp; $B$18 &amp; ""'!"" &amp; $B26 &amp; "":"" &amp; $B26), 
            (INDIRECT(""'"" &amp; $B$18 &amp; ""'!"" &amp; $B$19 &amp; "":"" &amp; $B$19) = K$20)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Q26" s="261" t="str">
        <f>IFERROR(__xludf.DUMMYFUNCTION("AVERAGE(
        FILTER(
            INDIRECT(""'"" &amp; $B$18 &amp; ""'!"" &amp; $B26 &amp; "":"" &amp; $B26), 
            (INDIRECT(""'"" &amp; $B$18 &amp; ""'!"" &amp; $B$19 &amp; "":"" &amp; $B$19) = L$20)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R26" s="261" t="str">
        <f>IFERROR(__xludf.DUMMYFUNCTION("AVERAGE(
        FILTER(
            INDIRECT(""'"" &amp; $B$18 &amp; ""'!"" &amp; $B26 &amp; "":"" &amp; $B26), 
            (INDIRECT(""'"" &amp; $B$18 &amp; ""'!"" &amp; $B$19 &amp; "":"" &amp; $B$19) = M$20) *
            (ISNUMBER(SEARCH($B$4, INDIRECT(""'"" &amp; $B$18 &amp; ""'!"" &amp; $B$12 &amp; "":"&amp;""" &amp; $B$12)))) *
            (INDIRECT(""'"" &amp; $B$18 &amp; ""'!"" &amp; $B$13 &amp; "":"" &amp; $B$13) = $A$1)
        )
    )"),"#N/A")</f>
        <v>#N/A</v>
      </c>
      <c r="S26" s="261">
        <f t="shared" si="10"/>
        <v>0</v>
      </c>
      <c r="T26" s="261">
        <f t="shared" si="11"/>
        <v>0</v>
      </c>
      <c r="U26" s="261">
        <f t="shared" si="12"/>
        <v>0</v>
      </c>
      <c r="V26" s="261">
        <f t="shared" si="13"/>
        <v>0</v>
      </c>
      <c r="W26" s="261">
        <f t="shared" si="14"/>
        <v>0</v>
      </c>
      <c r="X26" s="261" t="str">
        <f t="shared" si="15"/>
        <v>#N/A</v>
      </c>
      <c r="Y26" s="261" t="str">
        <f t="shared" si="16"/>
        <v>#N/A</v>
      </c>
      <c r="Z26" s="261" t="str">
        <f t="shared" si="17"/>
        <v>#N/A</v>
      </c>
      <c r="AA26" s="261" t="str">
        <f t="shared" si="18"/>
        <v>#N/A</v>
      </c>
      <c r="AB26" s="261" t="str">
        <f t="shared" si="19"/>
        <v>#N/A</v>
      </c>
      <c r="AC26" s="259" t="str">
        <f t="shared" si="20"/>
        <v>#N/A</v>
      </c>
      <c r="AD26" s="259" t="str">
        <f t="shared" si="21"/>
        <v>#N/A</v>
      </c>
      <c r="AE26" s="259" t="str">
        <f t="shared" si="22"/>
        <v>#N/A</v>
      </c>
      <c r="AF26" s="259" t="str">
        <f t="shared" si="23"/>
        <v>#N/A</v>
      </c>
      <c r="AG26" s="259" t="str">
        <f t="shared" si="24"/>
        <v>#N/A</v>
      </c>
      <c r="AH26" s="259">
        <f t="shared" si="25"/>
        <v>0</v>
      </c>
      <c r="AI26" s="259">
        <f t="shared" si="26"/>
        <v>0</v>
      </c>
      <c r="AJ26" s="262" t="str">
        <f t="shared" si="27"/>
        <v>#N/A</v>
      </c>
      <c r="AK26" s="179">
        <f t="shared" si="28"/>
        <v>0</v>
      </c>
      <c r="AL26" s="180" t="str">
        <f t="shared" si="29"/>
        <v>#N/A</v>
      </c>
      <c r="AM26" s="227"/>
      <c r="AN26" s="227"/>
      <c r="AO26" s="227"/>
      <c r="AP26" s="227"/>
      <c r="AQ26" s="227"/>
    </row>
    <row r="27" ht="15.75" customHeight="1">
      <c r="A27" s="85"/>
      <c r="B27" s="29"/>
      <c r="C27" s="29"/>
      <c r="D27" s="29"/>
      <c r="E27" s="29"/>
      <c r="F27" s="29"/>
      <c r="G27" s="29"/>
      <c r="H27" s="263">
        <f>SUM(H21:H26)</f>
        <v>0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112"/>
      <c r="AD27" s="112"/>
      <c r="AE27" s="112"/>
      <c r="AF27" s="112"/>
      <c r="AG27" s="112"/>
      <c r="AH27" s="29"/>
      <c r="AI27" s="29"/>
      <c r="AJ27" s="113" t="str">
        <f>SUM(AJ21:AJ26)</f>
        <v>#N/A</v>
      </c>
      <c r="AK27" s="29"/>
      <c r="AL27" s="29"/>
      <c r="AM27" s="29"/>
      <c r="AN27" s="29"/>
      <c r="AO27" s="29"/>
      <c r="AP27" s="29"/>
      <c r="AQ27" s="29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9:H19"/>
    <mergeCell ref="I19:M19"/>
    <mergeCell ref="N19:R19"/>
    <mergeCell ref="S19:W19"/>
    <mergeCell ref="X19:AB19"/>
    <mergeCell ref="AC19:AH19"/>
  </mergeCells>
  <conditionalFormatting sqref="AJ27">
    <cfRule type="expression" dxfId="0" priority="1">
      <formula>AJ27=B2</formula>
    </cfRule>
  </conditionalFormatting>
  <conditionalFormatting sqref="AJ27">
    <cfRule type="expression" dxfId="2" priority="2">
      <formula>AJ27&lt;&gt;B2</formula>
    </cfRule>
  </conditionalFormatting>
  <conditionalFormatting sqref="H27">
    <cfRule type="expression" dxfId="0" priority="3">
      <formula>H27=D11</formula>
    </cfRule>
  </conditionalFormatting>
  <conditionalFormatting sqref="H27">
    <cfRule type="expression" dxfId="2" priority="4">
      <formula>H27&lt;&gt;D11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476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3166045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AJ20</f>
        <v>#N/A</v>
      </c>
      <c r="K4" s="224">
        <v>2023.0</v>
      </c>
      <c r="L4" s="225" t="str">
        <f>AJ22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2034709</v>
      </c>
      <c r="C6" s="73">
        <f t="shared" ref="C6:C10" si="1">B6/$B$11</f>
        <v>0.6426658497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499308</v>
      </c>
      <c r="C7" s="73">
        <f t="shared" si="1"/>
        <v>0.1577071709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360434</v>
      </c>
      <c r="C8" s="73">
        <f t="shared" si="1"/>
        <v>0.1138436125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206383</v>
      </c>
      <c r="C9" s="73">
        <f t="shared" si="1"/>
        <v>0.06518637606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65211</v>
      </c>
      <c r="C10" s="73">
        <f t="shared" si="1"/>
        <v>0.02059699088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3166045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 t="str">
        <f>IFERROR(__xludf.DUMMYFUNCTION("AVERAGE(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0" s="241" t="str">
        <f>IFERROR(__xludf.DUMMYFUNCTION("AVERAGE(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0" s="241" t="str">
        <f>IFERROR(__xludf.DUMMYFUNCTION("AVERAGE(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0" s="241" t="str">
        <f>IFERROR(__xludf.DUMMYFUNCTION("AVERAGE(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0" s="241" t="str">
        <f>IFERROR(__xludf.DUMMYFUNCTION("AVERAGE(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 t="str">
        <f>N20*$B$6</f>
        <v>#N/A</v>
      </c>
      <c r="Y20" s="241" t="str">
        <f>O20*$B$7</f>
        <v>#N/A</v>
      </c>
      <c r="Z20" s="241" t="str">
        <f>P20*$B$8</f>
        <v>#N/A</v>
      </c>
      <c r="AA20" s="241" t="str">
        <f>Q20*$B$9</f>
        <v>#N/A</v>
      </c>
      <c r="AB20" s="241" t="str">
        <f>R20*$B$10</f>
        <v>#N/A</v>
      </c>
      <c r="AC20" s="242" t="str">
        <f>N20*$C$6</f>
        <v>#N/A</v>
      </c>
      <c r="AD20" s="242" t="str">
        <f>O20*$C$7</f>
        <v>#N/A</v>
      </c>
      <c r="AE20" s="242" t="str">
        <f>P20*$C$8</f>
        <v>#N/A</v>
      </c>
      <c r="AF20" s="242" t="str">
        <f>Q20*$C$9</f>
        <v>#N/A</v>
      </c>
      <c r="AG20" s="242" t="str">
        <f>R20*$C$10</f>
        <v>#N/A</v>
      </c>
      <c r="AH20" s="242">
        <f>(S20*S20+T20*T20+U20*U20+V20*V20+W20*W20)^0.5</f>
        <v>0</v>
      </c>
      <c r="AI20" s="242">
        <f>AH20*$B$15</f>
        <v>0</v>
      </c>
      <c r="AJ20" s="243" t="str">
        <f>SUM(X20:AB20)</f>
        <v>#N/A</v>
      </c>
      <c r="AK20" s="244">
        <f>IF(AI20=0,0,AI20/AJ20)</f>
        <v>0</v>
      </c>
      <c r="AL20" s="245" t="str">
        <f>AJ20/$B$2</f>
        <v>#N/A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 t="str">
        <f>IFERROR(__xludf.DUMMYFUNCTION("AVERAGE(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2" s="254" t="str">
        <f>IFERROR(__xludf.DUMMYFUNCTION("AVERAGE(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2" s="254" t="str">
        <f>IFERROR(__xludf.DUMMYFUNCTION("AVERAGE(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2" s="254" t="str">
        <f>IFERROR(__xludf.DUMMYFUNCTION("AVERAGE(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2" s="254" t="str">
        <f>IFERROR(__xludf.DUMMYFUNCTION("AVERAGE(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 t="str">
        <f>N22*$B$6</f>
        <v>#N/A</v>
      </c>
      <c r="Y22" s="254" t="str">
        <f>O22*$B$7</f>
        <v>#N/A</v>
      </c>
      <c r="Z22" s="254" t="str">
        <f>P22*$B$8</f>
        <v>#N/A</v>
      </c>
      <c r="AA22" s="254" t="str">
        <f>Q22*$B$9</f>
        <v>#N/A</v>
      </c>
      <c r="AB22" s="254" t="str">
        <f>R22*$B$10</f>
        <v>#N/A</v>
      </c>
      <c r="AC22" s="255" t="str">
        <f>N22*$C$6</f>
        <v>#N/A</v>
      </c>
      <c r="AD22" s="255" t="str">
        <f>O22*$C$7</f>
        <v>#N/A</v>
      </c>
      <c r="AE22" s="255" t="str">
        <f>P22*$C$8</f>
        <v>#N/A</v>
      </c>
      <c r="AF22" s="255" t="str">
        <f>Q22*$C$9</f>
        <v>#N/A</v>
      </c>
      <c r="AG22" s="255" t="str">
        <f>R22*$C$10</f>
        <v>#N/A</v>
      </c>
      <c r="AH22" s="255">
        <f>(S22*S22+T22*T22+U22*U22+V22*V22+W22*W22)^0.5</f>
        <v>0</v>
      </c>
      <c r="AI22" s="255">
        <f>AH22*$B$15</f>
        <v>0</v>
      </c>
      <c r="AJ22" s="256" t="str">
        <f>SUM(X22:AB22)</f>
        <v>#N/A</v>
      </c>
      <c r="AK22" s="170">
        <f>IF(AI22=0,0,AI22/AJ22)</f>
        <v>0</v>
      </c>
      <c r="AL22" s="171" t="str">
        <f>AJ22/$B$2</f>
        <v>#N/A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 t="str">
        <f>IFERROR(__xludf.DUMMYFUNCTION("AVERAGE(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4" s="261" t="str">
        <f>IFERROR(__xludf.DUMMYFUNCTION("AVERAGE(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4" s="261" t="str">
        <f>IFERROR(__xludf.DUMMYFUNCTION("AVERAGE(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4" s="261" t="str">
        <f>IFERROR(__xludf.DUMMYFUNCTION("AVERAGE(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4" s="261" t="str">
        <f>IFERROR(__xludf.DUMMYFUNCTION("AVERAGE(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 t="str">
        <f t="shared" ref="X24:X25" si="15">N24*$B$6</f>
        <v>#N/A</v>
      </c>
      <c r="Y24" s="261" t="str">
        <f t="shared" ref="Y24:Y25" si="16">O24*$B$7</f>
        <v>#N/A</v>
      </c>
      <c r="Z24" s="261" t="str">
        <f t="shared" ref="Z24:Z25" si="17">P24*$B$8</f>
        <v>#N/A</v>
      </c>
      <c r="AA24" s="261" t="str">
        <f t="shared" ref="AA24:AA25" si="18">Q24*$B$9</f>
        <v>#N/A</v>
      </c>
      <c r="AB24" s="261" t="str">
        <f t="shared" ref="AB24:AB25" si="19">R24*$B$10</f>
        <v>#N/A</v>
      </c>
      <c r="AC24" s="259" t="str">
        <f t="shared" ref="AC24:AC25" si="20">N24*$C$6</f>
        <v>#N/A</v>
      </c>
      <c r="AD24" s="259" t="str">
        <f t="shared" ref="AD24:AD25" si="21">O24*$C$7</f>
        <v>#N/A</v>
      </c>
      <c r="AE24" s="259" t="str">
        <f t="shared" ref="AE24:AE25" si="22">P24*$C$8</f>
        <v>#N/A</v>
      </c>
      <c r="AF24" s="259" t="str">
        <f t="shared" ref="AF24:AF25" si="23">Q24*$C$9</f>
        <v>#N/A</v>
      </c>
      <c r="AG24" s="259" t="str">
        <f t="shared" ref="AG24:AG25" si="24">R24*$C$10</f>
        <v>#N/A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 t="str">
        <f t="shared" ref="AJ24:AJ25" si="27">SUM(X24:AB24)</f>
        <v>#N/A</v>
      </c>
      <c r="AK24" s="179">
        <f t="shared" ref="AK24:AK25" si="28">IF(AI24=0,0,AI24/AJ24)</f>
        <v>0</v>
      </c>
      <c r="AL24" s="180" t="str">
        <f t="shared" ref="AL24:AL25" si="29">AJ24/$B$2</f>
        <v>#N/A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 t="str">
        <f>IFERROR(__xludf.DUMMYFUNCTION("AVERAGE(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5" s="261" t="str">
        <f>IFERROR(__xludf.DUMMYFUNCTION("AVERAGE(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5" s="261" t="str">
        <f>IFERROR(__xludf.DUMMYFUNCTION("AVERAGE(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5" s="261" t="str">
        <f>IFERROR(__xludf.DUMMYFUNCTION("AVERAGE(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5" s="261" t="str">
        <f>IFERROR(__xludf.DUMMYFUNCTION("AVERAGE(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 t="str">
        <f t="shared" si="15"/>
        <v>#N/A</v>
      </c>
      <c r="Y25" s="261" t="str">
        <f t="shared" si="16"/>
        <v>#N/A</v>
      </c>
      <c r="Z25" s="261" t="str">
        <f t="shared" si="17"/>
        <v>#N/A</v>
      </c>
      <c r="AA25" s="261" t="str">
        <f t="shared" si="18"/>
        <v>#N/A</v>
      </c>
      <c r="AB25" s="261" t="str">
        <f t="shared" si="19"/>
        <v>#N/A</v>
      </c>
      <c r="AC25" s="259" t="str">
        <f t="shared" si="20"/>
        <v>#N/A</v>
      </c>
      <c r="AD25" s="259" t="str">
        <f t="shared" si="21"/>
        <v>#N/A</v>
      </c>
      <c r="AE25" s="259" t="str">
        <f t="shared" si="22"/>
        <v>#N/A</v>
      </c>
      <c r="AF25" s="259" t="str">
        <f t="shared" si="23"/>
        <v>#N/A</v>
      </c>
      <c r="AG25" s="259" t="str">
        <f t="shared" si="24"/>
        <v>#N/A</v>
      </c>
      <c r="AH25" s="259">
        <f t="shared" si="25"/>
        <v>0</v>
      </c>
      <c r="AI25" s="259">
        <f t="shared" si="26"/>
        <v>0</v>
      </c>
      <c r="AJ25" s="262" t="str">
        <f t="shared" si="27"/>
        <v>#N/A</v>
      </c>
      <c r="AK25" s="179">
        <f t="shared" si="28"/>
        <v>0</v>
      </c>
      <c r="AL25" s="180" t="str">
        <f t="shared" si="29"/>
        <v>#N/A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 t="str">
        <f>SUM(AJ20:AJ25)</f>
        <v>#N/A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4898951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 t="str">
        <f>AJ20</f>
        <v>#N/A</v>
      </c>
      <c r="K4" s="224">
        <v>2023.0</v>
      </c>
      <c r="L4" s="225" t="str">
        <f>AJ22</f>
        <v>#N/A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3193944</v>
      </c>
      <c r="C6" s="73">
        <f t="shared" ref="C6:C10" si="1">B6/$B$11</f>
        <v>0.6519648798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917795</v>
      </c>
      <c r="C7" s="73">
        <f t="shared" si="1"/>
        <v>0.1873452092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440342</v>
      </c>
      <c r="C8" s="73">
        <f t="shared" si="1"/>
        <v>0.089884957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242728</v>
      </c>
      <c r="C9" s="73">
        <f t="shared" si="1"/>
        <v>0.04954693362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104142</v>
      </c>
      <c r="C10" s="73">
        <f t="shared" si="1"/>
        <v>0.02125802034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4898951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 t="str">
        <f>IFERROR(__xludf.DUMMYFUNCTION("AVERAGE(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0" s="241" t="str">
        <f>IFERROR(__xludf.DUMMYFUNCTION("AVERAGE(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0" s="241" t="str">
        <f>IFERROR(__xludf.DUMMYFUNCTION("AVERAGE(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0" s="241" t="str">
        <f>IFERROR(__xludf.DUMMYFUNCTION("AVERAGE(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0" s="241" t="str">
        <f>IFERROR(__xludf.DUMMYFUNCTION("AVERAGE(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 t="str">
        <f>N20*$B$6</f>
        <v>#N/A</v>
      </c>
      <c r="Y20" s="241" t="str">
        <f>O20*$B$7</f>
        <v>#N/A</v>
      </c>
      <c r="Z20" s="241" t="str">
        <f>P20*$B$8</f>
        <v>#N/A</v>
      </c>
      <c r="AA20" s="241" t="str">
        <f>Q20*$B$9</f>
        <v>#N/A</v>
      </c>
      <c r="AB20" s="241" t="str">
        <f>R20*$B$10</f>
        <v>#N/A</v>
      </c>
      <c r="AC20" s="242" t="str">
        <f>N20*$C$6</f>
        <v>#N/A</v>
      </c>
      <c r="AD20" s="242" t="str">
        <f>O20*$C$7</f>
        <v>#N/A</v>
      </c>
      <c r="AE20" s="242" t="str">
        <f>P20*$C$8</f>
        <v>#N/A</v>
      </c>
      <c r="AF20" s="242" t="str">
        <f>Q20*$C$9</f>
        <v>#N/A</v>
      </c>
      <c r="AG20" s="242" t="str">
        <f>R20*$C$10</f>
        <v>#N/A</v>
      </c>
      <c r="AH20" s="242">
        <f>(S20*S20+T20*T20+U20*U20+V20*V20+W20*W20)^0.5</f>
        <v>0</v>
      </c>
      <c r="AI20" s="242">
        <f>AH20*$B$15</f>
        <v>0</v>
      </c>
      <c r="AJ20" s="243" t="str">
        <f>SUM(X20:AB20)</f>
        <v>#N/A</v>
      </c>
      <c r="AK20" s="244">
        <f>IF(AI20=0,0,AI20/AJ20)</f>
        <v>0</v>
      </c>
      <c r="AL20" s="245" t="str">
        <f>AJ20/$B$2</f>
        <v>#N/A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 t="str">
        <f>IFERROR(__xludf.DUMMYFUNCTION("AVERAGE(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2" s="254" t="str">
        <f>IFERROR(__xludf.DUMMYFUNCTION("AVERAGE(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2" s="254" t="str">
        <f>IFERROR(__xludf.DUMMYFUNCTION("AVERAGE(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2" s="254" t="str">
        <f>IFERROR(__xludf.DUMMYFUNCTION("AVERAGE(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2" s="254" t="str">
        <f>IFERROR(__xludf.DUMMYFUNCTION("AVERAGE(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 t="str">
        <f>N22*$B$6</f>
        <v>#N/A</v>
      </c>
      <c r="Y22" s="254" t="str">
        <f>O22*$B$7</f>
        <v>#N/A</v>
      </c>
      <c r="Z22" s="254" t="str">
        <f>P22*$B$8</f>
        <v>#N/A</v>
      </c>
      <c r="AA22" s="254" t="str">
        <f>Q22*$B$9</f>
        <v>#N/A</v>
      </c>
      <c r="AB22" s="254" t="str">
        <f>R22*$B$10</f>
        <v>#N/A</v>
      </c>
      <c r="AC22" s="255" t="str">
        <f>N22*$C$6</f>
        <v>#N/A</v>
      </c>
      <c r="AD22" s="255" t="str">
        <f>O22*$C$7</f>
        <v>#N/A</v>
      </c>
      <c r="AE22" s="255" t="str">
        <f>P22*$C$8</f>
        <v>#N/A</v>
      </c>
      <c r="AF22" s="255" t="str">
        <f>Q22*$C$9</f>
        <v>#N/A</v>
      </c>
      <c r="AG22" s="255" t="str">
        <f>R22*$C$10</f>
        <v>#N/A</v>
      </c>
      <c r="AH22" s="255">
        <f>(S22*S22+T22*T22+U22*U22+V22*V22+W22*W22)^0.5</f>
        <v>0</v>
      </c>
      <c r="AI22" s="255">
        <f>AH22*$B$15</f>
        <v>0</v>
      </c>
      <c r="AJ22" s="256" t="str">
        <f>SUM(X22:AB22)</f>
        <v>#N/A</v>
      </c>
      <c r="AK22" s="170">
        <f>IF(AI22=0,0,AI22/AJ22)</f>
        <v>0</v>
      </c>
      <c r="AL22" s="171" t="str">
        <f>AJ22/$B$2</f>
        <v>#N/A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 t="str">
        <f>IFERROR(__xludf.DUMMYFUNCTION("AVERAGE(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4" s="261" t="str">
        <f>IFERROR(__xludf.DUMMYFUNCTION("AVERAGE(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4" s="261" t="str">
        <f>IFERROR(__xludf.DUMMYFUNCTION("AVERAGE(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4" s="261" t="str">
        <f>IFERROR(__xludf.DUMMYFUNCTION("AVERAGE(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4" s="261" t="str">
        <f>IFERROR(__xludf.DUMMYFUNCTION("AVERAGE(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 t="str">
        <f t="shared" ref="X24:X25" si="15">N24*$B$6</f>
        <v>#N/A</v>
      </c>
      <c r="Y24" s="261" t="str">
        <f t="shared" ref="Y24:Y25" si="16">O24*$B$7</f>
        <v>#N/A</v>
      </c>
      <c r="Z24" s="261" t="str">
        <f t="shared" ref="Z24:Z25" si="17">P24*$B$8</f>
        <v>#N/A</v>
      </c>
      <c r="AA24" s="261" t="str">
        <f t="shared" ref="AA24:AA25" si="18">Q24*$B$9</f>
        <v>#N/A</v>
      </c>
      <c r="AB24" s="261" t="str">
        <f t="shared" ref="AB24:AB25" si="19">R24*$B$10</f>
        <v>#N/A</v>
      </c>
      <c r="AC24" s="259" t="str">
        <f t="shared" ref="AC24:AC25" si="20">N24*$C$6</f>
        <v>#N/A</v>
      </c>
      <c r="AD24" s="259" t="str">
        <f t="shared" ref="AD24:AD25" si="21">O24*$C$7</f>
        <v>#N/A</v>
      </c>
      <c r="AE24" s="259" t="str">
        <f t="shared" ref="AE24:AE25" si="22">P24*$C$8</f>
        <v>#N/A</v>
      </c>
      <c r="AF24" s="259" t="str">
        <f t="shared" ref="AF24:AF25" si="23">Q24*$C$9</f>
        <v>#N/A</v>
      </c>
      <c r="AG24" s="259" t="str">
        <f t="shared" ref="AG24:AG25" si="24">R24*$C$10</f>
        <v>#N/A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 t="str">
        <f t="shared" ref="AJ24:AJ25" si="27">SUM(X24:AB24)</f>
        <v>#N/A</v>
      </c>
      <c r="AK24" s="179">
        <f t="shared" ref="AK24:AK25" si="28">IF(AI24=0,0,AI24/AJ24)</f>
        <v>0</v>
      </c>
      <c r="AL24" s="180" t="str">
        <f t="shared" ref="AL24:AL25" si="29">AJ24/$B$2</f>
        <v>#N/A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 t="str">
        <f>IFERROR(__xludf.DUMMYFUNCTION("AVERAGE(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O25" s="261" t="str">
        <f>IFERROR(__xludf.DUMMYFUNCTION("AVERAGE(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P25" s="261" t="str">
        <f>IFERROR(__xludf.DUMMYFUNCTION("AVERAGE(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Q25" s="261" t="str">
        <f>IFERROR(__xludf.DUMMYFUNCTION("AVERAGE(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R25" s="261" t="str">
        <f>IFERROR(__xludf.DUMMYFUNCTION("AVERAGE(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$B$12 &amp; "":"&amp;""" &amp; $B$12)))) *
            (INDIRECT(""'"" &amp; $B$17 &amp; ""'!"" &amp; $B$13 &amp; "":"" &amp; $B$13) = $A$1)
        )
    )"),"#N/A")</f>
        <v>#N/A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 t="str">
        <f t="shared" si="15"/>
        <v>#N/A</v>
      </c>
      <c r="Y25" s="261" t="str">
        <f t="shared" si="16"/>
        <v>#N/A</v>
      </c>
      <c r="Z25" s="261" t="str">
        <f t="shared" si="17"/>
        <v>#N/A</v>
      </c>
      <c r="AA25" s="261" t="str">
        <f t="shared" si="18"/>
        <v>#N/A</v>
      </c>
      <c r="AB25" s="261" t="str">
        <f t="shared" si="19"/>
        <v>#N/A</v>
      </c>
      <c r="AC25" s="259" t="str">
        <f t="shared" si="20"/>
        <v>#N/A</v>
      </c>
      <c r="AD25" s="259" t="str">
        <f t="shared" si="21"/>
        <v>#N/A</v>
      </c>
      <c r="AE25" s="259" t="str">
        <f t="shared" si="22"/>
        <v>#N/A</v>
      </c>
      <c r="AF25" s="259" t="str">
        <f t="shared" si="23"/>
        <v>#N/A</v>
      </c>
      <c r="AG25" s="259" t="str">
        <f t="shared" si="24"/>
        <v>#N/A</v>
      </c>
      <c r="AH25" s="259">
        <f t="shared" si="25"/>
        <v>0</v>
      </c>
      <c r="AI25" s="259">
        <f t="shared" si="26"/>
        <v>0</v>
      </c>
      <c r="AJ25" s="262" t="str">
        <f t="shared" si="27"/>
        <v>#N/A</v>
      </c>
      <c r="AK25" s="179">
        <f t="shared" si="28"/>
        <v>0</v>
      </c>
      <c r="AL25" s="180" t="str">
        <f t="shared" si="29"/>
        <v>#N/A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 t="str">
        <f>SUM(AJ20:AJ25)</f>
        <v>#N/A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561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1662607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1001398</v>
      </c>
      <c r="C6" s="73">
        <f t="shared" ref="C6:C10" si="1">B6/$B$11</f>
        <v>0.6023058967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296997</v>
      </c>
      <c r="C7" s="73">
        <f t="shared" si="1"/>
        <v>0.178633315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194535</v>
      </c>
      <c r="C8" s="73">
        <f t="shared" si="1"/>
        <v>0.1170060032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118641</v>
      </c>
      <c r="C9" s="73">
        <f t="shared" si="1"/>
        <v>0.07135841483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51036</v>
      </c>
      <c r="C10" s="73">
        <f t="shared" si="1"/>
        <v>0.03069637022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1662607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562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6243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2930</v>
      </c>
      <c r="C6" s="73">
        <f t="shared" ref="C6:C10" si="1">B6/$B$11</f>
        <v>0.4693256447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1927</v>
      </c>
      <c r="C7" s="73">
        <f t="shared" si="1"/>
        <v>0.3086657056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1204</v>
      </c>
      <c r="C8" s="73">
        <f t="shared" si="1"/>
        <v>0.1928559987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168</v>
      </c>
      <c r="C9" s="73">
        <f t="shared" si="1"/>
        <v>0.02691013936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14</v>
      </c>
      <c r="C10" s="73">
        <f t="shared" si="1"/>
        <v>0.002242511613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6243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556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5837668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3535705</v>
      </c>
      <c r="C6" s="73">
        <f t="shared" ref="C6:C10" si="1">B6/$B$11</f>
        <v>0.6056707918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1033508</v>
      </c>
      <c r="C7" s="73">
        <f t="shared" si="1"/>
        <v>0.1770412432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820156</v>
      </c>
      <c r="C8" s="73">
        <f t="shared" si="1"/>
        <v>0.1404937725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384574</v>
      </c>
      <c r="C9" s="73">
        <f t="shared" si="1"/>
        <v>0.06587801841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63725</v>
      </c>
      <c r="C10" s="73">
        <f t="shared" si="1"/>
        <v>0.01091617406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5837668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3.38"/>
    <col customWidth="1" min="36" max="36" width="11.13"/>
    <col customWidth="1" min="37" max="38" width="12.75"/>
    <col customWidth="1" min="39" max="43" width="14.25"/>
  </cols>
  <sheetData>
    <row r="1" ht="15.75" customHeight="1">
      <c r="A1" s="207" t="s">
        <v>550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1836028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1626155</v>
      </c>
      <c r="C6" s="73">
        <f t="shared" ref="C6:C10" si="1">B6/$B$11</f>
        <v>0.8856918304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152973</v>
      </c>
      <c r="C7" s="73">
        <f t="shared" si="1"/>
        <v>0.08331735682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32131</v>
      </c>
      <c r="C8" s="73">
        <f t="shared" si="1"/>
        <v>0.01750027777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15723</v>
      </c>
      <c r="C9" s="73">
        <f t="shared" si="1"/>
        <v>0.008563594891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9046</v>
      </c>
      <c r="C10" s="73">
        <f t="shared" si="1"/>
        <v>0.004926940112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1836028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551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2941606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2016552</v>
      </c>
      <c r="C6" s="73">
        <f t="shared" ref="C6:C10" si="1">B6/$B$11</f>
        <v>0.6855275656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429044</v>
      </c>
      <c r="C7" s="73">
        <f t="shared" si="1"/>
        <v>0.1458536595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253359</v>
      </c>
      <c r="C8" s="73">
        <f t="shared" si="1"/>
        <v>0.08612948165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164437</v>
      </c>
      <c r="C9" s="73">
        <f t="shared" si="1"/>
        <v>0.0559004163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78214</v>
      </c>
      <c r="C10" s="73">
        <f t="shared" si="1"/>
        <v>0.02658887696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2941606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  <c r="AI27" s="59" t="s">
        <v>500</v>
      </c>
      <c r="AJ27" s="55">
        <f>SUM(AJ20:AJ25)</f>
        <v>0</v>
      </c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3.38"/>
    <col customWidth="1" min="3" max="3" width="10.5"/>
    <col customWidth="1" min="4" max="4" width="10.38"/>
    <col customWidth="1" min="5" max="8" width="8.0"/>
    <col customWidth="1" min="9" max="13" width="9.63"/>
    <col customWidth="1" min="14" max="18" width="9.5"/>
    <col customWidth="1" min="19" max="23" width="8.38"/>
    <col customWidth="1" min="24" max="28" width="9.38"/>
    <col customWidth="1" min="29" max="33" width="8.5"/>
    <col customWidth="1" min="34" max="34" width="14.13"/>
    <col customWidth="1" min="35" max="35" width="12.13"/>
    <col customWidth="1" min="36" max="36" width="12.5"/>
    <col customWidth="1" min="37" max="38" width="12.75"/>
    <col customWidth="1" min="39" max="43" width="14.25"/>
  </cols>
  <sheetData>
    <row r="1" ht="15.75" customHeight="1">
      <c r="A1" s="320" t="s">
        <v>480</v>
      </c>
      <c r="B1" s="208" t="s">
        <v>524</v>
      </c>
      <c r="C1" s="55"/>
      <c r="L1" s="52"/>
      <c r="M1" s="52"/>
      <c r="AC1" s="56"/>
      <c r="AD1" s="56"/>
      <c r="AE1" s="56"/>
      <c r="AF1" s="56"/>
      <c r="AG1" s="56"/>
    </row>
    <row r="2" ht="15.75" customHeight="1">
      <c r="A2" s="57" t="s">
        <v>483</v>
      </c>
      <c r="B2" s="58">
        <f>B11</f>
        <v>8595750</v>
      </c>
      <c r="I2" s="59" t="s">
        <v>484</v>
      </c>
      <c r="M2" s="52"/>
      <c r="AC2" s="56"/>
      <c r="AD2" s="56"/>
      <c r="AE2" s="56"/>
      <c r="AF2" s="56"/>
      <c r="AG2" s="56"/>
    </row>
    <row r="3" ht="15.75" customHeight="1">
      <c r="A3" s="60"/>
      <c r="B3" s="61"/>
      <c r="C3" s="62"/>
      <c r="I3" s="63" t="s">
        <v>485</v>
      </c>
      <c r="J3" s="63" t="s">
        <v>486</v>
      </c>
      <c r="K3" s="63" t="s">
        <v>485</v>
      </c>
      <c r="L3" s="63" t="s">
        <v>487</v>
      </c>
      <c r="M3" s="52"/>
      <c r="AC3" s="56"/>
      <c r="AD3" s="56"/>
      <c r="AE3" s="56"/>
      <c r="AF3" s="56"/>
      <c r="AG3" s="56"/>
    </row>
    <row r="4" ht="15.75" customHeight="1">
      <c r="A4" s="63" t="s">
        <v>488</v>
      </c>
      <c r="B4" s="64">
        <v>2023.0</v>
      </c>
      <c r="C4" s="65"/>
      <c r="D4" s="66"/>
      <c r="E4" s="67"/>
      <c r="I4" s="224">
        <v>2023.0</v>
      </c>
      <c r="J4" s="225">
        <f>AJ20</f>
        <v>0</v>
      </c>
      <c r="K4" s="224">
        <v>2023.0</v>
      </c>
      <c r="L4" s="225">
        <f>AJ22</f>
        <v>0</v>
      </c>
      <c r="M4" s="52"/>
      <c r="AC4" s="56"/>
      <c r="AD4" s="56"/>
      <c r="AE4" s="56"/>
      <c r="AF4" s="56"/>
      <c r="AG4" s="56"/>
    </row>
    <row r="5" ht="15.75" customHeight="1">
      <c r="A5" s="69" t="s">
        <v>489</v>
      </c>
      <c r="B5" s="70" t="s">
        <v>490</v>
      </c>
      <c r="C5" s="70" t="s">
        <v>491</v>
      </c>
      <c r="D5" s="70" t="s">
        <v>492</v>
      </c>
      <c r="E5" s="61"/>
      <c r="F5" s="61"/>
      <c r="G5" s="61"/>
      <c r="M5" s="52"/>
      <c r="AC5" s="56"/>
      <c r="AD5" s="56"/>
      <c r="AE5" s="56"/>
      <c r="AF5" s="56"/>
      <c r="AG5" s="56"/>
    </row>
    <row r="6" ht="15.75" customHeight="1">
      <c r="A6" s="71">
        <v>1.0</v>
      </c>
      <c r="B6" s="226">
        <f>VLOOKUP($A$1,'Prefecture Summary 2015-2023'!$A$1:$L$18,(A6+7),FALSE)</f>
        <v>5093111</v>
      </c>
      <c r="C6" s="73">
        <f t="shared" ref="C6:C10" si="1">B6/$B$11</f>
        <v>0.592515022</v>
      </c>
      <c r="D6" s="74">
        <f t="shared" ref="D6:D10" si="2">COUNTIFS(
    INDIRECT("'" &amp; $B$17 &amp; "'!" &amp; $B$18 &amp; ":" &amp; $B$18), A6,
    INDIRECT("'" &amp; $B$17 &amp; "'!" &amp; $B$12 &amp; ":" &amp; $B$12), "*" &amp; $B$4 &amp; "*",
    INDIRECT("'" &amp; $B$17 &amp; "'!" &amp; $B$13 &amp; ":" &amp; $B$13), $A$1
)</f>
        <v>0</v>
      </c>
      <c r="E6" s="75"/>
      <c r="F6" s="76"/>
      <c r="G6" s="77"/>
      <c r="I6" s="59"/>
      <c r="K6" s="59"/>
      <c r="AC6" s="56"/>
      <c r="AD6" s="56"/>
      <c r="AE6" s="56"/>
      <c r="AF6" s="56"/>
      <c r="AG6" s="56"/>
    </row>
    <row r="7" ht="15.75" customHeight="1">
      <c r="A7" s="71">
        <v>2.0</v>
      </c>
      <c r="B7" s="226">
        <f>VLOOKUP($A$1,'Prefecture Summary 2015-2023'!$A$1:$L$18,(A7+7),FALSE)</f>
        <v>1840076</v>
      </c>
      <c r="C7" s="73">
        <f t="shared" si="1"/>
        <v>0.2140681151</v>
      </c>
      <c r="D7" s="74">
        <f t="shared" si="2"/>
        <v>0</v>
      </c>
      <c r="E7" s="75"/>
      <c r="F7" s="76"/>
      <c r="G7" s="77"/>
      <c r="I7" s="59"/>
      <c r="K7" s="59"/>
      <c r="AC7" s="56"/>
      <c r="AD7" s="56"/>
      <c r="AE7" s="56"/>
      <c r="AF7" s="56"/>
      <c r="AG7" s="56"/>
    </row>
    <row r="8" ht="15.75" customHeight="1">
      <c r="A8" s="71">
        <v>3.0</v>
      </c>
      <c r="B8" s="226">
        <f>VLOOKUP($A$1,'Prefecture Summary 2015-2023'!$A$1:$L$18,(A8+7),FALSE)</f>
        <v>1068127</v>
      </c>
      <c r="C8" s="73">
        <f t="shared" si="1"/>
        <v>0.1242622226</v>
      </c>
      <c r="D8" s="74">
        <f t="shared" si="2"/>
        <v>0</v>
      </c>
      <c r="E8" s="75"/>
      <c r="F8" s="76"/>
      <c r="G8" s="77"/>
      <c r="I8" s="59"/>
      <c r="K8" s="59"/>
      <c r="AC8" s="56"/>
      <c r="AD8" s="56"/>
      <c r="AE8" s="56"/>
      <c r="AF8" s="56"/>
      <c r="AG8" s="56"/>
    </row>
    <row r="9" ht="15.75" customHeight="1">
      <c r="A9" s="71">
        <v>4.0</v>
      </c>
      <c r="B9" s="226">
        <f>VLOOKUP($A$1,'Prefecture Summary 2015-2023'!$A$1:$L$18,(A9+7),FALSE)</f>
        <v>485032</v>
      </c>
      <c r="C9" s="73">
        <f t="shared" si="1"/>
        <v>0.05642695518</v>
      </c>
      <c r="D9" s="74">
        <f t="shared" si="2"/>
        <v>0</v>
      </c>
      <c r="E9" s="75"/>
      <c r="F9" s="76"/>
      <c r="G9" s="77"/>
      <c r="I9" s="59"/>
      <c r="K9" s="59"/>
      <c r="AC9" s="56"/>
      <c r="AD9" s="56"/>
      <c r="AE9" s="56"/>
      <c r="AF9" s="56"/>
      <c r="AG9" s="56"/>
    </row>
    <row r="10" ht="15.75" customHeight="1">
      <c r="A10" s="71">
        <v>5.0</v>
      </c>
      <c r="B10" s="226">
        <f>VLOOKUP($A$1,'Prefecture Summary 2015-2023'!$A$1:$L$18,(A10+7),FALSE)</f>
        <v>109404</v>
      </c>
      <c r="C10" s="73">
        <f t="shared" si="1"/>
        <v>0.01272768519</v>
      </c>
      <c r="D10" s="74">
        <f t="shared" si="2"/>
        <v>0</v>
      </c>
      <c r="E10" s="75"/>
      <c r="F10" s="76"/>
      <c r="G10" s="77"/>
      <c r="AC10" s="56"/>
      <c r="AD10" s="56"/>
      <c r="AE10" s="56"/>
      <c r="AF10" s="56"/>
      <c r="AG10" s="56"/>
    </row>
    <row r="11" ht="15.75" customHeight="1">
      <c r="A11" s="60"/>
      <c r="B11" s="78">
        <f t="shared" ref="B11:D11" si="3">SUM(B6:B10)</f>
        <v>8595750</v>
      </c>
      <c r="C11" s="79">
        <f t="shared" si="3"/>
        <v>1</v>
      </c>
      <c r="D11" s="79">
        <f t="shared" si="3"/>
        <v>0</v>
      </c>
      <c r="E11" s="80"/>
      <c r="F11" s="80"/>
      <c r="G11" s="80"/>
      <c r="I11" s="59"/>
      <c r="K11" s="59"/>
      <c r="AC11" s="56"/>
      <c r="AD11" s="56"/>
      <c r="AE11" s="56"/>
      <c r="AF11" s="56"/>
      <c r="AG11" s="56"/>
    </row>
    <row r="12" ht="15.75" customHeight="1">
      <c r="A12" s="59" t="s">
        <v>574</v>
      </c>
      <c r="B12" s="164" t="str">
        <f>'TNT 2023'!B12</f>
        <v>$AB</v>
      </c>
      <c r="E12" s="84"/>
      <c r="I12" s="59"/>
      <c r="K12" s="59"/>
      <c r="AC12" s="56"/>
      <c r="AD12" s="56"/>
      <c r="AE12" s="56"/>
      <c r="AF12" s="56"/>
      <c r="AG12" s="56"/>
    </row>
    <row r="13" ht="15.75" customHeight="1">
      <c r="A13" s="59" t="s">
        <v>578</v>
      </c>
      <c r="B13" s="164" t="str">
        <f>'Prefectures TNT 2015-2022'!B13</f>
        <v>$DE</v>
      </c>
      <c r="F13" s="86"/>
      <c r="L13" s="52"/>
      <c r="M13" s="52"/>
      <c r="AC13" s="56"/>
      <c r="AD13" s="56"/>
      <c r="AE13" s="56"/>
      <c r="AF13" s="56"/>
      <c r="AG13" s="56"/>
    </row>
    <row r="14" ht="15.75" customHeight="1">
      <c r="A14" s="61"/>
      <c r="B14" s="85"/>
      <c r="L14" s="52"/>
      <c r="M14" s="52"/>
      <c r="N14" s="52"/>
      <c r="AC14" s="56"/>
      <c r="AD14" s="56"/>
      <c r="AE14" s="56"/>
      <c r="AF14" s="56"/>
      <c r="AG14" s="56"/>
    </row>
    <row r="15" ht="15.75" customHeight="1">
      <c r="A15" s="61" t="s">
        <v>493</v>
      </c>
      <c r="B15" s="88">
        <v>1.645</v>
      </c>
      <c r="L15" s="52"/>
      <c r="M15" s="52"/>
      <c r="N15" s="52"/>
      <c r="AC15" s="56"/>
      <c r="AD15" s="56"/>
      <c r="AE15" s="56"/>
      <c r="AF15" s="56"/>
      <c r="AG15" s="56"/>
    </row>
    <row r="16" ht="15.75" customHeight="1">
      <c r="A16" s="155"/>
      <c r="B16" s="29"/>
      <c r="M16" s="52"/>
      <c r="N16" s="52"/>
      <c r="O16" s="52"/>
      <c r="AC16" s="56"/>
      <c r="AD16" s="56"/>
      <c r="AE16" s="56"/>
      <c r="AF16" s="56"/>
      <c r="AG16" s="56"/>
    </row>
    <row r="17" ht="15.75" customHeight="1">
      <c r="A17" s="89" t="s">
        <v>8</v>
      </c>
      <c r="B17" s="90" t="str">
        <f>'TNT 2015-2022'!B16</f>
        <v>CEO 2015-2023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85"/>
      <c r="N17" s="85"/>
      <c r="O17" s="8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112"/>
      <c r="AD17" s="112"/>
      <c r="AE17" s="112"/>
      <c r="AF17" s="112"/>
      <c r="AG17" s="112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ht="15.75" customHeight="1">
      <c r="A18" s="82" t="s">
        <v>507</v>
      </c>
      <c r="B18" s="90" t="str">
        <f t="shared" ref="B18:B19" si="4">IFERROR("$" &amp; SUBSTITUTE(ADDRESS(1, MATCH(A18, INDIRECT("'" &amp; $B$17 &amp; "'!1:1"), 0), 4), "1", ""), "Not Found")
</f>
        <v>$D</v>
      </c>
      <c r="C18" s="229" t="s">
        <v>494</v>
      </c>
      <c r="D18" s="65"/>
      <c r="E18" s="65"/>
      <c r="F18" s="65"/>
      <c r="G18" s="65"/>
      <c r="H18" s="66"/>
      <c r="I18" s="230" t="s">
        <v>495</v>
      </c>
      <c r="J18" s="65"/>
      <c r="K18" s="65"/>
      <c r="L18" s="65"/>
      <c r="M18" s="66"/>
      <c r="N18" s="231" t="s">
        <v>496</v>
      </c>
      <c r="O18" s="65"/>
      <c r="P18" s="65"/>
      <c r="Q18" s="65"/>
      <c r="R18" s="65"/>
      <c r="S18" s="230" t="s">
        <v>497</v>
      </c>
      <c r="T18" s="65"/>
      <c r="U18" s="65"/>
      <c r="V18" s="65"/>
      <c r="W18" s="66"/>
      <c r="X18" s="230" t="s">
        <v>498</v>
      </c>
      <c r="Y18" s="65"/>
      <c r="Z18" s="65"/>
      <c r="AA18" s="65"/>
      <c r="AB18" s="66"/>
      <c r="AC18" s="232" t="s">
        <v>499</v>
      </c>
      <c r="AD18" s="65"/>
      <c r="AE18" s="65"/>
      <c r="AF18" s="65"/>
      <c r="AG18" s="65"/>
      <c r="AH18" s="66"/>
      <c r="AI18" s="230"/>
      <c r="AJ18" s="89"/>
      <c r="AK18" s="63"/>
      <c r="AL18" s="63"/>
      <c r="AM18" s="29"/>
      <c r="AN18" s="29"/>
      <c r="AO18" s="29"/>
      <c r="AP18" s="29"/>
      <c r="AQ18" s="29"/>
    </row>
    <row r="19" ht="15.75" customHeight="1">
      <c r="A19" s="233" t="s">
        <v>464</v>
      </c>
      <c r="B19" s="90" t="str">
        <f t="shared" si="4"/>
        <v>$DD</v>
      </c>
      <c r="C19" s="234">
        <v>1.0</v>
      </c>
      <c r="D19" s="235">
        <v>2.0</v>
      </c>
      <c r="E19" s="234">
        <v>3.0</v>
      </c>
      <c r="F19" s="234">
        <v>4.0</v>
      </c>
      <c r="G19" s="234">
        <v>5.0</v>
      </c>
      <c r="H19" s="89" t="s">
        <v>500</v>
      </c>
      <c r="I19" s="234">
        <v>1.0</v>
      </c>
      <c r="J19" s="234">
        <v>2.0</v>
      </c>
      <c r="K19" s="234">
        <v>3.0</v>
      </c>
      <c r="L19" s="234">
        <v>4.0</v>
      </c>
      <c r="M19" s="234">
        <v>5.0</v>
      </c>
      <c r="N19" s="234">
        <v>1.0</v>
      </c>
      <c r="O19" s="234">
        <v>2.0</v>
      </c>
      <c r="P19" s="234">
        <v>3.0</v>
      </c>
      <c r="Q19" s="234">
        <v>4.0</v>
      </c>
      <c r="R19" s="234">
        <v>5.0</v>
      </c>
      <c r="S19" s="234">
        <v>1.0</v>
      </c>
      <c r="T19" s="234">
        <v>2.0</v>
      </c>
      <c r="U19" s="234">
        <v>3.0</v>
      </c>
      <c r="V19" s="234">
        <v>4.0</v>
      </c>
      <c r="W19" s="234">
        <v>5.0</v>
      </c>
      <c r="X19" s="234">
        <v>1.0</v>
      </c>
      <c r="Y19" s="234">
        <v>2.0</v>
      </c>
      <c r="Z19" s="234">
        <v>3.0</v>
      </c>
      <c r="AA19" s="234">
        <v>4.0</v>
      </c>
      <c r="AB19" s="234">
        <v>5.0</v>
      </c>
      <c r="AC19" s="236">
        <v>1.0</v>
      </c>
      <c r="AD19" s="236">
        <v>2.0</v>
      </c>
      <c r="AE19" s="236">
        <v>3.0</v>
      </c>
      <c r="AF19" s="236">
        <v>4.0</v>
      </c>
      <c r="AG19" s="236">
        <v>5.0</v>
      </c>
      <c r="AH19" s="89" t="s">
        <v>501</v>
      </c>
      <c r="AI19" s="89" t="s">
        <v>502</v>
      </c>
      <c r="AJ19" s="237" t="s">
        <v>503</v>
      </c>
      <c r="AK19" s="156" t="s">
        <v>504</v>
      </c>
      <c r="AL19" s="156" t="s">
        <v>505</v>
      </c>
      <c r="AM19" s="29"/>
      <c r="AN19" s="29"/>
      <c r="AO19" s="29"/>
      <c r="AP19" s="29"/>
      <c r="AQ19" s="29"/>
    </row>
    <row r="20" ht="15.75" customHeight="1">
      <c r="A20" s="238" t="s">
        <v>453</v>
      </c>
      <c r="B20" s="90" t="str">
        <f>'TNT 2023'!B19</f>
        <v>$CZ</v>
      </c>
      <c r="C20" s="239">
        <f t="shared" ref="C20:G20" si="5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$A20
)</f>
        <v>0</v>
      </c>
      <c r="D20" s="239">
        <f t="shared" si="5"/>
        <v>0</v>
      </c>
      <c r="E20" s="239">
        <f t="shared" si="5"/>
        <v>0</v>
      </c>
      <c r="F20" s="239">
        <f t="shared" si="5"/>
        <v>0</v>
      </c>
      <c r="G20" s="239">
        <f t="shared" si="5"/>
        <v>0</v>
      </c>
      <c r="H20" s="239">
        <f>SUM(C20:G20)</f>
        <v>0</v>
      </c>
      <c r="I20" s="240">
        <f>IFERROR(__xludf.DUMMYFUNCTION("IFERROR(
    VAR.S(
        FILTER(
            INDIRECT(""'"" &amp; $B$17 &amp; ""'!"" &amp; $B20 &amp; "":"" &amp; $B20),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0" s="240">
        <f>IFERROR(__xludf.DUMMYFUNCTION("IFERROR(
    VAR.S(
        FILTER(
            INDIRECT(""'"" &amp; $B$17 &amp; ""'!"" &amp; $B20 &amp; "":"" &amp; $B20),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0" s="240">
        <f>IFERROR(__xludf.DUMMYFUNCTION("IFERROR(
    VAR.S(
        FILTER(
            INDIRECT(""'"" &amp; $B$17 &amp; ""'!"" &amp; $B20 &amp; "":"" &amp; $B20),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0" s="241">
        <f>IFERROR(__xludf.DUMMYFUNCTION("IFERROR(
    VAR.S(
        FILTER(
            INDIRECT(""'"" &amp; $B$17 &amp; ""'!"" &amp; $B20 &amp; "":"" &amp; $B20),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0" s="241">
        <f>IFERROR(__xludf.DUMMYFUNCTION("IFERROR(
    VAR.S(
        FILTER(
            INDIRECT(""'"" &amp; $B$17 &amp; ""'!"" &amp; $B20 &amp; "":"" &amp; $B20),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0" s="241">
        <f>IFERROR(__xludf.DUMMYFUNCTION("IFERROR(
    AVERAGE(
        FILTER(
            INDIRECT(""'"" &amp; $B$17 &amp; ""'!"" &amp; $B20 &amp; "":"" &amp; $B20),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0" s="241">
        <f>IFERROR(__xludf.DUMMYFUNCTION("IFERROR(
    AVERAGE(
        FILTER(
            INDIRECT(""'"" &amp; $B$17 &amp; ""'!"" &amp; $B20 &amp; "":"" &amp; $B20),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0" s="241">
        <f>IFERROR(__xludf.DUMMYFUNCTION("IFERROR(
    AVERAGE(
        FILTER(
            INDIRECT(""'"" &amp; $B$17 &amp; ""'!"" &amp; $B20 &amp; "":"" &amp; $B20),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0" s="241">
        <f>IFERROR(__xludf.DUMMYFUNCTION("IFERROR(
    AVERAGE(
        FILTER(
            INDIRECT(""'"" &amp; $B$17 &amp; ""'!"" &amp; $B20 &amp; "":"" &amp; $B20),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0" s="241">
        <f>IFERROR(__xludf.DUMMYFUNCTION("IFERROR(
    AVERAGE(
        FILTER(
            INDIRECT(""'"" &amp; $B$17 &amp; ""'!"" &amp; $B20 &amp; "":"" &amp; $B20),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0" s="241">
        <f>($B$6^2*I20)^0.5</f>
        <v>0</v>
      </c>
      <c r="T20" s="241">
        <f>($B$7^2*J20)^0.5</f>
        <v>0</v>
      </c>
      <c r="U20" s="241">
        <f>($B$8^2*K20)^0.5</f>
        <v>0</v>
      </c>
      <c r="V20" s="241">
        <f>($B$9^2*L20)^0.5</f>
        <v>0</v>
      </c>
      <c r="W20" s="241">
        <f>($B$10^2*M20)^0.5</f>
        <v>0</v>
      </c>
      <c r="X20" s="241">
        <f>N20*$B$6</f>
        <v>0</v>
      </c>
      <c r="Y20" s="241">
        <f>O20*$B$7</f>
        <v>0</v>
      </c>
      <c r="Z20" s="241">
        <f>P20*$B$8</f>
        <v>0</v>
      </c>
      <c r="AA20" s="241">
        <f>Q20*$B$9</f>
        <v>0</v>
      </c>
      <c r="AB20" s="241">
        <f>R20*$B$10</f>
        <v>0</v>
      </c>
      <c r="AC20" s="242">
        <f>N20*$C$6</f>
        <v>0</v>
      </c>
      <c r="AD20" s="242">
        <f>O20*$C$7</f>
        <v>0</v>
      </c>
      <c r="AE20" s="242">
        <f>P20*$C$8</f>
        <v>0</v>
      </c>
      <c r="AF20" s="242">
        <f>Q20*$C$9</f>
        <v>0</v>
      </c>
      <c r="AG20" s="242">
        <f>R20*$C$10</f>
        <v>0</v>
      </c>
      <c r="AH20" s="242">
        <f>(S20*S20+T20*T20+U20*U20+V20*V20+W20*W20)^0.5</f>
        <v>0</v>
      </c>
      <c r="AI20" s="242">
        <f>AH20*$B$15</f>
        <v>0</v>
      </c>
      <c r="AJ20" s="243">
        <f>SUM(X20:AB20)</f>
        <v>0</v>
      </c>
      <c r="AK20" s="244">
        <f>IF(AI20=0,0,AI20/AJ20)</f>
        <v>0</v>
      </c>
      <c r="AL20" s="245">
        <f>AJ20/$B$2</f>
        <v>0</v>
      </c>
      <c r="AM20" s="227"/>
      <c r="AN20" s="227"/>
      <c r="AO20" s="227"/>
      <c r="AP20" s="227"/>
      <c r="AQ20" s="227"/>
    </row>
    <row r="21" ht="15.75" customHeight="1">
      <c r="A21" s="246"/>
      <c r="B21" s="247"/>
      <c r="C21" s="247"/>
      <c r="D21" s="247"/>
      <c r="E21" s="247"/>
      <c r="F21" s="247"/>
      <c r="G21" s="247"/>
      <c r="H21" s="247"/>
      <c r="I21" s="248"/>
      <c r="J21" s="248"/>
      <c r="K21" s="248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50"/>
      <c r="AD21" s="250"/>
      <c r="AE21" s="250"/>
      <c r="AF21" s="250"/>
      <c r="AG21" s="250"/>
      <c r="AH21" s="250"/>
      <c r="AI21" s="250"/>
      <c r="AJ21" s="250"/>
      <c r="AK21" s="168"/>
      <c r="AL21" s="168"/>
      <c r="AM21" s="227"/>
      <c r="AN21" s="227"/>
      <c r="AO21" s="227"/>
      <c r="AP21" s="227"/>
      <c r="AQ21" s="227"/>
    </row>
    <row r="22" ht="15.75" customHeight="1">
      <c r="A22" s="251" t="s">
        <v>456</v>
      </c>
      <c r="B22" s="90" t="str">
        <f>'TNT 2023'!B21</f>
        <v>$DA</v>
      </c>
      <c r="C22" s="252">
        <f t="shared" ref="C22:G22" si="6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$A22
)</f>
        <v>0</v>
      </c>
      <c r="D22" s="252">
        <f t="shared" si="6"/>
        <v>0</v>
      </c>
      <c r="E22" s="252">
        <f t="shared" si="6"/>
        <v>0</v>
      </c>
      <c r="F22" s="252">
        <f t="shared" si="6"/>
        <v>0</v>
      </c>
      <c r="G22" s="252">
        <f t="shared" si="6"/>
        <v>0</v>
      </c>
      <c r="H22" s="252">
        <f>SUM(C22:G22)</f>
        <v>0</v>
      </c>
      <c r="I22" s="253">
        <f>IFERROR(__xludf.DUMMYFUNCTION("IFERROR(
    VAR.S(
        FILTER(
            INDIRECT(""'"" &amp; $B$17 &amp; ""'!"" &amp; $B22 &amp; "":"" &amp; $B22),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2" s="253">
        <f>IFERROR(__xludf.DUMMYFUNCTION("IFERROR(
    VAR.S(
        FILTER(
            INDIRECT(""'"" &amp; $B$17 &amp; ""'!"" &amp; $B22 &amp; "":"" &amp; $B22),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2" s="253">
        <f>IFERROR(__xludf.DUMMYFUNCTION("IFERROR(
    VAR.S(
        FILTER(
            INDIRECT(""'"" &amp; $B$17 &amp; ""'!"" &amp; $B22 &amp; "":"" &amp; $B22),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2" s="254">
        <f>IFERROR(__xludf.DUMMYFUNCTION("IFERROR(
    VAR.S(
        FILTER(
            INDIRECT(""'"" &amp; $B$17 &amp; ""'!"" &amp; $B22 &amp; "":"" &amp; $B22),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2" s="254">
        <f>IFERROR(__xludf.DUMMYFUNCTION("IFERROR(
    VAR.S(
        FILTER(
            INDIRECT(""'"" &amp; $B$17 &amp; ""'!"" &amp; $B22 &amp; "":"" &amp; $B22),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2" s="254">
        <f>IFERROR(__xludf.DUMMYFUNCTION("IFERROR(
    AVERAGE(
        FILTER(
            INDIRECT(""'"" &amp; $B$17 &amp; ""'!"" &amp; $B22 &amp; "":"" &amp; $B22),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2" s="254">
        <f>IFERROR(__xludf.DUMMYFUNCTION("IFERROR(
    AVERAGE(
        FILTER(
            INDIRECT(""'"" &amp; $B$17 &amp; ""'!"" &amp; $B22 &amp; "":"" &amp; $B22),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2" s="254">
        <f>IFERROR(__xludf.DUMMYFUNCTION("IFERROR(
    AVERAGE(
        FILTER(
            INDIRECT(""'"" &amp; $B$17 &amp; ""'!"" &amp; $B22 &amp; "":"" &amp; $B22),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2" s="254">
        <f>IFERROR(__xludf.DUMMYFUNCTION("IFERROR(
    AVERAGE(
        FILTER(
            INDIRECT(""'"" &amp; $B$17 &amp; ""'!"" &amp; $B22 &amp; "":"" &amp; $B22),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2" s="254">
        <f>IFERROR(__xludf.DUMMYFUNCTION("IFERROR(
    AVERAGE(
        FILTER(
            INDIRECT(""'"" &amp; $B$17 &amp; ""'!"" &amp; $B22 &amp; "":"" &amp; $B22),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2" s="254">
        <f>($B$6^2*I22)^0.5</f>
        <v>0</v>
      </c>
      <c r="T22" s="254">
        <f>($B$7^2*J22)^0.5</f>
        <v>0</v>
      </c>
      <c r="U22" s="254">
        <f>($B$8^2*K22)^0.5</f>
        <v>0</v>
      </c>
      <c r="V22" s="254">
        <f>($B$9^2*L22)^0.5</f>
        <v>0</v>
      </c>
      <c r="W22" s="254">
        <f>($B$10^2*M22)^0.5</f>
        <v>0</v>
      </c>
      <c r="X22" s="254">
        <f>N22*$B$6</f>
        <v>0</v>
      </c>
      <c r="Y22" s="254">
        <f>O22*$B$7</f>
        <v>0</v>
      </c>
      <c r="Z22" s="254">
        <f>P22*$B$8</f>
        <v>0</v>
      </c>
      <c r="AA22" s="254">
        <f>Q22*$B$9</f>
        <v>0</v>
      </c>
      <c r="AB22" s="254">
        <f>R22*$B$10</f>
        <v>0</v>
      </c>
      <c r="AC22" s="255">
        <f>N22*$C$6</f>
        <v>0</v>
      </c>
      <c r="AD22" s="255">
        <f>O22*$C$7</f>
        <v>0</v>
      </c>
      <c r="AE22" s="255">
        <f>P22*$C$8</f>
        <v>0</v>
      </c>
      <c r="AF22" s="255">
        <f>Q22*$C$9</f>
        <v>0</v>
      </c>
      <c r="AG22" s="255">
        <f>R22*$C$10</f>
        <v>0</v>
      </c>
      <c r="AH22" s="255">
        <f>(S22*S22+T22*T22+U22*U22+V22*V22+W22*W22)^0.5</f>
        <v>0</v>
      </c>
      <c r="AI22" s="255">
        <f>AH22*$B$15</f>
        <v>0</v>
      </c>
      <c r="AJ22" s="256">
        <f>SUM(X22:AB22)</f>
        <v>0</v>
      </c>
      <c r="AK22" s="170">
        <f>IF(AI22=0,0,AI22/AJ22)</f>
        <v>0</v>
      </c>
      <c r="AL22" s="171">
        <f>AJ22/$B$2</f>
        <v>0</v>
      </c>
      <c r="AM22" s="227"/>
      <c r="AN22" s="227"/>
      <c r="AO22" s="227"/>
      <c r="AP22" s="227"/>
      <c r="AQ22" s="227"/>
    </row>
    <row r="23" ht="15.75" customHeight="1">
      <c r="A23" s="29"/>
      <c r="B23" s="247" t="str">
        <f>'TNT 2023'!B22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112"/>
      <c r="Y23" s="250"/>
      <c r="Z23" s="250"/>
      <c r="AA23" s="250"/>
      <c r="AB23" s="250"/>
      <c r="AC23" s="250"/>
      <c r="AD23" s="112"/>
      <c r="AE23" s="112"/>
      <c r="AF23" s="112"/>
      <c r="AG23" s="112"/>
      <c r="AH23" s="112"/>
      <c r="AI23" s="112"/>
      <c r="AJ23" s="29"/>
      <c r="AK23" s="168"/>
      <c r="AL23" s="168"/>
      <c r="AM23" s="29"/>
      <c r="AN23" s="29"/>
      <c r="AO23" s="29"/>
      <c r="AP23" s="29"/>
      <c r="AQ23" s="29"/>
    </row>
    <row r="24" ht="15.75" customHeight="1">
      <c r="A24" s="258" t="s">
        <v>296</v>
      </c>
      <c r="B24" s="90" t="str">
        <f>'TNT 2023'!B23</f>
        <v>$AW</v>
      </c>
      <c r="C24" s="259">
        <f t="shared" ref="C24:G24" si="7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$A24
)</f>
        <v>0</v>
      </c>
      <c r="D24" s="259">
        <f t="shared" si="7"/>
        <v>0</v>
      </c>
      <c r="E24" s="259">
        <f t="shared" si="7"/>
        <v>0</v>
      </c>
      <c r="F24" s="259">
        <f t="shared" si="7"/>
        <v>0</v>
      </c>
      <c r="G24" s="259">
        <f t="shared" si="7"/>
        <v>0</v>
      </c>
      <c r="H24" s="259">
        <f t="shared" ref="H24:H25" si="9">SUM(C24:G24)</f>
        <v>0</v>
      </c>
      <c r="I24" s="260">
        <f>IFERROR(__xludf.DUMMYFUNCTION("IFERROR(
    VAR.S(
        FILTER(
            INDIRECT(""'"" &amp; $B$17 &amp; ""'!"" &amp; $B24 &amp; "":"" &amp; $B24),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4" s="260">
        <f>IFERROR(__xludf.DUMMYFUNCTION("IFERROR(
    VAR.S(
        FILTER(
            INDIRECT(""'"" &amp; $B$17 &amp; ""'!"" &amp; $B24 &amp; "":"" &amp; $B24),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4" s="260">
        <f>IFERROR(__xludf.DUMMYFUNCTION("IFERROR(
    VAR.S(
        FILTER(
            INDIRECT(""'"" &amp; $B$17 &amp; ""'!"" &amp; $B24 &amp; "":"" &amp; $B24),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4" s="261">
        <f>IFERROR(__xludf.DUMMYFUNCTION("IFERROR(
    VAR.S(
        FILTER(
            INDIRECT(""'"" &amp; $B$17 &amp; ""'!"" &amp; $B24 &amp; "":"" &amp; $B24),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4" s="261">
        <f>IFERROR(__xludf.DUMMYFUNCTION("IFERROR(
    VAR.S(
        FILTER(
            INDIRECT(""'"" &amp; $B$17 &amp; ""'!"" &amp; $B24 &amp; "":"" &amp; $B24),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4" s="261">
        <f>IFERROR(__xludf.DUMMYFUNCTION("IFERROR(
    AVERAGE(
        FILTER(
            INDIRECT(""'"" &amp; $B$17 &amp; ""'!"" &amp; $B24 &amp; "":"" &amp; $B24),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4" s="261">
        <f>IFERROR(__xludf.DUMMYFUNCTION("IFERROR(
    AVERAGE(
        FILTER(
            INDIRECT(""'"" &amp; $B$17 &amp; ""'!"" &amp; $B24 &amp; "":"" &amp; $B24),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4" s="261">
        <f>IFERROR(__xludf.DUMMYFUNCTION("IFERROR(
    AVERAGE(
        FILTER(
            INDIRECT(""'"" &amp; $B$17 &amp; ""'!"" &amp; $B24 &amp; "":"" &amp; $B24),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4" s="261">
        <f>IFERROR(__xludf.DUMMYFUNCTION("IFERROR(
    AVERAGE(
        FILTER(
            INDIRECT(""'"" &amp; $B$17 &amp; ""'!"" &amp; $B24 &amp; "":"" &amp; $B24),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4" s="261">
        <f>IFERROR(__xludf.DUMMYFUNCTION("IFERROR(
    AVERAGE(
        FILTER(
            INDIRECT(""'"" &amp; $B$17 &amp; ""'!"" &amp; $B24 &amp; "":"" &amp; $B24),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4" s="261">
        <f t="shared" ref="S24:S25" si="10">($B$6^2*I24)^0.5</f>
        <v>0</v>
      </c>
      <c r="T24" s="261">
        <f t="shared" ref="T24:T25" si="11">($B$7^2*J24)^0.5</f>
        <v>0</v>
      </c>
      <c r="U24" s="261">
        <f t="shared" ref="U24:U25" si="12">($B$8^2*K24)^0.5</f>
        <v>0</v>
      </c>
      <c r="V24" s="261">
        <f t="shared" ref="V24:V25" si="13">($B$9^2*L24)^0.5</f>
        <v>0</v>
      </c>
      <c r="W24" s="261">
        <f t="shared" ref="W24:W25" si="14">($B$10^2*M24)^0.5</f>
        <v>0</v>
      </c>
      <c r="X24" s="261">
        <f t="shared" ref="X24:X25" si="15">N24*$B$6</f>
        <v>0</v>
      </c>
      <c r="Y24" s="261">
        <f t="shared" ref="Y24:Y25" si="16">O24*$B$7</f>
        <v>0</v>
      </c>
      <c r="Z24" s="261">
        <f t="shared" ref="Z24:Z25" si="17">P24*$B$8</f>
        <v>0</v>
      </c>
      <c r="AA24" s="261">
        <f t="shared" ref="AA24:AA25" si="18">Q24*$B$9</f>
        <v>0</v>
      </c>
      <c r="AB24" s="261">
        <f t="shared" ref="AB24:AB25" si="19">R24*$B$10</f>
        <v>0</v>
      </c>
      <c r="AC24" s="259">
        <f t="shared" ref="AC24:AC25" si="20">N24*$C$6</f>
        <v>0</v>
      </c>
      <c r="AD24" s="259">
        <f t="shared" ref="AD24:AD25" si="21">O24*$C$7</f>
        <v>0</v>
      </c>
      <c r="AE24" s="259">
        <f t="shared" ref="AE24:AE25" si="22">P24*$C$8</f>
        <v>0</v>
      </c>
      <c r="AF24" s="259">
        <f t="shared" ref="AF24:AF25" si="23">Q24*$C$9</f>
        <v>0</v>
      </c>
      <c r="AG24" s="259">
        <f t="shared" ref="AG24:AG25" si="24">R24*$C$10</f>
        <v>0</v>
      </c>
      <c r="AH24" s="259">
        <f t="shared" ref="AH24:AH25" si="25">(S24*S24+T24*T24+U24*U24+V24*V24+W24*W24)^0.5</f>
        <v>0</v>
      </c>
      <c r="AI24" s="259">
        <f t="shared" ref="AI24:AI25" si="26">AH24*$B$15</f>
        <v>0</v>
      </c>
      <c r="AJ24" s="262">
        <f t="shared" ref="AJ24:AJ25" si="27">SUM(X24:AB24)</f>
        <v>0</v>
      </c>
      <c r="AK24" s="179">
        <f t="shared" ref="AK24:AK25" si="28">IF(AI24=0,0,AI24/AJ24)</f>
        <v>0</v>
      </c>
      <c r="AL24" s="180">
        <f t="shared" ref="AL24:AL25" si="29">AJ24/$B$2</f>
        <v>0</v>
      </c>
      <c r="AM24" s="227"/>
      <c r="AN24" s="227"/>
      <c r="AO24" s="227"/>
      <c r="AP24" s="227"/>
      <c r="AQ24" s="227"/>
    </row>
    <row r="25" ht="15.75" customHeight="1">
      <c r="A25" s="258" t="s">
        <v>299</v>
      </c>
      <c r="B25" s="90" t="str">
        <f>'TNT 2023'!B24</f>
        <v>$AX</v>
      </c>
      <c r="C25" s="259">
        <f t="shared" ref="C25:G25" si="8">COUNTIFS(
    INDIRECT("'" &amp; $B$17 &amp; "'!" &amp; $B$18 &amp; ":" &amp; $B$18), C$19,
    INDIRECT("'" &amp; $B$17 &amp; "'!" &amp; $B$12 &amp; ":" &amp; $B$12), "*" &amp; $B$4 &amp; "*",
    INDIRECT("'" &amp; $B$17 &amp; "'!" &amp; $B$13 &amp; ":" &amp; $B$13), $A$1,
    INDIRECT("'" &amp; $B$17 &amp; "'!" &amp; $B$19 &amp; ":" &amp; $B$19), $A25
)</f>
        <v>0</v>
      </c>
      <c r="D25" s="259">
        <f t="shared" si="8"/>
        <v>0</v>
      </c>
      <c r="E25" s="259">
        <f t="shared" si="8"/>
        <v>0</v>
      </c>
      <c r="F25" s="259">
        <f t="shared" si="8"/>
        <v>0</v>
      </c>
      <c r="G25" s="259">
        <f t="shared" si="8"/>
        <v>0</v>
      </c>
      <c r="H25" s="259">
        <f t="shared" si="9"/>
        <v>0</v>
      </c>
      <c r="I25" s="260">
        <f>IFERROR(__xludf.DUMMYFUNCTION("IFERROR(
    VAR.S(
        FILTER(
            INDIRECT(""'"" &amp; $B$17 &amp; ""'!"" &amp; $B25 &amp; "":"" &amp; $B25), 
            (INDIRECT(""'"" &amp; $B$17 &amp; ""'!"" &amp; $B$18 &amp; "":"" &amp; $B$18) = I$19) *
            (ISNUMBER(SEARCH($B$4, INDIRECT(""'"" &amp; $B$17 &amp; ""'!"" &amp; $"&amp;"B$12 &amp; "":"" &amp; $B$12)))) *
            (INDIRECT(""'"" &amp; $B$17 &amp; ""'!"" &amp; $B$13 &amp; "":"" &amp; $B$13) = $A$1)
        )
    )/$D$6, 
    0
)
"),0.0)</f>
        <v>0</v>
      </c>
      <c r="J25" s="260">
        <f>IFERROR(__xludf.DUMMYFUNCTION("IFERROR(
    VAR.S(
        FILTER(
            INDIRECT(""'"" &amp; $B$17 &amp; ""'!"" &amp; $B25 &amp; "":"" &amp; $B25), 
            (INDIRECT(""'"" &amp; $B$17 &amp; ""'!"" &amp; $B$18 &amp; "":"" &amp; $B$18) = J$19) *
            (ISNUMBER(SEARCH($B$4, INDIRECT(""'"" &amp; $B$17 &amp; ""'!"" &amp; $"&amp;"B$12 &amp; "":"" &amp; $B$12)))) *
            (INDIRECT(""'"" &amp; $B$17 &amp; ""'!"" &amp; $B$13 &amp; "":"" &amp; $B$13) = $A$1)
        )
    )/$D$7, 
    0
)
"),0.0)</f>
        <v>0</v>
      </c>
      <c r="K25" s="260">
        <f>IFERROR(__xludf.DUMMYFUNCTION("IFERROR(
    VAR.S(
        FILTER(
            INDIRECT(""'"" &amp; $B$17 &amp; ""'!"" &amp; $B25 &amp; "":"" &amp; $B25), 
            (INDIRECT(""'"" &amp; $B$17 &amp; ""'!"" &amp; $B$18 &amp; "":"" &amp; $B$18) = K$19) *
            (ISNUMBER(SEARCH($B$4, INDIRECT(""'"" &amp; $B$17 &amp; ""'!"" &amp; $"&amp;"B$12 &amp; "":"" &amp; $B$12)))) *
            (INDIRECT(""'"" &amp; $B$17 &amp; ""'!"" &amp; $B$13 &amp; "":"" &amp; $B$13) = $A$1)
        )
    )/$D$8, 
    0
)
"),0.0)</f>
        <v>0</v>
      </c>
      <c r="L25" s="261">
        <f>IFERROR(__xludf.DUMMYFUNCTION("IFERROR(
    VAR.S(
        FILTER(
            INDIRECT(""'"" &amp; $B$17 &amp; ""'!"" &amp; $B25 &amp; "":"" &amp; $B25), 
            (INDIRECT(""'"" &amp; $B$17 &amp; ""'!"" &amp; $B$18 &amp; "":"" &amp; $B$18) = L$19) *
            (ISNUMBER(SEARCH($B$4, INDIRECT(""'"" &amp; $B$17 &amp; ""'!"" &amp; $"&amp;"B$12 &amp; "":"" &amp; $B$12)))) *
            (INDIRECT(""'"" &amp; $B$17 &amp; ""'!"" &amp; $B$13 &amp; "":"" &amp; $B$13) = $A$1)
        )
    )/$D$9, 
    0
)
"),0.0)</f>
        <v>0</v>
      </c>
      <c r="M25" s="261">
        <f>IFERROR(__xludf.DUMMYFUNCTION("IFERROR(
    VAR.S(
        FILTER(
            INDIRECT(""'"" &amp; $B$17 &amp; ""'!"" &amp; $B25 &amp; "":"" &amp; $B25), 
            (INDIRECT(""'"" &amp; $B$17 &amp; ""'!"" &amp; $B$18 &amp; "":"" &amp; $B$18) = M$19) *
            (ISNUMBER(SEARCH($B$4, INDIRECT(""'"" &amp; $B$17 &amp; ""'!"" &amp; $"&amp;"B$12 &amp; "":"" &amp; $B$12)))) *
            (INDIRECT(""'"" &amp; $B$17 &amp; ""'!"" &amp; $B$13 &amp; "":"" &amp; $B$13) = $A$1)
        )
    )/$D$10, 
    0
)
"),0.0)</f>
        <v>0</v>
      </c>
      <c r="N25" s="261">
        <f>IFERROR(__xludf.DUMMYFUNCTION("IFERROR(
    AVERAGE(
        FILTER(
            INDIRECT(""'"" &amp; $B$17 &amp; ""'!"" &amp; $B25 &amp; "":"" &amp; $B25), 
            (INDIRECT(""'"" &amp; $B$17 &amp; ""'!"" &amp; $B$18 &amp; "":"" &amp; $B$18) = N$19)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O25" s="261">
        <f>IFERROR(__xludf.DUMMYFUNCTION("IFERROR(
    AVERAGE(
        FILTER(
            INDIRECT(""'"" &amp; $B$17 &amp; ""'!"" &amp; $B25 &amp; "":"" &amp; $B25), 
            (INDIRECT(""'"" &amp; $B$17 &amp; ""'!"" &amp; $B$18 &amp; "":"" &amp; $B$18) = O$19)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P25" s="261">
        <f>IFERROR(__xludf.DUMMYFUNCTION("IFERROR(
    AVERAGE(
        FILTER(
            INDIRECT(""'"" &amp; $B$17 &amp; ""'!"" &amp; $B25 &amp; "":"" &amp; $B25), 
            (INDIRECT(""'"" &amp; $B$17 &amp; ""'!"" &amp; $B$18 &amp; "":"" &amp; $B$18) = P$19)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Q25" s="261">
        <f>IFERROR(__xludf.DUMMYFUNCTION("IFERROR(
    AVERAGE(
        FILTER(
            INDIRECT(""'"" &amp; $B$17 &amp; ""'!"" &amp; $B25 &amp; "":"" &amp; $B25), 
            (INDIRECT(""'"" &amp; $B$17 &amp; ""'!"" &amp; $B$18 &amp; "":"" &amp; $B$18) = Q$19)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R25" s="261">
        <f>IFERROR(__xludf.DUMMYFUNCTION("IFERROR(
    AVERAGE(
        FILTER(
            INDIRECT(""'"" &amp; $B$17 &amp; ""'!"" &amp; $B25 &amp; "":"" &amp; $B25), 
            (INDIRECT(""'"" &amp; $B$17 &amp; ""'!"" &amp; $B$18 &amp; "":"" &amp; $B$18) = R$19) *
            (ISNUMBER(SEARCH($B$4, INDIRECT(""'"" &amp; $B$17 &amp; ""'!"" &amp;"&amp;" $B$12 &amp; "":"" &amp; $B$12)))) *
            (INDIRECT(""'"" &amp; $B$17 &amp; ""'!"" &amp; $B$13 &amp; "":"" &amp; $B$13) = $A$1)
        )
    ), 
    0
)
"),0.0)</f>
        <v>0</v>
      </c>
      <c r="S25" s="261">
        <f t="shared" si="10"/>
        <v>0</v>
      </c>
      <c r="T25" s="261">
        <f t="shared" si="11"/>
        <v>0</v>
      </c>
      <c r="U25" s="261">
        <f t="shared" si="12"/>
        <v>0</v>
      </c>
      <c r="V25" s="261">
        <f t="shared" si="13"/>
        <v>0</v>
      </c>
      <c r="W25" s="261">
        <f t="shared" si="14"/>
        <v>0</v>
      </c>
      <c r="X25" s="261">
        <f t="shared" si="15"/>
        <v>0</v>
      </c>
      <c r="Y25" s="261">
        <f t="shared" si="16"/>
        <v>0</v>
      </c>
      <c r="Z25" s="261">
        <f t="shared" si="17"/>
        <v>0</v>
      </c>
      <c r="AA25" s="261">
        <f t="shared" si="18"/>
        <v>0</v>
      </c>
      <c r="AB25" s="261">
        <f t="shared" si="19"/>
        <v>0</v>
      </c>
      <c r="AC25" s="259">
        <f t="shared" si="20"/>
        <v>0</v>
      </c>
      <c r="AD25" s="259">
        <f t="shared" si="21"/>
        <v>0</v>
      </c>
      <c r="AE25" s="259">
        <f t="shared" si="22"/>
        <v>0</v>
      </c>
      <c r="AF25" s="259">
        <f t="shared" si="23"/>
        <v>0</v>
      </c>
      <c r="AG25" s="259">
        <f t="shared" si="24"/>
        <v>0</v>
      </c>
      <c r="AH25" s="259">
        <f t="shared" si="25"/>
        <v>0</v>
      </c>
      <c r="AI25" s="259">
        <f t="shared" si="26"/>
        <v>0</v>
      </c>
      <c r="AJ25" s="262">
        <f t="shared" si="27"/>
        <v>0</v>
      </c>
      <c r="AK25" s="179">
        <f t="shared" si="28"/>
        <v>0</v>
      </c>
      <c r="AL25" s="180">
        <f t="shared" si="29"/>
        <v>0</v>
      </c>
      <c r="AM25" s="227"/>
      <c r="AN25" s="227"/>
      <c r="AO25" s="227"/>
      <c r="AP25" s="227"/>
      <c r="AQ25" s="227"/>
    </row>
    <row r="26" ht="15.75" customHeight="1">
      <c r="A26" s="85"/>
      <c r="B26" s="29"/>
      <c r="C26" s="29"/>
      <c r="D26" s="29"/>
      <c r="E26" s="29"/>
      <c r="F26" s="29"/>
      <c r="G26" s="29"/>
      <c r="H26" s="263">
        <f>SUM(H20:H25)</f>
        <v>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112"/>
      <c r="AD26" s="112"/>
      <c r="AE26" s="112"/>
      <c r="AF26" s="112"/>
      <c r="AG26" s="112"/>
      <c r="AH26" s="29"/>
      <c r="AI26" s="29"/>
      <c r="AJ26" s="113">
        <f>SUM(AJ20:AJ25)</f>
        <v>0</v>
      </c>
      <c r="AK26" s="29"/>
      <c r="AL26" s="29"/>
      <c r="AM26" s="29"/>
      <c r="AN26" s="29"/>
      <c r="AO26" s="29"/>
      <c r="AP26" s="29"/>
      <c r="AQ26" s="29"/>
    </row>
    <row r="27" ht="15.75" customHeight="1">
      <c r="A27" s="155"/>
      <c r="AC27" s="56"/>
      <c r="AD27" s="56"/>
      <c r="AE27" s="56"/>
      <c r="AF27" s="56"/>
      <c r="AG27" s="56"/>
    </row>
    <row r="28" ht="15.75" customHeight="1">
      <c r="A28" s="155"/>
      <c r="AC28" s="56"/>
      <c r="AD28" s="56"/>
      <c r="AE28" s="56"/>
      <c r="AF28" s="56"/>
      <c r="AG28" s="56"/>
    </row>
    <row r="29" ht="15.75" customHeight="1">
      <c r="A29" s="155"/>
      <c r="AC29" s="56"/>
      <c r="AD29" s="56"/>
      <c r="AE29" s="56"/>
      <c r="AF29" s="56"/>
      <c r="AG29" s="56"/>
    </row>
    <row r="30" ht="15.75" customHeight="1">
      <c r="A30" s="155"/>
      <c r="AC30" s="56"/>
      <c r="AD30" s="56"/>
      <c r="AE30" s="56"/>
      <c r="AF30" s="56"/>
      <c r="AG30" s="56"/>
    </row>
    <row r="31" ht="15.75" customHeight="1">
      <c r="A31" s="155"/>
      <c r="AC31" s="56"/>
      <c r="AD31" s="56"/>
      <c r="AE31" s="56"/>
      <c r="AF31" s="56"/>
      <c r="AG31" s="56"/>
    </row>
    <row r="32" ht="15.75" customHeight="1">
      <c r="A32" s="155"/>
      <c r="AC32" s="56"/>
      <c r="AD32" s="56"/>
      <c r="AE32" s="56"/>
      <c r="AF32" s="56"/>
      <c r="AG32" s="56"/>
    </row>
    <row r="33" ht="15.75" customHeight="1">
      <c r="A33" s="155"/>
      <c r="AC33" s="56"/>
      <c r="AD33" s="56"/>
      <c r="AE33" s="56"/>
      <c r="AF33" s="56"/>
      <c r="AG33" s="56"/>
    </row>
    <row r="34" ht="15.75" customHeight="1">
      <c r="A34" s="155"/>
      <c r="AC34" s="56"/>
      <c r="AD34" s="56"/>
      <c r="AE34" s="56"/>
      <c r="AF34" s="56"/>
      <c r="AG34" s="56"/>
    </row>
    <row r="35" ht="15.75" customHeight="1">
      <c r="A35" s="155"/>
      <c r="AC35" s="56"/>
      <c r="AD35" s="56"/>
      <c r="AE35" s="56"/>
      <c r="AF35" s="56"/>
      <c r="AG35" s="56"/>
    </row>
    <row r="36" ht="15.75" customHeight="1">
      <c r="A36" s="155"/>
      <c r="AC36" s="56"/>
      <c r="AD36" s="56"/>
      <c r="AE36" s="56"/>
      <c r="AF36" s="56"/>
      <c r="AG36" s="56"/>
    </row>
    <row r="37" ht="15.75" customHeight="1">
      <c r="A37" s="155"/>
      <c r="AC37" s="56"/>
      <c r="AD37" s="56"/>
      <c r="AE37" s="56"/>
      <c r="AF37" s="56"/>
      <c r="AG37" s="56"/>
    </row>
    <row r="38" ht="15.75" customHeight="1">
      <c r="A38" s="155"/>
      <c r="AC38" s="56"/>
      <c r="AD38" s="56"/>
      <c r="AE38" s="56"/>
      <c r="AF38" s="56"/>
      <c r="AG38" s="56"/>
    </row>
    <row r="39" ht="15.75" customHeight="1">
      <c r="A39" s="155"/>
      <c r="AC39" s="56"/>
      <c r="AD39" s="56"/>
      <c r="AE39" s="56"/>
      <c r="AF39" s="56"/>
      <c r="AG39" s="56"/>
    </row>
    <row r="40" ht="15.75" customHeight="1">
      <c r="A40" s="155"/>
      <c r="AC40" s="56"/>
      <c r="AD40" s="56"/>
      <c r="AE40" s="56"/>
      <c r="AF40" s="56"/>
      <c r="AG40" s="56"/>
    </row>
    <row r="41" ht="15.75" customHeight="1">
      <c r="A41" s="155"/>
      <c r="AC41" s="56"/>
      <c r="AD41" s="56"/>
      <c r="AE41" s="56"/>
      <c r="AF41" s="56"/>
      <c r="AG41" s="56"/>
    </row>
    <row r="42" ht="15.75" customHeight="1">
      <c r="A42" s="155"/>
      <c r="AC42" s="56"/>
      <c r="AD42" s="56"/>
      <c r="AE42" s="56"/>
      <c r="AF42" s="56"/>
      <c r="AG42" s="56"/>
    </row>
    <row r="43" ht="15.75" customHeight="1">
      <c r="A43" s="155"/>
      <c r="AC43" s="56"/>
      <c r="AD43" s="56"/>
      <c r="AE43" s="56"/>
      <c r="AF43" s="56"/>
      <c r="AG43" s="56"/>
    </row>
    <row r="44" ht="15.75" customHeight="1">
      <c r="A44" s="155"/>
      <c r="AC44" s="56"/>
      <c r="AD44" s="56"/>
      <c r="AE44" s="56"/>
      <c r="AF44" s="56"/>
      <c r="AG44" s="56"/>
    </row>
    <row r="45" ht="15.75" customHeight="1">
      <c r="A45" s="155"/>
      <c r="AC45" s="56"/>
      <c r="AD45" s="56"/>
      <c r="AE45" s="56"/>
      <c r="AF45" s="56"/>
      <c r="AG45" s="56"/>
    </row>
    <row r="46" ht="15.75" customHeight="1">
      <c r="A46" s="155"/>
      <c r="AC46" s="56"/>
      <c r="AD46" s="56"/>
      <c r="AE46" s="56"/>
      <c r="AF46" s="56"/>
      <c r="AG46" s="56"/>
    </row>
    <row r="47" ht="15.75" customHeight="1">
      <c r="A47" s="155"/>
      <c r="AC47" s="56"/>
      <c r="AD47" s="56"/>
      <c r="AE47" s="56"/>
      <c r="AF47" s="56"/>
      <c r="AG47" s="56"/>
    </row>
    <row r="48" ht="15.75" customHeight="1">
      <c r="A48" s="155"/>
      <c r="AC48" s="56"/>
      <c r="AD48" s="56"/>
      <c r="AE48" s="56"/>
      <c r="AF48" s="56"/>
      <c r="AG48" s="56"/>
    </row>
    <row r="49" ht="15.75" customHeight="1">
      <c r="A49" s="155"/>
      <c r="AC49" s="56"/>
      <c r="AD49" s="56"/>
      <c r="AE49" s="56"/>
      <c r="AF49" s="56"/>
      <c r="AG49" s="56"/>
    </row>
    <row r="50" ht="15.75" customHeight="1">
      <c r="A50" s="155"/>
      <c r="AC50" s="56"/>
      <c r="AD50" s="56"/>
      <c r="AE50" s="56"/>
      <c r="AF50" s="56"/>
      <c r="AG50" s="56"/>
    </row>
    <row r="51" ht="15.75" customHeight="1">
      <c r="A51" s="155"/>
      <c r="AC51" s="56"/>
      <c r="AD51" s="56"/>
      <c r="AE51" s="56"/>
      <c r="AF51" s="56"/>
      <c r="AG51" s="56"/>
    </row>
    <row r="52" ht="15.75" customHeight="1">
      <c r="A52" s="155"/>
      <c r="AC52" s="56"/>
      <c r="AD52" s="56"/>
      <c r="AE52" s="56"/>
      <c r="AF52" s="56"/>
      <c r="AG52" s="56"/>
    </row>
    <row r="53" ht="15.75" customHeight="1">
      <c r="A53" s="155"/>
      <c r="AC53" s="56"/>
      <c r="AD53" s="56"/>
      <c r="AE53" s="56"/>
      <c r="AF53" s="56"/>
      <c r="AG53" s="56"/>
    </row>
    <row r="54" ht="15.75" customHeight="1">
      <c r="A54" s="155"/>
      <c r="AC54" s="56"/>
      <c r="AD54" s="56"/>
      <c r="AE54" s="56"/>
      <c r="AF54" s="56"/>
      <c r="AG54" s="56"/>
    </row>
    <row r="55" ht="15.75" customHeight="1">
      <c r="A55" s="155"/>
      <c r="AC55" s="56"/>
      <c r="AD55" s="56"/>
      <c r="AE55" s="56"/>
      <c r="AF55" s="56"/>
      <c r="AG55" s="56"/>
    </row>
    <row r="56" ht="15.75" customHeight="1">
      <c r="A56" s="155"/>
      <c r="AC56" s="56"/>
      <c r="AD56" s="56"/>
      <c r="AE56" s="56"/>
      <c r="AF56" s="56"/>
      <c r="AG56" s="56"/>
    </row>
    <row r="57" ht="15.75" customHeight="1">
      <c r="A57" s="155"/>
      <c r="AC57" s="56"/>
      <c r="AD57" s="56"/>
      <c r="AE57" s="56"/>
      <c r="AF57" s="56"/>
      <c r="AG57" s="56"/>
    </row>
    <row r="58" ht="15.75" customHeight="1">
      <c r="A58" s="155"/>
      <c r="AC58" s="56"/>
      <c r="AD58" s="56"/>
      <c r="AE58" s="56"/>
      <c r="AF58" s="56"/>
      <c r="AG58" s="56"/>
    </row>
    <row r="59" ht="15.75" customHeight="1">
      <c r="A59" s="155"/>
      <c r="AC59" s="56"/>
      <c r="AD59" s="56"/>
      <c r="AE59" s="56"/>
      <c r="AF59" s="56"/>
      <c r="AG59" s="56"/>
    </row>
    <row r="60" ht="15.75" customHeight="1">
      <c r="A60" s="155"/>
      <c r="AC60" s="56"/>
      <c r="AD60" s="56"/>
      <c r="AE60" s="56"/>
      <c r="AF60" s="56"/>
      <c r="AG60" s="56"/>
    </row>
    <row r="61" ht="15.75" customHeight="1">
      <c r="A61" s="155"/>
      <c r="AC61" s="56"/>
      <c r="AD61" s="56"/>
      <c r="AE61" s="56"/>
      <c r="AF61" s="56"/>
      <c r="AG61" s="56"/>
    </row>
    <row r="62" ht="15.75" customHeight="1">
      <c r="A62" s="155"/>
      <c r="AC62" s="56"/>
      <c r="AD62" s="56"/>
      <c r="AE62" s="56"/>
      <c r="AF62" s="56"/>
      <c r="AG62" s="56"/>
    </row>
    <row r="63" ht="15.75" customHeight="1">
      <c r="A63" s="155"/>
      <c r="AC63" s="56"/>
      <c r="AD63" s="56"/>
      <c r="AE63" s="56"/>
      <c r="AF63" s="56"/>
      <c r="AG63" s="56"/>
    </row>
    <row r="64" ht="15.75" customHeight="1">
      <c r="A64" s="155"/>
      <c r="AC64" s="56"/>
      <c r="AD64" s="56"/>
      <c r="AE64" s="56"/>
      <c r="AF64" s="56"/>
      <c r="AG64" s="56"/>
    </row>
    <row r="65" ht="15.75" customHeight="1">
      <c r="A65" s="155"/>
      <c r="AC65" s="56"/>
      <c r="AD65" s="56"/>
      <c r="AE65" s="56"/>
      <c r="AF65" s="56"/>
      <c r="AG65" s="56"/>
    </row>
    <row r="66" ht="15.75" customHeight="1">
      <c r="A66" s="155"/>
      <c r="AC66" s="56"/>
      <c r="AD66" s="56"/>
      <c r="AE66" s="56"/>
      <c r="AF66" s="56"/>
      <c r="AG66" s="56"/>
    </row>
    <row r="67" ht="15.75" customHeight="1">
      <c r="A67" s="155"/>
      <c r="AC67" s="56"/>
      <c r="AD67" s="56"/>
      <c r="AE67" s="56"/>
      <c r="AF67" s="56"/>
      <c r="AG67" s="56"/>
    </row>
    <row r="68" ht="15.75" customHeight="1">
      <c r="A68" s="155"/>
      <c r="AC68" s="56"/>
      <c r="AD68" s="56"/>
      <c r="AE68" s="56"/>
      <c r="AF68" s="56"/>
      <c r="AG68" s="56"/>
    </row>
    <row r="69" ht="15.75" customHeight="1">
      <c r="A69" s="155"/>
      <c r="AC69" s="56"/>
      <c r="AD69" s="56"/>
      <c r="AE69" s="56"/>
      <c r="AF69" s="56"/>
      <c r="AG69" s="56"/>
    </row>
    <row r="70" ht="15.75" customHeight="1">
      <c r="A70" s="155"/>
      <c r="AC70" s="56"/>
      <c r="AD70" s="56"/>
      <c r="AE70" s="56"/>
      <c r="AF70" s="56"/>
      <c r="AG70" s="56"/>
    </row>
    <row r="71" ht="15.75" customHeight="1">
      <c r="A71" s="155"/>
      <c r="AC71" s="56"/>
      <c r="AD71" s="56"/>
      <c r="AE71" s="56"/>
      <c r="AF71" s="56"/>
      <c r="AG71" s="56"/>
    </row>
    <row r="72" ht="15.75" customHeight="1">
      <c r="A72" s="155"/>
      <c r="AC72" s="56"/>
      <c r="AD72" s="56"/>
      <c r="AE72" s="56"/>
      <c r="AF72" s="56"/>
      <c r="AG72" s="56"/>
    </row>
    <row r="73" ht="15.75" customHeight="1">
      <c r="A73" s="155"/>
      <c r="AC73" s="56"/>
      <c r="AD73" s="56"/>
      <c r="AE73" s="56"/>
      <c r="AF73" s="56"/>
      <c r="AG73" s="56"/>
    </row>
    <row r="74" ht="15.75" customHeight="1">
      <c r="A74" s="155"/>
      <c r="AC74" s="56"/>
      <c r="AD74" s="56"/>
      <c r="AE74" s="56"/>
      <c r="AF74" s="56"/>
      <c r="AG74" s="56"/>
    </row>
    <row r="75" ht="15.75" customHeight="1">
      <c r="A75" s="155"/>
      <c r="AC75" s="56"/>
      <c r="AD75" s="56"/>
      <c r="AE75" s="56"/>
      <c r="AF75" s="56"/>
      <c r="AG75" s="56"/>
    </row>
    <row r="76" ht="15.75" customHeight="1">
      <c r="A76" s="155"/>
      <c r="AC76" s="56"/>
      <c r="AD76" s="56"/>
      <c r="AE76" s="56"/>
      <c r="AF76" s="56"/>
      <c r="AG76" s="56"/>
    </row>
    <row r="77" ht="15.75" customHeight="1">
      <c r="A77" s="155"/>
      <c r="AC77" s="56"/>
      <c r="AD77" s="56"/>
      <c r="AE77" s="56"/>
      <c r="AF77" s="56"/>
      <c r="AG77" s="56"/>
    </row>
    <row r="78" ht="15.75" customHeight="1">
      <c r="A78" s="155"/>
      <c r="AC78" s="56"/>
      <c r="AD78" s="56"/>
      <c r="AE78" s="56"/>
      <c r="AF78" s="56"/>
      <c r="AG78" s="56"/>
    </row>
    <row r="79" ht="15.75" customHeight="1">
      <c r="A79" s="155"/>
      <c r="AC79" s="56"/>
      <c r="AD79" s="56"/>
      <c r="AE79" s="56"/>
      <c r="AF79" s="56"/>
      <c r="AG79" s="56"/>
    </row>
    <row r="80" ht="15.75" customHeight="1">
      <c r="A80" s="155"/>
      <c r="AC80" s="56"/>
      <c r="AD80" s="56"/>
      <c r="AE80" s="56"/>
      <c r="AF80" s="56"/>
      <c r="AG80" s="56"/>
    </row>
    <row r="81" ht="15.75" customHeight="1">
      <c r="A81" s="155"/>
      <c r="AC81" s="56"/>
      <c r="AD81" s="56"/>
      <c r="AE81" s="56"/>
      <c r="AF81" s="56"/>
      <c r="AG81" s="56"/>
    </row>
    <row r="82" ht="15.75" customHeight="1">
      <c r="A82" s="155"/>
      <c r="AC82" s="56"/>
      <c r="AD82" s="56"/>
      <c r="AE82" s="56"/>
      <c r="AF82" s="56"/>
      <c r="AG82" s="56"/>
    </row>
    <row r="83" ht="15.75" customHeight="1">
      <c r="A83" s="155"/>
      <c r="AC83" s="56"/>
      <c r="AD83" s="56"/>
      <c r="AE83" s="56"/>
      <c r="AF83" s="56"/>
      <c r="AG83" s="56"/>
    </row>
    <row r="84" ht="15.75" customHeight="1">
      <c r="A84" s="155"/>
      <c r="AC84" s="56"/>
      <c r="AD84" s="56"/>
      <c r="AE84" s="56"/>
      <c r="AF84" s="56"/>
      <c r="AG84" s="56"/>
    </row>
    <row r="85" ht="15.75" customHeight="1">
      <c r="A85" s="155"/>
      <c r="AC85" s="56"/>
      <c r="AD85" s="56"/>
      <c r="AE85" s="56"/>
      <c r="AF85" s="56"/>
      <c r="AG85" s="56"/>
    </row>
    <row r="86" ht="15.75" customHeight="1">
      <c r="A86" s="155"/>
      <c r="AC86" s="56"/>
      <c r="AD86" s="56"/>
      <c r="AE86" s="56"/>
      <c r="AF86" s="56"/>
      <c r="AG86" s="56"/>
    </row>
    <row r="87" ht="15.75" customHeight="1">
      <c r="A87" s="155"/>
      <c r="AC87" s="56"/>
      <c r="AD87" s="56"/>
      <c r="AE87" s="56"/>
      <c r="AF87" s="56"/>
      <c r="AG87" s="56"/>
    </row>
    <row r="88" ht="15.75" customHeight="1">
      <c r="A88" s="155"/>
      <c r="AC88" s="56"/>
      <c r="AD88" s="56"/>
      <c r="AE88" s="56"/>
      <c r="AF88" s="56"/>
      <c r="AG88" s="56"/>
    </row>
    <row r="89" ht="15.75" customHeight="1">
      <c r="A89" s="155"/>
      <c r="AC89" s="56"/>
      <c r="AD89" s="56"/>
      <c r="AE89" s="56"/>
      <c r="AF89" s="56"/>
      <c r="AG89" s="56"/>
    </row>
    <row r="90" ht="15.75" customHeight="1">
      <c r="A90" s="155"/>
      <c r="AC90" s="56"/>
      <c r="AD90" s="56"/>
      <c r="AE90" s="56"/>
      <c r="AF90" s="56"/>
      <c r="AG90" s="56"/>
    </row>
    <row r="91" ht="15.75" customHeight="1">
      <c r="A91" s="155"/>
      <c r="AC91" s="56"/>
      <c r="AD91" s="56"/>
      <c r="AE91" s="56"/>
      <c r="AF91" s="56"/>
      <c r="AG91" s="56"/>
    </row>
    <row r="92" ht="15.75" customHeight="1">
      <c r="A92" s="155"/>
      <c r="AC92" s="56"/>
      <c r="AD92" s="56"/>
      <c r="AE92" s="56"/>
      <c r="AF92" s="56"/>
      <c r="AG92" s="56"/>
    </row>
    <row r="93" ht="15.75" customHeight="1">
      <c r="A93" s="155"/>
      <c r="AC93" s="56"/>
      <c r="AD93" s="56"/>
      <c r="AE93" s="56"/>
      <c r="AF93" s="56"/>
      <c r="AG93" s="56"/>
    </row>
    <row r="94" ht="15.75" customHeight="1">
      <c r="A94" s="155"/>
      <c r="AC94" s="56"/>
      <c r="AD94" s="56"/>
      <c r="AE94" s="56"/>
      <c r="AF94" s="56"/>
      <c r="AG94" s="56"/>
    </row>
    <row r="95" ht="15.75" customHeight="1">
      <c r="A95" s="155"/>
      <c r="AC95" s="56"/>
      <c r="AD95" s="56"/>
      <c r="AE95" s="56"/>
      <c r="AF95" s="56"/>
      <c r="AG95" s="56"/>
    </row>
    <row r="96" ht="15.75" customHeight="1">
      <c r="A96" s="155"/>
      <c r="AC96" s="56"/>
      <c r="AD96" s="56"/>
      <c r="AE96" s="56"/>
      <c r="AF96" s="56"/>
      <c r="AG96" s="56"/>
    </row>
    <row r="97" ht="15.75" customHeight="1">
      <c r="A97" s="155"/>
      <c r="AC97" s="56"/>
      <c r="AD97" s="56"/>
      <c r="AE97" s="56"/>
      <c r="AF97" s="56"/>
      <c r="AG97" s="56"/>
    </row>
    <row r="98" ht="15.75" customHeight="1">
      <c r="A98" s="155"/>
      <c r="AC98" s="56"/>
      <c r="AD98" s="56"/>
      <c r="AE98" s="56"/>
      <c r="AF98" s="56"/>
      <c r="AG98" s="56"/>
    </row>
    <row r="99" ht="15.75" customHeight="1">
      <c r="A99" s="155"/>
      <c r="AC99" s="56"/>
      <c r="AD99" s="56"/>
      <c r="AE99" s="56"/>
      <c r="AF99" s="56"/>
      <c r="AG99" s="56"/>
    </row>
    <row r="100" ht="15.75" customHeight="1">
      <c r="A100" s="155"/>
      <c r="AC100" s="56"/>
      <c r="AD100" s="56"/>
      <c r="AE100" s="56"/>
      <c r="AF100" s="56"/>
      <c r="AG100" s="56"/>
    </row>
    <row r="101" ht="15.75" customHeight="1">
      <c r="A101" s="155"/>
      <c r="AC101" s="56"/>
      <c r="AD101" s="56"/>
      <c r="AE101" s="56"/>
      <c r="AF101" s="56"/>
      <c r="AG101" s="56"/>
    </row>
    <row r="102" ht="15.75" customHeight="1">
      <c r="A102" s="155"/>
      <c r="AC102" s="56"/>
      <c r="AD102" s="56"/>
      <c r="AE102" s="56"/>
      <c r="AF102" s="56"/>
      <c r="AG102" s="56"/>
    </row>
    <row r="103" ht="15.75" customHeight="1">
      <c r="A103" s="155"/>
      <c r="AC103" s="56"/>
      <c r="AD103" s="56"/>
      <c r="AE103" s="56"/>
      <c r="AF103" s="56"/>
      <c r="AG103" s="56"/>
    </row>
    <row r="104" ht="15.75" customHeight="1">
      <c r="A104" s="155"/>
      <c r="AC104" s="56"/>
      <c r="AD104" s="56"/>
      <c r="AE104" s="56"/>
      <c r="AF104" s="56"/>
      <c r="AG104" s="56"/>
    </row>
    <row r="105" ht="15.75" customHeight="1">
      <c r="A105" s="155"/>
      <c r="AC105" s="56"/>
      <c r="AD105" s="56"/>
      <c r="AE105" s="56"/>
      <c r="AF105" s="56"/>
      <c r="AG105" s="56"/>
    </row>
    <row r="106" ht="15.75" customHeight="1">
      <c r="A106" s="155"/>
      <c r="AC106" s="56"/>
      <c r="AD106" s="56"/>
      <c r="AE106" s="56"/>
      <c r="AF106" s="56"/>
      <c r="AG106" s="56"/>
    </row>
    <row r="107" ht="15.75" customHeight="1">
      <c r="A107" s="155"/>
      <c r="AC107" s="56"/>
      <c r="AD107" s="56"/>
      <c r="AE107" s="56"/>
      <c r="AF107" s="56"/>
      <c r="AG107" s="56"/>
    </row>
    <row r="108" ht="15.75" customHeight="1">
      <c r="A108" s="155"/>
      <c r="AC108" s="56"/>
      <c r="AD108" s="56"/>
      <c r="AE108" s="56"/>
      <c r="AF108" s="56"/>
      <c r="AG108" s="56"/>
    </row>
    <row r="109" ht="15.75" customHeight="1">
      <c r="A109" s="155"/>
      <c r="AC109" s="56"/>
      <c r="AD109" s="56"/>
      <c r="AE109" s="56"/>
      <c r="AF109" s="56"/>
      <c r="AG109" s="56"/>
    </row>
    <row r="110" ht="15.75" customHeight="1">
      <c r="A110" s="155"/>
      <c r="AC110" s="56"/>
      <c r="AD110" s="56"/>
      <c r="AE110" s="56"/>
      <c r="AF110" s="56"/>
      <c r="AG110" s="56"/>
    </row>
    <row r="111" ht="15.75" customHeight="1">
      <c r="A111" s="155"/>
      <c r="AC111" s="56"/>
      <c r="AD111" s="56"/>
      <c r="AE111" s="56"/>
      <c r="AF111" s="56"/>
      <c r="AG111" s="56"/>
    </row>
    <row r="112" ht="15.75" customHeight="1">
      <c r="A112" s="155"/>
      <c r="AC112" s="56"/>
      <c r="AD112" s="56"/>
      <c r="AE112" s="56"/>
      <c r="AF112" s="56"/>
      <c r="AG112" s="56"/>
    </row>
    <row r="113" ht="15.75" customHeight="1">
      <c r="A113" s="155"/>
      <c r="AC113" s="56"/>
      <c r="AD113" s="56"/>
      <c r="AE113" s="56"/>
      <c r="AF113" s="56"/>
      <c r="AG113" s="56"/>
    </row>
    <row r="114" ht="15.75" customHeight="1">
      <c r="A114" s="155"/>
      <c r="AC114" s="56"/>
      <c r="AD114" s="56"/>
      <c r="AE114" s="56"/>
      <c r="AF114" s="56"/>
      <c r="AG114" s="56"/>
    </row>
    <row r="115" ht="15.75" customHeight="1">
      <c r="A115" s="155"/>
      <c r="AC115" s="56"/>
      <c r="AD115" s="56"/>
      <c r="AE115" s="56"/>
      <c r="AF115" s="56"/>
      <c r="AG115" s="56"/>
    </row>
    <row r="116" ht="15.75" customHeight="1">
      <c r="A116" s="155"/>
      <c r="AC116" s="56"/>
      <c r="AD116" s="56"/>
      <c r="AE116" s="56"/>
      <c r="AF116" s="56"/>
      <c r="AG116" s="56"/>
    </row>
    <row r="117" ht="15.75" customHeight="1">
      <c r="A117" s="155"/>
      <c r="AC117" s="56"/>
      <c r="AD117" s="56"/>
      <c r="AE117" s="56"/>
      <c r="AF117" s="56"/>
      <c r="AG117" s="56"/>
    </row>
    <row r="118" ht="15.75" customHeight="1">
      <c r="A118" s="155"/>
      <c r="AC118" s="56"/>
      <c r="AD118" s="56"/>
      <c r="AE118" s="56"/>
      <c r="AF118" s="56"/>
      <c r="AG118" s="56"/>
    </row>
    <row r="119" ht="15.75" customHeight="1">
      <c r="A119" s="155"/>
      <c r="AC119" s="56"/>
      <c r="AD119" s="56"/>
      <c r="AE119" s="56"/>
      <c r="AF119" s="56"/>
      <c r="AG119" s="56"/>
    </row>
    <row r="120" ht="15.75" customHeight="1">
      <c r="A120" s="155"/>
      <c r="AC120" s="56"/>
      <c r="AD120" s="56"/>
      <c r="AE120" s="56"/>
      <c r="AF120" s="56"/>
      <c r="AG120" s="56"/>
    </row>
    <row r="121" ht="15.75" customHeight="1">
      <c r="A121" s="155"/>
      <c r="AC121" s="56"/>
      <c r="AD121" s="56"/>
      <c r="AE121" s="56"/>
      <c r="AF121" s="56"/>
      <c r="AG121" s="56"/>
    </row>
    <row r="122" ht="15.75" customHeight="1">
      <c r="A122" s="155"/>
      <c r="AC122" s="56"/>
      <c r="AD122" s="56"/>
      <c r="AE122" s="56"/>
      <c r="AF122" s="56"/>
      <c r="AG122" s="56"/>
    </row>
    <row r="123" ht="15.75" customHeight="1">
      <c r="A123" s="155"/>
      <c r="AC123" s="56"/>
      <c r="AD123" s="56"/>
      <c r="AE123" s="56"/>
      <c r="AF123" s="56"/>
      <c r="AG123" s="56"/>
    </row>
    <row r="124" ht="15.75" customHeight="1">
      <c r="A124" s="155"/>
      <c r="AC124" s="56"/>
      <c r="AD124" s="56"/>
      <c r="AE124" s="56"/>
      <c r="AF124" s="56"/>
      <c r="AG124" s="56"/>
    </row>
    <row r="125" ht="15.75" customHeight="1">
      <c r="A125" s="155"/>
      <c r="AC125" s="56"/>
      <c r="AD125" s="56"/>
      <c r="AE125" s="56"/>
      <c r="AF125" s="56"/>
      <c r="AG125" s="56"/>
    </row>
    <row r="126" ht="15.75" customHeight="1">
      <c r="A126" s="155"/>
      <c r="AC126" s="56"/>
      <c r="AD126" s="56"/>
      <c r="AE126" s="56"/>
      <c r="AF126" s="56"/>
      <c r="AG126" s="56"/>
    </row>
    <row r="127" ht="15.75" customHeight="1">
      <c r="A127" s="155"/>
      <c r="AC127" s="56"/>
      <c r="AD127" s="56"/>
      <c r="AE127" s="56"/>
      <c r="AF127" s="56"/>
      <c r="AG127" s="56"/>
    </row>
    <row r="128" ht="15.75" customHeight="1">
      <c r="A128" s="155"/>
      <c r="AC128" s="56"/>
      <c r="AD128" s="56"/>
      <c r="AE128" s="56"/>
      <c r="AF128" s="56"/>
      <c r="AG128" s="56"/>
    </row>
    <row r="129" ht="15.75" customHeight="1">
      <c r="A129" s="155"/>
      <c r="AC129" s="56"/>
      <c r="AD129" s="56"/>
      <c r="AE129" s="56"/>
      <c r="AF129" s="56"/>
      <c r="AG129" s="56"/>
    </row>
    <row r="130" ht="15.75" customHeight="1">
      <c r="A130" s="155"/>
      <c r="AC130" s="56"/>
      <c r="AD130" s="56"/>
      <c r="AE130" s="56"/>
      <c r="AF130" s="56"/>
      <c r="AG130" s="56"/>
    </row>
    <row r="131" ht="15.75" customHeight="1">
      <c r="A131" s="155"/>
      <c r="AC131" s="56"/>
      <c r="AD131" s="56"/>
      <c r="AE131" s="56"/>
      <c r="AF131" s="56"/>
      <c r="AG131" s="56"/>
    </row>
    <row r="132" ht="15.75" customHeight="1">
      <c r="A132" s="155"/>
      <c r="AC132" s="56"/>
      <c r="AD132" s="56"/>
      <c r="AE132" s="56"/>
      <c r="AF132" s="56"/>
      <c r="AG132" s="56"/>
    </row>
    <row r="133" ht="15.75" customHeight="1">
      <c r="A133" s="155"/>
      <c r="AC133" s="56"/>
      <c r="AD133" s="56"/>
      <c r="AE133" s="56"/>
      <c r="AF133" s="56"/>
      <c r="AG133" s="56"/>
    </row>
    <row r="134" ht="15.75" customHeight="1">
      <c r="A134" s="155"/>
      <c r="AC134" s="56"/>
      <c r="AD134" s="56"/>
      <c r="AE134" s="56"/>
      <c r="AF134" s="56"/>
      <c r="AG134" s="56"/>
    </row>
    <row r="135" ht="15.75" customHeight="1">
      <c r="A135" s="155"/>
      <c r="AC135" s="56"/>
      <c r="AD135" s="56"/>
      <c r="AE135" s="56"/>
      <c r="AF135" s="56"/>
      <c r="AG135" s="56"/>
    </row>
    <row r="136" ht="15.75" customHeight="1">
      <c r="A136" s="155"/>
      <c r="AC136" s="56"/>
      <c r="AD136" s="56"/>
      <c r="AE136" s="56"/>
      <c r="AF136" s="56"/>
      <c r="AG136" s="56"/>
    </row>
    <row r="137" ht="15.75" customHeight="1">
      <c r="A137" s="155"/>
      <c r="AC137" s="56"/>
      <c r="AD137" s="56"/>
      <c r="AE137" s="56"/>
      <c r="AF137" s="56"/>
      <c r="AG137" s="56"/>
    </row>
    <row r="138" ht="15.75" customHeight="1">
      <c r="A138" s="155"/>
      <c r="AC138" s="56"/>
      <c r="AD138" s="56"/>
      <c r="AE138" s="56"/>
      <c r="AF138" s="56"/>
      <c r="AG138" s="56"/>
    </row>
    <row r="139" ht="15.75" customHeight="1">
      <c r="A139" s="155"/>
      <c r="AC139" s="56"/>
      <c r="AD139" s="56"/>
      <c r="AE139" s="56"/>
      <c r="AF139" s="56"/>
      <c r="AG139" s="56"/>
    </row>
    <row r="140" ht="15.75" customHeight="1">
      <c r="A140" s="155"/>
      <c r="AC140" s="56"/>
      <c r="AD140" s="56"/>
      <c r="AE140" s="56"/>
      <c r="AF140" s="56"/>
      <c r="AG140" s="56"/>
    </row>
    <row r="141" ht="15.75" customHeight="1">
      <c r="A141" s="155"/>
      <c r="AC141" s="56"/>
      <c r="AD141" s="56"/>
      <c r="AE141" s="56"/>
      <c r="AF141" s="56"/>
      <c r="AG141" s="56"/>
    </row>
    <row r="142" ht="15.75" customHeight="1">
      <c r="A142" s="155"/>
      <c r="AC142" s="56"/>
      <c r="AD142" s="56"/>
      <c r="AE142" s="56"/>
      <c r="AF142" s="56"/>
      <c r="AG142" s="56"/>
    </row>
    <row r="143" ht="15.75" customHeight="1">
      <c r="A143" s="155"/>
      <c r="AC143" s="56"/>
      <c r="AD143" s="56"/>
      <c r="AE143" s="56"/>
      <c r="AF143" s="56"/>
      <c r="AG143" s="56"/>
    </row>
    <row r="144" ht="15.75" customHeight="1">
      <c r="A144" s="155"/>
      <c r="AC144" s="56"/>
      <c r="AD144" s="56"/>
      <c r="AE144" s="56"/>
      <c r="AF144" s="56"/>
      <c r="AG144" s="56"/>
    </row>
    <row r="145" ht="15.75" customHeight="1">
      <c r="A145" s="155"/>
      <c r="AC145" s="56"/>
      <c r="AD145" s="56"/>
      <c r="AE145" s="56"/>
      <c r="AF145" s="56"/>
      <c r="AG145" s="56"/>
    </row>
    <row r="146" ht="15.75" customHeight="1">
      <c r="A146" s="155"/>
      <c r="AC146" s="56"/>
      <c r="AD146" s="56"/>
      <c r="AE146" s="56"/>
      <c r="AF146" s="56"/>
      <c r="AG146" s="56"/>
    </row>
    <row r="147" ht="15.75" customHeight="1">
      <c r="A147" s="155"/>
      <c r="AC147" s="56"/>
      <c r="AD147" s="56"/>
      <c r="AE147" s="56"/>
      <c r="AF147" s="56"/>
      <c r="AG147" s="56"/>
    </row>
    <row r="148" ht="15.75" customHeight="1">
      <c r="A148" s="155"/>
      <c r="AC148" s="56"/>
      <c r="AD148" s="56"/>
      <c r="AE148" s="56"/>
      <c r="AF148" s="56"/>
      <c r="AG148" s="56"/>
    </row>
    <row r="149" ht="15.75" customHeight="1">
      <c r="A149" s="155"/>
      <c r="AC149" s="56"/>
      <c r="AD149" s="56"/>
      <c r="AE149" s="56"/>
      <c r="AF149" s="56"/>
      <c r="AG149" s="56"/>
    </row>
    <row r="150" ht="15.75" customHeight="1">
      <c r="A150" s="155"/>
      <c r="AC150" s="56"/>
      <c r="AD150" s="56"/>
      <c r="AE150" s="56"/>
      <c r="AF150" s="56"/>
      <c r="AG150" s="56"/>
    </row>
    <row r="151" ht="15.75" customHeight="1">
      <c r="A151" s="155"/>
      <c r="AC151" s="56"/>
      <c r="AD151" s="56"/>
      <c r="AE151" s="56"/>
      <c r="AF151" s="56"/>
      <c r="AG151" s="56"/>
    </row>
    <row r="152" ht="15.75" customHeight="1">
      <c r="A152" s="155"/>
      <c r="AC152" s="56"/>
      <c r="AD152" s="56"/>
      <c r="AE152" s="56"/>
      <c r="AF152" s="56"/>
      <c r="AG152" s="56"/>
    </row>
    <row r="153" ht="15.75" customHeight="1">
      <c r="A153" s="155"/>
      <c r="AC153" s="56"/>
      <c r="AD153" s="56"/>
      <c r="AE153" s="56"/>
      <c r="AF153" s="56"/>
      <c r="AG153" s="56"/>
    </row>
    <row r="154" ht="15.75" customHeight="1">
      <c r="A154" s="155"/>
      <c r="AC154" s="56"/>
      <c r="AD154" s="56"/>
      <c r="AE154" s="56"/>
      <c r="AF154" s="56"/>
      <c r="AG154" s="56"/>
    </row>
    <row r="155" ht="15.75" customHeight="1">
      <c r="A155" s="155"/>
      <c r="AC155" s="56"/>
      <c r="AD155" s="56"/>
      <c r="AE155" s="56"/>
      <c r="AF155" s="56"/>
      <c r="AG155" s="56"/>
    </row>
    <row r="156" ht="15.75" customHeight="1">
      <c r="A156" s="155"/>
      <c r="AC156" s="56"/>
      <c r="AD156" s="56"/>
      <c r="AE156" s="56"/>
      <c r="AF156" s="56"/>
      <c r="AG156" s="56"/>
    </row>
    <row r="157" ht="15.75" customHeight="1">
      <c r="A157" s="155"/>
      <c r="AC157" s="56"/>
      <c r="AD157" s="56"/>
      <c r="AE157" s="56"/>
      <c r="AF157" s="56"/>
      <c r="AG157" s="56"/>
    </row>
    <row r="158" ht="15.75" customHeight="1">
      <c r="A158" s="155"/>
      <c r="AC158" s="56"/>
      <c r="AD158" s="56"/>
      <c r="AE158" s="56"/>
      <c r="AF158" s="56"/>
      <c r="AG158" s="56"/>
    </row>
    <row r="159" ht="15.75" customHeight="1">
      <c r="A159" s="155"/>
      <c r="AC159" s="56"/>
      <c r="AD159" s="56"/>
      <c r="AE159" s="56"/>
      <c r="AF159" s="56"/>
      <c r="AG159" s="56"/>
    </row>
    <row r="160" ht="15.75" customHeight="1">
      <c r="A160" s="155"/>
      <c r="AC160" s="56"/>
      <c r="AD160" s="56"/>
      <c r="AE160" s="56"/>
      <c r="AF160" s="56"/>
      <c r="AG160" s="56"/>
    </row>
    <row r="161" ht="15.75" customHeight="1">
      <c r="A161" s="155"/>
      <c r="AC161" s="56"/>
      <c r="AD161" s="56"/>
      <c r="AE161" s="56"/>
      <c r="AF161" s="56"/>
      <c r="AG161" s="56"/>
    </row>
    <row r="162" ht="15.75" customHeight="1">
      <c r="A162" s="155"/>
      <c r="AC162" s="56"/>
      <c r="AD162" s="56"/>
      <c r="AE162" s="56"/>
      <c r="AF162" s="56"/>
      <c r="AG162" s="56"/>
    </row>
    <row r="163" ht="15.75" customHeight="1">
      <c r="A163" s="155"/>
      <c r="AC163" s="56"/>
      <c r="AD163" s="56"/>
      <c r="AE163" s="56"/>
      <c r="AF163" s="56"/>
      <c r="AG163" s="56"/>
    </row>
    <row r="164" ht="15.75" customHeight="1">
      <c r="A164" s="155"/>
      <c r="AC164" s="56"/>
      <c r="AD164" s="56"/>
      <c r="AE164" s="56"/>
      <c r="AF164" s="56"/>
      <c r="AG164" s="56"/>
    </row>
    <row r="165" ht="15.75" customHeight="1">
      <c r="A165" s="155"/>
      <c r="AC165" s="56"/>
      <c r="AD165" s="56"/>
      <c r="AE165" s="56"/>
      <c r="AF165" s="56"/>
      <c r="AG165" s="56"/>
    </row>
    <row r="166" ht="15.75" customHeight="1">
      <c r="A166" s="155"/>
      <c r="AC166" s="56"/>
      <c r="AD166" s="56"/>
      <c r="AE166" s="56"/>
      <c r="AF166" s="56"/>
      <c r="AG166" s="56"/>
    </row>
    <row r="167" ht="15.75" customHeight="1">
      <c r="A167" s="155"/>
      <c r="AC167" s="56"/>
      <c r="AD167" s="56"/>
      <c r="AE167" s="56"/>
      <c r="AF167" s="56"/>
      <c r="AG167" s="56"/>
    </row>
    <row r="168" ht="15.75" customHeight="1">
      <c r="A168" s="155"/>
      <c r="AC168" s="56"/>
      <c r="AD168" s="56"/>
      <c r="AE168" s="56"/>
      <c r="AF168" s="56"/>
      <c r="AG168" s="56"/>
    </row>
    <row r="169" ht="15.75" customHeight="1">
      <c r="A169" s="155"/>
      <c r="AC169" s="56"/>
      <c r="AD169" s="56"/>
      <c r="AE169" s="56"/>
      <c r="AF169" s="56"/>
      <c r="AG169" s="56"/>
    </row>
    <row r="170" ht="15.75" customHeight="1">
      <c r="A170" s="155"/>
      <c r="AC170" s="56"/>
      <c r="AD170" s="56"/>
      <c r="AE170" s="56"/>
      <c r="AF170" s="56"/>
      <c r="AG170" s="56"/>
    </row>
    <row r="171" ht="15.75" customHeight="1">
      <c r="A171" s="155"/>
      <c r="AC171" s="56"/>
      <c r="AD171" s="56"/>
      <c r="AE171" s="56"/>
      <c r="AF171" s="56"/>
      <c r="AG171" s="56"/>
    </row>
    <row r="172" ht="15.75" customHeight="1">
      <c r="A172" s="155"/>
      <c r="AC172" s="56"/>
      <c r="AD172" s="56"/>
      <c r="AE172" s="56"/>
      <c r="AF172" s="56"/>
      <c r="AG172" s="56"/>
    </row>
    <row r="173" ht="15.75" customHeight="1">
      <c r="A173" s="155"/>
      <c r="AC173" s="56"/>
      <c r="AD173" s="56"/>
      <c r="AE173" s="56"/>
      <c r="AF173" s="56"/>
      <c r="AG173" s="56"/>
    </row>
    <row r="174" ht="15.75" customHeight="1">
      <c r="A174" s="155"/>
      <c r="AC174" s="56"/>
      <c r="AD174" s="56"/>
      <c r="AE174" s="56"/>
      <c r="AF174" s="56"/>
      <c r="AG174" s="56"/>
    </row>
    <row r="175" ht="15.75" customHeight="1">
      <c r="A175" s="155"/>
      <c r="AC175" s="56"/>
      <c r="AD175" s="56"/>
      <c r="AE175" s="56"/>
      <c r="AF175" s="56"/>
      <c r="AG175" s="56"/>
    </row>
    <row r="176" ht="15.75" customHeight="1">
      <c r="A176" s="155"/>
      <c r="AC176" s="56"/>
      <c r="AD176" s="56"/>
      <c r="AE176" s="56"/>
      <c r="AF176" s="56"/>
      <c r="AG176" s="56"/>
    </row>
    <row r="177" ht="15.75" customHeight="1">
      <c r="A177" s="155"/>
      <c r="AC177" s="56"/>
      <c r="AD177" s="56"/>
      <c r="AE177" s="56"/>
      <c r="AF177" s="56"/>
      <c r="AG177" s="56"/>
    </row>
    <row r="178" ht="15.75" customHeight="1">
      <c r="A178" s="155"/>
      <c r="AC178" s="56"/>
      <c r="AD178" s="56"/>
      <c r="AE178" s="56"/>
      <c r="AF178" s="56"/>
      <c r="AG178" s="56"/>
    </row>
    <row r="179" ht="15.75" customHeight="1">
      <c r="A179" s="155"/>
      <c r="AC179" s="56"/>
      <c r="AD179" s="56"/>
      <c r="AE179" s="56"/>
      <c r="AF179" s="56"/>
      <c r="AG179" s="56"/>
    </row>
    <row r="180" ht="15.75" customHeight="1">
      <c r="A180" s="155"/>
      <c r="AC180" s="56"/>
      <c r="AD180" s="56"/>
      <c r="AE180" s="56"/>
      <c r="AF180" s="56"/>
      <c r="AG180" s="56"/>
    </row>
    <row r="181" ht="15.75" customHeight="1">
      <c r="A181" s="155"/>
      <c r="AC181" s="56"/>
      <c r="AD181" s="56"/>
      <c r="AE181" s="56"/>
      <c r="AF181" s="56"/>
      <c r="AG181" s="56"/>
    </row>
    <row r="182" ht="15.75" customHeight="1">
      <c r="A182" s="155"/>
      <c r="AC182" s="56"/>
      <c r="AD182" s="56"/>
      <c r="AE182" s="56"/>
      <c r="AF182" s="56"/>
      <c r="AG182" s="56"/>
    </row>
    <row r="183" ht="15.75" customHeight="1">
      <c r="A183" s="155"/>
      <c r="AC183" s="56"/>
      <c r="AD183" s="56"/>
      <c r="AE183" s="56"/>
      <c r="AF183" s="56"/>
      <c r="AG183" s="56"/>
    </row>
    <row r="184" ht="15.75" customHeight="1">
      <c r="A184" s="155"/>
      <c r="AC184" s="56"/>
      <c r="AD184" s="56"/>
      <c r="AE184" s="56"/>
      <c r="AF184" s="56"/>
      <c r="AG184" s="56"/>
    </row>
    <row r="185" ht="15.75" customHeight="1">
      <c r="A185" s="155"/>
      <c r="AC185" s="56"/>
      <c r="AD185" s="56"/>
      <c r="AE185" s="56"/>
      <c r="AF185" s="56"/>
      <c r="AG185" s="56"/>
    </row>
    <row r="186" ht="15.75" customHeight="1">
      <c r="A186" s="155"/>
      <c r="AC186" s="56"/>
      <c r="AD186" s="56"/>
      <c r="AE186" s="56"/>
      <c r="AF186" s="56"/>
      <c r="AG186" s="56"/>
    </row>
    <row r="187" ht="15.75" customHeight="1">
      <c r="A187" s="155"/>
      <c r="AC187" s="56"/>
      <c r="AD187" s="56"/>
      <c r="AE187" s="56"/>
      <c r="AF187" s="56"/>
      <c r="AG187" s="56"/>
    </row>
    <row r="188" ht="15.75" customHeight="1">
      <c r="A188" s="155"/>
      <c r="AC188" s="56"/>
      <c r="AD188" s="56"/>
      <c r="AE188" s="56"/>
      <c r="AF188" s="56"/>
      <c r="AG188" s="56"/>
    </row>
    <row r="189" ht="15.75" customHeight="1">
      <c r="A189" s="155"/>
      <c r="AC189" s="56"/>
      <c r="AD189" s="56"/>
      <c r="AE189" s="56"/>
      <c r="AF189" s="56"/>
      <c r="AG189" s="56"/>
    </row>
    <row r="190" ht="15.75" customHeight="1">
      <c r="A190" s="155"/>
      <c r="AC190" s="56"/>
      <c r="AD190" s="56"/>
      <c r="AE190" s="56"/>
      <c r="AF190" s="56"/>
      <c r="AG190" s="56"/>
    </row>
    <row r="191" ht="15.75" customHeight="1">
      <c r="A191" s="155"/>
      <c r="AC191" s="56"/>
      <c r="AD191" s="56"/>
      <c r="AE191" s="56"/>
      <c r="AF191" s="56"/>
      <c r="AG191" s="56"/>
    </row>
    <row r="192" ht="15.75" customHeight="1">
      <c r="A192" s="155"/>
      <c r="AC192" s="56"/>
      <c r="AD192" s="56"/>
      <c r="AE192" s="56"/>
      <c r="AF192" s="56"/>
      <c r="AG192" s="56"/>
    </row>
    <row r="193" ht="15.75" customHeight="1">
      <c r="A193" s="155"/>
      <c r="AC193" s="56"/>
      <c r="AD193" s="56"/>
      <c r="AE193" s="56"/>
      <c r="AF193" s="56"/>
      <c r="AG193" s="56"/>
    </row>
    <row r="194" ht="15.75" customHeight="1">
      <c r="A194" s="155"/>
      <c r="AC194" s="56"/>
      <c r="AD194" s="56"/>
      <c r="AE194" s="56"/>
      <c r="AF194" s="56"/>
      <c r="AG194" s="56"/>
    </row>
    <row r="195" ht="15.75" customHeight="1">
      <c r="A195" s="155"/>
      <c r="AC195" s="56"/>
      <c r="AD195" s="56"/>
      <c r="AE195" s="56"/>
      <c r="AF195" s="56"/>
      <c r="AG195" s="56"/>
    </row>
    <row r="196" ht="15.75" customHeight="1">
      <c r="A196" s="155"/>
      <c r="AC196" s="56"/>
      <c r="AD196" s="56"/>
      <c r="AE196" s="56"/>
      <c r="AF196" s="56"/>
      <c r="AG196" s="56"/>
    </row>
    <row r="197" ht="15.75" customHeight="1">
      <c r="A197" s="155"/>
      <c r="AC197" s="56"/>
      <c r="AD197" s="56"/>
      <c r="AE197" s="56"/>
      <c r="AF197" s="56"/>
      <c r="AG197" s="56"/>
    </row>
    <row r="198" ht="15.75" customHeight="1">
      <c r="A198" s="155"/>
      <c r="AC198" s="56"/>
      <c r="AD198" s="56"/>
      <c r="AE198" s="56"/>
      <c r="AF198" s="56"/>
      <c r="AG198" s="56"/>
    </row>
    <row r="199" ht="15.75" customHeight="1">
      <c r="A199" s="155"/>
      <c r="AC199" s="56"/>
      <c r="AD199" s="56"/>
      <c r="AE199" s="56"/>
      <c r="AF199" s="56"/>
      <c r="AG199" s="56"/>
    </row>
    <row r="200" ht="15.75" customHeight="1">
      <c r="A200" s="155"/>
      <c r="AC200" s="56"/>
      <c r="AD200" s="56"/>
      <c r="AE200" s="56"/>
      <c r="AF200" s="56"/>
      <c r="AG200" s="56"/>
    </row>
    <row r="201" ht="15.75" customHeight="1">
      <c r="A201" s="155"/>
      <c r="AC201" s="56"/>
      <c r="AD201" s="56"/>
      <c r="AE201" s="56"/>
      <c r="AF201" s="56"/>
      <c r="AG201" s="56"/>
    </row>
    <row r="202" ht="15.75" customHeight="1">
      <c r="A202" s="155"/>
      <c r="AC202" s="56"/>
      <c r="AD202" s="56"/>
      <c r="AE202" s="56"/>
      <c r="AF202" s="56"/>
      <c r="AG202" s="56"/>
    </row>
    <row r="203" ht="15.75" customHeight="1">
      <c r="A203" s="155"/>
      <c r="AC203" s="56"/>
      <c r="AD203" s="56"/>
      <c r="AE203" s="56"/>
      <c r="AF203" s="56"/>
      <c r="AG203" s="56"/>
    </row>
    <row r="204" ht="15.75" customHeight="1">
      <c r="A204" s="155"/>
      <c r="AC204" s="56"/>
      <c r="AD204" s="56"/>
      <c r="AE204" s="56"/>
      <c r="AF204" s="56"/>
      <c r="AG204" s="56"/>
    </row>
    <row r="205" ht="15.75" customHeight="1">
      <c r="A205" s="155"/>
      <c r="AC205" s="56"/>
      <c r="AD205" s="56"/>
      <c r="AE205" s="56"/>
      <c r="AF205" s="56"/>
      <c r="AG205" s="56"/>
    </row>
    <row r="206" ht="15.75" customHeight="1">
      <c r="A206" s="155"/>
      <c r="AC206" s="56"/>
      <c r="AD206" s="56"/>
      <c r="AE206" s="56"/>
      <c r="AF206" s="56"/>
      <c r="AG206" s="56"/>
    </row>
    <row r="207" ht="15.75" customHeight="1">
      <c r="A207" s="155"/>
      <c r="AC207" s="56"/>
      <c r="AD207" s="56"/>
      <c r="AE207" s="56"/>
      <c r="AF207" s="56"/>
      <c r="AG207" s="56"/>
    </row>
    <row r="208" ht="15.75" customHeight="1">
      <c r="A208" s="155"/>
      <c r="AC208" s="56"/>
      <c r="AD208" s="56"/>
      <c r="AE208" s="56"/>
      <c r="AF208" s="56"/>
      <c r="AG208" s="56"/>
    </row>
    <row r="209" ht="15.75" customHeight="1">
      <c r="A209" s="155"/>
      <c r="AC209" s="56"/>
      <c r="AD209" s="56"/>
      <c r="AE209" s="56"/>
      <c r="AF209" s="56"/>
      <c r="AG209" s="56"/>
    </row>
    <row r="210" ht="15.75" customHeight="1">
      <c r="A210" s="155"/>
      <c r="AC210" s="56"/>
      <c r="AD210" s="56"/>
      <c r="AE210" s="56"/>
      <c r="AF210" s="56"/>
      <c r="AG210" s="56"/>
    </row>
    <row r="211" ht="15.75" customHeight="1">
      <c r="A211" s="155"/>
      <c r="AC211" s="56"/>
      <c r="AD211" s="56"/>
      <c r="AE211" s="56"/>
      <c r="AF211" s="56"/>
      <c r="AG211" s="56"/>
    </row>
    <row r="212" ht="15.75" customHeight="1">
      <c r="A212" s="155"/>
      <c r="AC212" s="56"/>
      <c r="AD212" s="56"/>
      <c r="AE212" s="56"/>
      <c r="AF212" s="56"/>
      <c r="AG212" s="56"/>
    </row>
    <row r="213" ht="15.75" customHeight="1">
      <c r="A213" s="155"/>
      <c r="AC213" s="56"/>
      <c r="AD213" s="56"/>
      <c r="AE213" s="56"/>
      <c r="AF213" s="56"/>
      <c r="AG213" s="56"/>
    </row>
    <row r="214" ht="15.75" customHeight="1">
      <c r="A214" s="155"/>
      <c r="AC214" s="56"/>
      <c r="AD214" s="56"/>
      <c r="AE214" s="56"/>
      <c r="AF214" s="56"/>
      <c r="AG214" s="56"/>
    </row>
    <row r="215" ht="15.75" customHeight="1">
      <c r="A215" s="155"/>
      <c r="AC215" s="56"/>
      <c r="AD215" s="56"/>
      <c r="AE215" s="56"/>
      <c r="AF215" s="56"/>
      <c r="AG215" s="56"/>
    </row>
    <row r="216" ht="15.75" customHeight="1">
      <c r="A216" s="155"/>
      <c r="AC216" s="56"/>
      <c r="AD216" s="56"/>
      <c r="AE216" s="56"/>
      <c r="AF216" s="56"/>
      <c r="AG216" s="56"/>
    </row>
    <row r="217" ht="15.75" customHeight="1">
      <c r="A217" s="155"/>
      <c r="AC217" s="56"/>
      <c r="AD217" s="56"/>
      <c r="AE217" s="56"/>
      <c r="AF217" s="56"/>
      <c r="AG217" s="56"/>
    </row>
    <row r="218" ht="15.75" customHeight="1">
      <c r="A218" s="155"/>
      <c r="AC218" s="56"/>
      <c r="AD218" s="56"/>
      <c r="AE218" s="56"/>
      <c r="AF218" s="56"/>
      <c r="AG218" s="56"/>
    </row>
    <row r="219" ht="15.75" customHeight="1">
      <c r="A219" s="155"/>
      <c r="AC219" s="56"/>
      <c r="AD219" s="56"/>
      <c r="AE219" s="56"/>
      <c r="AF219" s="56"/>
      <c r="AG219" s="56"/>
    </row>
    <row r="220" ht="15.75" customHeight="1">
      <c r="A220" s="155"/>
      <c r="AC220" s="56"/>
      <c r="AD220" s="56"/>
      <c r="AE220" s="56"/>
      <c r="AF220" s="56"/>
      <c r="AG220" s="56"/>
    </row>
    <row r="221" ht="15.75" customHeight="1">
      <c r="A221" s="155"/>
      <c r="AC221" s="56"/>
      <c r="AD221" s="56"/>
      <c r="AE221" s="56"/>
      <c r="AF221" s="56"/>
      <c r="AG221" s="56"/>
    </row>
    <row r="222" ht="15.75" customHeight="1">
      <c r="A222" s="155"/>
      <c r="AC222" s="56"/>
      <c r="AD222" s="56"/>
      <c r="AE222" s="56"/>
      <c r="AF222" s="56"/>
      <c r="AG222" s="56"/>
    </row>
    <row r="223" ht="15.75" customHeight="1">
      <c r="A223" s="155"/>
      <c r="AC223" s="56"/>
      <c r="AD223" s="56"/>
      <c r="AE223" s="56"/>
      <c r="AF223" s="56"/>
      <c r="AG223" s="56"/>
    </row>
    <row r="224" ht="15.75" customHeight="1">
      <c r="A224" s="155"/>
      <c r="AC224" s="56"/>
      <c r="AD224" s="56"/>
      <c r="AE224" s="56"/>
      <c r="AF224" s="56"/>
      <c r="AG224" s="56"/>
    </row>
    <row r="225" ht="15.75" customHeight="1">
      <c r="A225" s="155"/>
      <c r="AC225" s="56"/>
      <c r="AD225" s="56"/>
      <c r="AE225" s="56"/>
      <c r="AF225" s="56"/>
      <c r="AG225" s="56"/>
    </row>
    <row r="226" ht="15.75" customHeight="1">
      <c r="A226" s="155"/>
      <c r="AC226" s="56"/>
      <c r="AD226" s="56"/>
      <c r="AE226" s="56"/>
      <c r="AF226" s="56"/>
      <c r="AG226" s="56"/>
    </row>
    <row r="227" ht="15.75" customHeight="1">
      <c r="A227" s="155"/>
      <c r="AC227" s="56"/>
      <c r="AD227" s="56"/>
      <c r="AE227" s="56"/>
      <c r="AF227" s="56"/>
      <c r="AG227" s="5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4:D4"/>
    <mergeCell ref="E4:G4"/>
    <mergeCell ref="C18:H18"/>
    <mergeCell ref="I18:M18"/>
    <mergeCell ref="N18:R18"/>
    <mergeCell ref="S18:W18"/>
    <mergeCell ref="X18:AB18"/>
    <mergeCell ref="AC18:AH18"/>
  </mergeCells>
  <conditionalFormatting sqref="AJ26">
    <cfRule type="expression" dxfId="0" priority="1">
      <formula>AJ26=B2</formula>
    </cfRule>
  </conditionalFormatting>
  <conditionalFormatting sqref="AJ26">
    <cfRule type="expression" dxfId="2" priority="2">
      <formula>AJ26&lt;&gt;B2</formula>
    </cfRule>
  </conditionalFormatting>
  <conditionalFormatting sqref="H26">
    <cfRule type="expression" dxfId="0" priority="3">
      <formula>H26=D11</formula>
    </cfRule>
  </conditionalFormatting>
  <conditionalFormatting sqref="H26">
    <cfRule type="expression" dxfId="2" priority="4">
      <formula>H26&lt;&gt;D11</formula>
    </cfRule>
  </conditionalFormatting>
  <drawing r:id="rId1"/>
</worksheet>
</file>